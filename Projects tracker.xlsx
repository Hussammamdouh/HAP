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HAP\"/>
    </mc:Choice>
  </mc:AlternateContent>
  <xr:revisionPtr revIDLastSave="0" documentId="13_ncr:1_{EE853F08-5F11-4CC1-9C76-3BD5519BE1FF}" xr6:coauthVersionLast="47" xr6:coauthVersionMax="47" xr10:uidLastSave="{00000000-0000-0000-0000-000000000000}"/>
  <bookViews>
    <workbookView xWindow="-108" yWindow="-108" windowWidth="23256" windowHeight="13176" xr2:uid="{ED7E4490-F6F5-4B40-BEC8-6055DC65AE1C}"/>
  </bookViews>
  <sheets>
    <sheet name="SLW NOA" sheetId="13" r:id="rId1"/>
    <sheet name="DRJ" sheetId="10" r:id="rId2"/>
    <sheet name="HPT" sheetId="9" r:id="rId3"/>
    <sheet name="CRI" sheetId="8" r:id="rId4"/>
    <sheet name="SLR" sheetId="7" r:id="rId5"/>
    <sheet name="SLNX" sheetId="6" r:id="rId6"/>
    <sheet name="Lotus" sheetId="5" r:id="rId7"/>
    <sheet name="Keys 52" sheetId="2" r:id="rId8"/>
    <sheet name="Encore" sheetId="12" r:id="rId9"/>
    <sheet name="Refresh" sheetId="15" r:id="rId10"/>
  </sheets>
  <externalReferences>
    <externalReference r:id="rId11"/>
    <externalReference r:id="rId12"/>
  </externalReferences>
  <definedNames>
    <definedName name="\">#REF!</definedName>
    <definedName name="\0">#N/A</definedName>
    <definedName name="\3" hidden="1">#REF!</definedName>
    <definedName name="\4" hidden="1">#REF!</definedName>
    <definedName name="\5" hidden="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V">#REF!</definedName>
    <definedName name="\z">#N/A</definedName>
    <definedName name="_______s1">#N/A</definedName>
    <definedName name="______a1" hidden="1">{#N/A,#N/A,FALSE,"Finanzplan";#N/A,#N/A,FALSE,"Bilanz";#N/A,#N/A,FALSE,"GuV"}</definedName>
    <definedName name="______DCF1" hidden="1">{#N/A,#N/A,FALSE,"DCF Summary";#N/A,#N/A,FALSE,"Casema";#N/A,#N/A,FALSE,"Casema NoTel";#N/A,#N/A,FALSE,"UK";#N/A,#N/A,FALSE,"RCF";#N/A,#N/A,FALSE,"Intercable CZ";#N/A,#N/A,FALSE,"Interkabel P"}</definedName>
    <definedName name="______del76" hidden="1">{#N/A,#N/A,FALSE,"Summary";#N/A,#N/A,FALSE,"CF";#N/A,#N/A,FALSE,"P&amp;L";"summary",#N/A,FALSE,"Returns";#N/A,#N/A,FALSE,"BS";"summary",#N/A,FALSE,"Analysis";#N/A,#N/A,FALSE,"Assumptions"}</definedName>
    <definedName name="______del8" hidden="1">{#N/A,#N/A,FALSE,"Summary";#N/A,#N/A,FALSE,"CF";#N/A,#N/A,FALSE,"P&amp;L";"summary",#N/A,FALSE,"Returns";#N/A,#N/A,FALSE,"BS";"summary",#N/A,FALSE,"Analysis";#N/A,#N/A,FALSE,"Assumptions"}</definedName>
    <definedName name="______e1" hidden="1">{#N/A,#N/A,FALSE,"Summary";#N/A,#N/A,FALSE,"CF";#N/A,#N/A,FALSE,"P&amp;L";"summary",#N/A,FALSE,"Returns";#N/A,#N/A,FALSE,"BS";"summary",#N/A,FALSE,"Analysis";#N/A,#N/A,FALSE,"Assumptions"}</definedName>
    <definedName name="______o1" hidden="1">{#N/A,#N/A,FALSE,"Finanzplan";#N/A,#N/A,FALSE,"Bilanz";#N/A,#N/A,FALSE,"GuV"}</definedName>
    <definedName name="______wr2" hidden="1">{#N/A,#N/A,FALSE,"Finanzplan";#N/A,#N/A,FALSE,"Bilanz";#N/A,#N/A,FALSE,"GuV"}</definedName>
    <definedName name="______wr3" hidden="1">{"vi1",#N/A,FALSE,"Financial Statements";"vi2",#N/A,FALSE,"Financial Statements";#N/A,#N/A,FALSE,"DCF"}</definedName>
    <definedName name="______wr4" hidden="1">{#N/A,#N/A,TRUE,"Sheet16"}</definedName>
    <definedName name="______wr5" hidden="1">{#N/A,#N/A,FALSE,"Summary";#N/A,#N/A,FALSE,"CF";#N/A,#N/A,FALSE,"P&amp;L";"summary",#N/A,FALSE,"Returns";#N/A,#N/A,FALSE,"BS";"summary",#N/A,FALSE,"Analysis";#N/A,#N/A,FALSE,"Assumptions"}</definedName>
    <definedName name="______wr72" hidden="1">{#N/A,#N/A,TRUE,"Sheet16"}</definedName>
    <definedName name="_____s1">#N/A</definedName>
    <definedName name="____a1" hidden="1">{#N/A,#N/A,FALSE,"Finanzplan";#N/A,#N/A,FALSE,"Bilanz";#N/A,#N/A,FALSE,"GuV"}</definedName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_del76" hidden="1">{#N/A,#N/A,FALSE,"Summary";#N/A,#N/A,FALSE,"CF";#N/A,#N/A,FALSE,"P&amp;L";"summary",#N/A,FALSE,"Returns";#N/A,#N/A,FALSE,"BS";"summary",#N/A,FALSE,"Analysis";#N/A,#N/A,FALSE,"Assumptions"}</definedName>
    <definedName name="____del8" hidden="1">{#N/A,#N/A,FALSE,"Summary";#N/A,#N/A,FALSE,"CF";#N/A,#N/A,FALSE,"P&amp;L";"summary",#N/A,FALSE,"Returns";#N/A,#N/A,FALSE,"BS";"summary",#N/A,FALSE,"Analysis";#N/A,#N/A,FALSE,"Assumptions"}</definedName>
    <definedName name="____e1" hidden="1">{#N/A,#N/A,FALSE,"Summary";#N/A,#N/A,FALSE,"CF";#N/A,#N/A,FALSE,"P&amp;L";"summary",#N/A,FALSE,"Returns";#N/A,#N/A,FALSE,"BS";"summary",#N/A,FALSE,"Analysis";#N/A,#N/A,FALSE,"Assumptions"}</definedName>
    <definedName name="____o1" hidden="1">{#N/A,#N/A,FALSE,"Finanzplan";#N/A,#N/A,FALSE,"Bilanz";#N/A,#N/A,FALSE,"GuV"}</definedName>
    <definedName name="____s1">#N/A</definedName>
    <definedName name="____wr2" hidden="1">{#N/A,#N/A,FALSE,"Finanzplan";#N/A,#N/A,FALSE,"Bilanz";#N/A,#N/A,FALSE,"GuV"}</definedName>
    <definedName name="____wr3" hidden="1">{"vi1",#N/A,FALSE,"Financial Statements";"vi2",#N/A,FALSE,"Financial Statements";#N/A,#N/A,FALSE,"DCF"}</definedName>
    <definedName name="____wr4" hidden="1">{#N/A,#N/A,TRUE,"Sheet16"}</definedName>
    <definedName name="____wr5" hidden="1">{#N/A,#N/A,FALSE,"Summary";#N/A,#N/A,FALSE,"CF";#N/A,#N/A,FALSE,"P&amp;L";"summary",#N/A,FALSE,"Returns";#N/A,#N/A,FALSE,"BS";"summary",#N/A,FALSE,"Analysis";#N/A,#N/A,FALSE,"Assumptions"}</definedName>
    <definedName name="____wr72" hidden="1">{#N/A,#N/A,TRUE,"Sheet16"}</definedName>
    <definedName name="___a1" hidden="1">{#N/A,#N/A,FALSE,"Finanzplan";#N/A,#N/A,FALSE,"Bilanz";#N/A,#N/A,FALSE,"GuV"}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el76" hidden="1">{#N/A,#N/A,FALSE,"Summary";#N/A,#N/A,FALSE,"CF";#N/A,#N/A,FALSE,"P&amp;L";"summary",#N/A,FALSE,"Returns";#N/A,#N/A,FALSE,"BS";"summary",#N/A,FALSE,"Analysis";#N/A,#N/A,FALSE,"Assumptions"}</definedName>
    <definedName name="___del8" hidden="1">{#N/A,#N/A,FALSE,"Summary";#N/A,#N/A,FALSE,"CF";#N/A,#N/A,FALSE,"P&amp;L";"summary",#N/A,FALSE,"Returns";#N/A,#N/A,FALSE,"BS";"summary",#N/A,FALSE,"Analysis";#N/A,#N/A,FALSE,"Assumptions"}</definedName>
    <definedName name="___e1" hidden="1">{#N/A,#N/A,FALSE,"Summary";#N/A,#N/A,FALSE,"CF";#N/A,#N/A,FALSE,"P&amp;L";"summary",#N/A,FALSE,"Returns";#N/A,#N/A,FALSE,"BS";"summary",#N/A,FALSE,"Analysis";#N/A,#N/A,FALSE,"Assumptions"}</definedName>
    <definedName name="___o1" hidden="1">{#N/A,#N/A,FALSE,"Finanzplan";#N/A,#N/A,FALSE,"Bilanz";#N/A,#N/A,FALSE,"GuV"}</definedName>
    <definedName name="___s1">#N/A</definedName>
    <definedName name="___wr2" hidden="1">{#N/A,#N/A,FALSE,"Finanzplan";#N/A,#N/A,FALSE,"Bilanz";#N/A,#N/A,FALSE,"GuV"}</definedName>
    <definedName name="___wr3" hidden="1">{"vi1",#N/A,FALSE,"Financial Statements";"vi2",#N/A,FALSE,"Financial Statements";#N/A,#N/A,FALSE,"DCF"}</definedName>
    <definedName name="___wr4" hidden="1">{#N/A,#N/A,TRUE,"Sheet16"}</definedName>
    <definedName name="___wr5" hidden="1">{#N/A,#N/A,FALSE,"Summary";#N/A,#N/A,FALSE,"CF";#N/A,#N/A,FALSE,"P&amp;L";"summary",#N/A,FALSE,"Returns";#N/A,#N/A,FALSE,"BS";"summary",#N/A,FALSE,"Analysis";#N/A,#N/A,FALSE,"Assumptions"}</definedName>
    <definedName name="___wr72" hidden="1">{#N/A,#N/A,TRUE,"Sheet16"}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X" hidden="1">#REF!</definedName>
    <definedName name="__a1" hidden="1">{#N/A,#N/A,FALSE,"Finanzplan";#N/A,#N/A,FALSE,"Bilanz";#N/A,#N/A,FALSE,"GuV"}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ec02">#REF!</definedName>
    <definedName name="__Dec03">#REF!</definedName>
    <definedName name="__del76" hidden="1">{#N/A,#N/A,FALSE,"Summary";#N/A,#N/A,FALSE,"CF";#N/A,#N/A,FALSE,"P&amp;L";"summary",#N/A,FALSE,"Returns";#N/A,#N/A,FALSE,"BS";"summary",#N/A,FALSE,"Analysis";#N/A,#N/A,FALSE,"Assumptions"}</definedName>
    <definedName name="__del8" hidden="1">{#N/A,#N/A,FALSE,"Summary";#N/A,#N/A,FALSE,"CF";#N/A,#N/A,FALSE,"P&amp;L";"summary",#N/A,FALSE,"Returns";#N/A,#N/A,FALSE,"BS";"summary",#N/A,FALSE,"Analysis";#N/A,#N/A,FALSE,"Assumptions"}</definedName>
    <definedName name="__DemandLoad">TRUE</definedName>
    <definedName name="__e1" hidden="1">{#N/A,#N/A,FALSE,"Summary";#N/A,#N/A,FALSE,"CF";#N/A,#N/A,FALSE,"P&amp;L";"summary",#N/A,FALSE,"Returns";#N/A,#N/A,FALSE,"BS";"summary",#N/A,FALSE,"Analysis";#N/A,#N/A,FALSE,"Assumptions"}</definedName>
    <definedName name="__FDS_HYPERLINK_TOGGLE_STATE__" hidden="1">"ON"</definedName>
    <definedName name="__IntlFixup">TRUE</definedName>
    <definedName name="__is5" hidden="1">{#N/A,#N/A,FALSE,"inctrnd99"}</definedName>
    <definedName name="__JAN02">#REF!</definedName>
    <definedName name="__o1" hidden="1">{#N/A,#N/A,FALSE,"Finanzplan";#N/A,#N/A,FALSE,"Bilanz";#N/A,#N/A,FALSE,"GuV"}</definedName>
    <definedName name="__s1">#N/A</definedName>
    <definedName name="__wc04">#REF!-#REF!</definedName>
    <definedName name="__wr2" hidden="1">{#N/A,#N/A,FALSE,"Finanzplan";#N/A,#N/A,FALSE,"Bilanz";#N/A,#N/A,FALSE,"GuV"}</definedName>
    <definedName name="__wr3" hidden="1">{"vi1",#N/A,FALSE,"Financial Statements";"vi2",#N/A,FALSE,"Financial Statements";#N/A,#N/A,FALSE,"DCF"}</definedName>
    <definedName name="__wr4" hidden="1">{#N/A,#N/A,TRUE,"Sheet16"}</definedName>
    <definedName name="__wr5" hidden="1">{#N/A,#N/A,FALSE,"Summary";#N/A,#N/A,FALSE,"CF";#N/A,#N/A,FALSE,"P&amp;L";"summary",#N/A,FALSE,"Returns";#N/A,#N/A,FALSE,"BS";"summary",#N/A,FALSE,"Analysis";#N/A,#N/A,FALSE,"Assumptions"}</definedName>
    <definedName name="__wr72" hidden="1">{#N/A,#N/A,TRUE,"Sheet16"}</definedName>
    <definedName name="__ww1">#REF!</definedName>
    <definedName name="_0.01">#REF!</definedName>
    <definedName name="_0.02">#REF!</definedName>
    <definedName name="_0.03">#REF!</definedName>
    <definedName name="_0.04">#REF!</definedName>
    <definedName name="_1">#N/A</definedName>
    <definedName name="_1.01">#REF!</definedName>
    <definedName name="_1.02">#REF!</definedName>
    <definedName name="_1.03">#REF!</definedName>
    <definedName name="_1.04">#REF!</definedName>
    <definedName name="_1.05">#REF!</definedName>
    <definedName name="_1.06">#REF!</definedName>
    <definedName name="_1.07">#REF!</definedName>
    <definedName name="_10">#N/A</definedName>
    <definedName name="_10P_BS">#REF!</definedName>
    <definedName name="_11P_CF">#REF!</definedName>
    <definedName name="_123" hidden="1">#REF!</definedName>
    <definedName name="_12P_COV">#REF!</definedName>
    <definedName name="_13P_IS">#REF!</definedName>
    <definedName name="_14P_SEG">#REF!</definedName>
    <definedName name="_1995_2002">#REF!</definedName>
    <definedName name="_1A_BS">#REF!</definedName>
    <definedName name="_1ELECB">#REF!</definedName>
    <definedName name="_1FLOW">#REF!</definedName>
    <definedName name="_2">#N/A</definedName>
    <definedName name="_2A_FUND">#REF!</definedName>
    <definedName name="_2x_pom.">#REF!</definedName>
    <definedName name="_3">#N/A</definedName>
    <definedName name="_3A_IS">#REF!</definedName>
    <definedName name="_4">#N/A</definedName>
    <definedName name="_4A_PPE">#REF!</definedName>
    <definedName name="_5">#N/A</definedName>
    <definedName name="_55">IF([0]!Values_Entered,[1]!Header_Row+[0]!Number_of_Payments,[1]!Header_Row)</definedName>
    <definedName name="_5A_SEG">#REF!</definedName>
    <definedName name="_6">#N/A</definedName>
    <definedName name="_6H_BS">#REF!</definedName>
    <definedName name="_7">#N/A</definedName>
    <definedName name="_7H_CF">#REF!</definedName>
    <definedName name="_8">#N/A</definedName>
    <definedName name="_8.cívková">#REF!</definedName>
    <definedName name="_8H_COV">#REF!</definedName>
    <definedName name="_9">#N/A</definedName>
    <definedName name="_9H_IS">#REF!</definedName>
    <definedName name="_a1" hidden="1">{#N/A,#N/A,FALSE,"Finanzplan";#N/A,#N/A,FALSE,"Bilanz";#N/A,#N/A,FALSE,"GuV"}</definedName>
    <definedName name="_A225000">#REF!</definedName>
    <definedName name="_A90000">#REF!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CAC22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c02">#REF!</definedName>
    <definedName name="_Dec03">#REF!</definedName>
    <definedName name="_del76" hidden="1">{#N/A,#N/A,FALSE,"Summary";#N/A,#N/A,FALSE,"CF";#N/A,#N/A,FALSE,"P&amp;L";"summary",#N/A,FALSE,"Returns";#N/A,#N/A,FALSE,"BS";"summary",#N/A,FALSE,"Analysis";#N/A,#N/A,FALSE,"Assumptions"}</definedName>
    <definedName name="_del8" hidden="1">{#N/A,#N/A,FALSE,"Summary";#N/A,#N/A,FALSE,"CF";#N/A,#N/A,FALSE,"P&amp;L";"summary",#N/A,FALSE,"Returns";#N/A,#N/A,FALSE,"BS";"summary",#N/A,FALSE,"Analysis";#N/A,#N/A,FALSE,"Assumptions"}</definedName>
    <definedName name="_e1" hidden="1">{#N/A,#N/A,FALSE,"Summary";#N/A,#N/A,FALSE,"CF";#N/A,#N/A,FALSE,"P&amp;L";"summary",#N/A,FALSE,"Returns";#N/A,#N/A,FALSE,"BS";"summary",#N/A,FALSE,"Analysis";#N/A,#N/A,FALSE,"Assumptions"}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ill" hidden="1">#REF!</definedName>
    <definedName name="_xlnm._FilterDatabase" localSheetId="3" hidden="1">CRI!$A$3:$N$312</definedName>
    <definedName name="_xlnm._FilterDatabase" localSheetId="1" hidden="1">DRJ!$A$3:$N$312</definedName>
    <definedName name="_xlnm._FilterDatabase" localSheetId="8" hidden="1">Encore!$A$3:$N$312</definedName>
    <definedName name="_xlnm._FilterDatabase" localSheetId="2" hidden="1">HPT!$A$3:$N$312</definedName>
    <definedName name="_xlnm._FilterDatabase" localSheetId="7" hidden="1">'Keys 52'!$A$3:$N$312</definedName>
    <definedName name="_xlnm._FilterDatabase" localSheetId="6" hidden="1">Lotus!$A$3:$N$312</definedName>
    <definedName name="_xlnm._FilterDatabase" localSheetId="5" hidden="1">SLNX!$A$3:$N$312</definedName>
    <definedName name="_xlnm._FilterDatabase" localSheetId="4" hidden="1">SLR!$A$3:$N$312</definedName>
    <definedName name="_xlnm._FilterDatabase" localSheetId="0" hidden="1">'SLW NOA'!$A$3:$N$312</definedName>
    <definedName name="_xlnm._FilterDatabase" hidden="1">#REF!</definedName>
    <definedName name="_is5" hidden="1">{#N/A,#N/A,FALSE,"inctrnd99"}</definedName>
    <definedName name="_JAN02">#REF!</definedName>
    <definedName name="_Key1" hidden="1">#REF!</definedName>
    <definedName name="_Key2" hidden="1">#REF!</definedName>
    <definedName name="_MDE13">#REF!</definedName>
    <definedName name="_ML2">#REF!</definedName>
    <definedName name="_ML3">#REF!</definedName>
    <definedName name="_ML4">#REF!</definedName>
    <definedName name="_ML5">#REF!</definedName>
    <definedName name="_ML6">#REF!</definedName>
    <definedName name="_ML7">#REF!</definedName>
    <definedName name="_NB2">#REF!</definedName>
    <definedName name="_NB3">#REF!</definedName>
    <definedName name="_NB4">#REF!</definedName>
    <definedName name="_NB5">#REF!</definedName>
    <definedName name="_NB6">#REF!</definedName>
    <definedName name="_NB7">#REF!</definedName>
    <definedName name="_o1" hidden="1">{#N/A,#N/A,FALSE,"Finanzplan";#N/A,#N/A,FALSE,"Bilanz";#N/A,#N/A,FALSE,"GuV"}</definedName>
    <definedName name="_Order1" hidden="1">0</definedName>
    <definedName name="_Order2" hidden="1">0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R1">#N/A</definedName>
    <definedName name="_R">#REF!</definedName>
    <definedName name="_s1">#N/A</definedName>
    <definedName name="_SH2">#REF!</definedName>
    <definedName name="_SH3">#REF!</definedName>
    <definedName name="_SH4">#REF!</definedName>
    <definedName name="_SH5">#REF!</definedName>
    <definedName name="_SH6">#REF!</definedName>
    <definedName name="_SH7">#REF!</definedName>
    <definedName name="_SM2">#REF!</definedName>
    <definedName name="_SM3">#REF!</definedName>
    <definedName name="_SM4">#REF!</definedName>
    <definedName name="_SM5">#REF!</definedName>
    <definedName name="_SM6">#REF!</definedName>
    <definedName name="_SM7">#REF!</definedName>
    <definedName name="_Sort" hidden="1">#REF!</definedName>
    <definedName name="_SV2">#REF!</definedName>
    <definedName name="_SV3">#REF!</definedName>
    <definedName name="_SV4">#REF!</definedName>
    <definedName name="_SV5">#REF!</definedName>
    <definedName name="_SV6">#REF!</definedName>
    <definedName name="_SV7">#REF!</definedName>
    <definedName name="_Table2_Out" hidden="1">#REF!</definedName>
    <definedName name="_VOL2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wc04">#REF!-#REF!</definedName>
    <definedName name="_wr2" hidden="1">{#N/A,#N/A,FALSE,"Finanzplan";#N/A,#N/A,FALSE,"Bilanz";#N/A,#N/A,FALSE,"GuV"}</definedName>
    <definedName name="_wr3" hidden="1">{"vi1",#N/A,FALSE,"Financial Statements";"vi2",#N/A,FALSE,"Financial Statements";#N/A,#N/A,FALSE,"DCF"}</definedName>
    <definedName name="_wr4" hidden="1">{#N/A,#N/A,TRUE,"Sheet16"}</definedName>
    <definedName name="_wr5" hidden="1">{#N/A,#N/A,FALSE,"Summary";#N/A,#N/A,FALSE,"CF";#N/A,#N/A,FALSE,"P&amp;L";"summary",#N/A,FALSE,"Returns";#N/A,#N/A,FALSE,"BS";"summary",#N/A,FALSE,"Analysis";#N/A,#N/A,FALSE,"Assumptions"}</definedName>
    <definedName name="_wr72" hidden="1">{#N/A,#N/A,TRUE,"Sheet16"}</definedName>
    <definedName name="_ww1">#REF!</definedName>
    <definedName name="a">#REF!</definedName>
    <definedName name="A.01">#REF!</definedName>
    <definedName name="A.02">#REF!</definedName>
    <definedName name="A.03">#REF!</definedName>
    <definedName name="A.04">#REF!</definedName>
    <definedName name="A.05">#REF!</definedName>
    <definedName name="A.06">#REF!</definedName>
    <definedName name="A.07">#REF!</definedName>
    <definedName name="A.08">#REF!</definedName>
    <definedName name="A.09">#REF!</definedName>
    <definedName name="A.11a">#REF!</definedName>
    <definedName name="A.11b">#REF!</definedName>
    <definedName name="A.12">#REF!</definedName>
    <definedName name="A.13">#REF!</definedName>
    <definedName name="A.14">#REF!</definedName>
    <definedName name="A.15">#REF!</definedName>
    <definedName name="A.16">#REF!</definedName>
    <definedName name="A.17">#REF!</definedName>
    <definedName name="A.18">#REF!</definedName>
    <definedName name="A.20">#REF!</definedName>
    <definedName name="A.21">#REF!</definedName>
    <definedName name="A.22">#REF!</definedName>
    <definedName name="A.23">#REF!</definedName>
    <definedName name="A.30">#REF!</definedName>
    <definedName name="A__Formwork">#REF!</definedName>
    <definedName name="aa">#REF!</definedName>
    <definedName name="AAA">#REF!</definedName>
    <definedName name="AAA_DOCTOPS" hidden="1">"AAA_SET"</definedName>
    <definedName name="AAA_duser" hidden="1">"OFF"</definedName>
    <definedName name="aaaa">#REF!</definedName>
    <definedName name="AAAAA">#REF!</definedName>
    <definedName name="aaaaaaaaaaaaaaaaaaaaa">OFFSET(#REF!,0,0,1,Projectend+1)</definedName>
    <definedName name="aaaaaaaaaaaaaaaaaaaaaaaaaaaaaaaaaaaaaaaaa">OFFSET(#REF!,0,0,1,Projectend+1)</definedName>
    <definedName name="AAB_Addin5" hidden="1">"AAB_Description for addin 5,Description for addin 5,Description for addin 5,Description for addin 5,Description for addin 5,Description for addin 5"</definedName>
    <definedName name="ab">#REF!</definedName>
    <definedName name="ABALSHA">#REF!</definedName>
    <definedName name="ABALSHE">#REF!</definedName>
    <definedName name="ABALSHYR">#REF!</definedName>
    <definedName name="abc">#REF!</definedName>
    <definedName name="abcd">#REF!</definedName>
    <definedName name="AbilityToPayCalc">#N/A</definedName>
    <definedName name="Abschreibungen">#REF!</definedName>
    <definedName name="ac">#REF!</definedName>
    <definedName name="AC_M32">#REF!</definedName>
    <definedName name="AC_M33">#REF!</definedName>
    <definedName name="AC_M34">#REF!</definedName>
    <definedName name="AC_M35">#REF!</definedName>
    <definedName name="AC_M36">#REF!</definedName>
    <definedName name="AC_M37">#REF!</definedName>
    <definedName name="ACAM">SUM(#REF!:#REF!)</definedName>
    <definedName name="Access_Button" hidden="1">"Zusammenstellung_SGF_KGF_970515_Tabelle1_Liste"</definedName>
    <definedName name="AccessDatabase" hidden="1">"C:\Old D\planning\Master Project Cost Format.mdb"</definedName>
    <definedName name="Accessories">#REF!</definedName>
    <definedName name="Account">OFFSET(#REF!,1,2,COUNTA(#REF!),1)</definedName>
    <definedName name="AccountType">#REF!</definedName>
    <definedName name="accounttype1">#REF!</definedName>
    <definedName name="AcctMapCode">#REF!</definedName>
    <definedName name="ACE">#REF!+#REF!</definedName>
    <definedName name="ACIER2">#REF!</definedName>
    <definedName name="ACIER3">#REF!</definedName>
    <definedName name="ACIER4">#REF!</definedName>
    <definedName name="ACIER5">#REF!</definedName>
    <definedName name="ACIER6">#REF!</definedName>
    <definedName name="ACIER7">#REF!</definedName>
    <definedName name="acq">#REF!</definedName>
    <definedName name="Acrylic_Prod">#REF!</definedName>
    <definedName name="Actdata">#REF!</definedName>
    <definedName name="Activation">#REF!</definedName>
    <definedName name="Activation_Fee">#REF!</definedName>
    <definedName name="Actual">#REF!</definedName>
    <definedName name="actual_96_004">#N/A</definedName>
    <definedName name="ActualMonth">#REF!</definedName>
    <definedName name="ad">#REF!</definedName>
    <definedName name="address">#REF!</definedName>
    <definedName name="adfa" hidden="1">{#N/A,#N/A,FALSE,"Finanzplan";#N/A,#N/A,FALSE,"Bilanz";#N/A,#N/A,FALSE,"GuV"}</definedName>
    <definedName name="ads">#REF!</definedName>
    <definedName name="adsf" hidden="1">{#N/A,#N/A,TRUE,"Sheet16"}</definedName>
    <definedName name="Advance">#REF!</definedName>
    <definedName name="af">#REF!</definedName>
    <definedName name="afa" hidden="1">{"vi1",#N/A,FALSE,"Financial Statements";"vi2",#N/A,FALSE,"Financial Statements";#N/A,#N/A,FALSE,"DCF"}</definedName>
    <definedName name="Afdruktitels_MI">#REF!</definedName>
    <definedName name="AFUND">#REF!</definedName>
    <definedName name="AG">#REF!</definedName>
    <definedName name="agerange">#REF!</definedName>
    <definedName name="agfrwfr" hidden="1">{#N/A,#N/A,FALSE,"Summary04";#N/A,#N/A,FALSE,"CCP Group";#N/A,#N/A,FALSE,"Jubail Group Rev2";#N/A,#N/A,FALSE,"CML Group"}</definedName>
    <definedName name="Aging_percent">#REF!,#REF!</definedName>
    <definedName name="Agrerange">#REF!</definedName>
    <definedName name="ai">#REF!</definedName>
    <definedName name="Aida_2" hidden="1">{#N/A,#N/A,FALSE,"Finanzplan";#N/A,#N/A,FALSE,"Bilanz";#N/A,#N/A,FALSE,"GuV"}</definedName>
    <definedName name="Aida_4" hidden="1">{#N/A,#N/A,FALSE,"Finanzplan";#N/A,#N/A,FALSE,"Bilanz";#N/A,#N/A,FALSE,"GuV"}</definedName>
    <definedName name="AIDiv">#REF!</definedName>
    <definedName name="AINCST">#REF!</definedName>
    <definedName name="AINCSTYR">#REF!</definedName>
    <definedName name="AIT">#REF!</definedName>
    <definedName name="AITALL">#REF!</definedName>
    <definedName name="ak">#REF!</definedName>
    <definedName name="al">#REF!</definedName>
    <definedName name="Alex_Actual_98">#N/A</definedName>
    <definedName name="Alex_Actual_99">#N/A</definedName>
    <definedName name="Alex_Consolidated">#N/A</definedName>
    <definedName name="Alex_YTD_98">#N/A</definedName>
    <definedName name="Alex_YTD_99">#N/A</definedName>
    <definedName name="Algeria">#REF!</definedName>
    <definedName name="AlgeriaExch">#REF!</definedName>
    <definedName name="AlgeriaGDP">#REF!</definedName>
    <definedName name="ALL">#REF!</definedName>
    <definedName name="All_Stages_Input">#REF!,#REF!,#REF!,#REF!,#REF!,#REF!,#REF!,#REF!,#REF!,#REF!,#REF!,#REF!,#REF!,#REF!,#REF!</definedName>
    <definedName name="allline">#REF!</definedName>
    <definedName name="alllines">#REF!</definedName>
    <definedName name="Allowance_to_Receivables">#REF!,#REF!</definedName>
    <definedName name="Allowance_to_Sales">#REF!,#REF!</definedName>
    <definedName name="Allowances">#REF!</definedName>
    <definedName name="AlphaT">#REF!</definedName>
    <definedName name="AltMonth">#REF!</definedName>
    <definedName name="AM">#REF!</definedName>
    <definedName name="amenity">#REF!</definedName>
    <definedName name="amort_gw">#REF!</definedName>
    <definedName name="AmortizePeriod">#REF!</definedName>
    <definedName name="AmortY">#REF!</definedName>
    <definedName name="Amount">#REF!</definedName>
    <definedName name="Amr" hidden="1">#REF!</definedName>
    <definedName name="Amt_prev_paid">#REF!</definedName>
    <definedName name="Amt_prev_paid_range">#REF!</definedName>
    <definedName name="An">#REF!</definedName>
    <definedName name="Andrew___Data">#REF!</definedName>
    <definedName name="Angola">#REF!</definedName>
    <definedName name="AngolaExch">#REF!</definedName>
    <definedName name="AngolaGDP">#REF!</definedName>
    <definedName name="Annual_Rate">#REF!</definedName>
    <definedName name="Annual_Report">#REF!</definedName>
    <definedName name="anscount">10</definedName>
    <definedName name="antifire.selant">#REF!</definedName>
    <definedName name="aocd">#REF!</definedName>
    <definedName name="AP">#REF!</definedName>
    <definedName name="APPE">#REF!</definedName>
    <definedName name="Apr_08">#REF!</definedName>
    <definedName name="AprSun1">DATEVALUE("4/1/"&amp;TheYear)-WEEKDAY(DATEVALUE("4/1/"&amp;TheYear))+1</definedName>
    <definedName name="AR">#REF!</definedName>
    <definedName name="ARA_Threshold">#REF!</definedName>
    <definedName name="AREA">#REF!</definedName>
    <definedName name="AREA100APT">#REF!</definedName>
    <definedName name="AREA200MC">#REF!</definedName>
    <definedName name="AREA244">#REF!</definedName>
    <definedName name="AREA402">#REF!</definedName>
    <definedName name="AREA434">#REF!</definedName>
    <definedName name="Area497">#REF!</definedName>
    <definedName name="areabroad">#REF!</definedName>
    <definedName name="areacentral">#REF!</definedName>
    <definedName name="AREAEC">#REF!</definedName>
    <definedName name="areaencentre">#REF!</definedName>
    <definedName name="areafins">#REF!</definedName>
    <definedName name="Areas">#REF!</definedName>
    <definedName name="Areas2">#REF!</definedName>
    <definedName name="areawc2">#REF!</definedName>
    <definedName name="areawc3">#REF!</definedName>
    <definedName name="Argentina">#REF!</definedName>
    <definedName name="ArgentinaExch">#REF!</definedName>
    <definedName name="ArgentinaGDP">#REF!</definedName>
    <definedName name="ARP_Threshold">#REF!</definedName>
    <definedName name="Arrange">#N/A</definedName>
    <definedName name="as" hidden="1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as">#REF!</definedName>
    <definedName name="asd">#REF!</definedName>
    <definedName name="asfd" hidden="1">{#N/A,#N/A,FALSE,"Finanzplan";#N/A,#N/A,FALSE,"Bilanz";#N/A,#N/A,FALSE,"GuV"}</definedName>
    <definedName name="ASia">#REF!</definedName>
    <definedName name="asif">#REF!</definedName>
    <definedName name="ass_swa50to70">#REF!</definedName>
    <definedName name="assds">#REF!</definedName>
    <definedName name="asstname">#REF!</definedName>
    <definedName name="assttype">#REF!</definedName>
    <definedName name="Assumptions">#REF!</definedName>
    <definedName name="assumten">#REF!</definedName>
    <definedName name="Atrium_NLA">#REF!</definedName>
    <definedName name="AuditChecks">#REF!</definedName>
    <definedName name="Aug_08">#REF!</definedName>
    <definedName name="AugSun1">DATEVALUE("8/1/"&amp;TheYear)-WEEKDAY(DATEVALUE("8/1/"&amp;TheYear))+1</definedName>
    <definedName name="Australia">#REF!</definedName>
    <definedName name="AustraliaExch">#REF!</definedName>
    <definedName name="AustraliaGDP">#REF!</definedName>
    <definedName name="Austria">#REF!</definedName>
    <definedName name="Austria_BelgiumExch">#REF!</definedName>
    <definedName name="AustriaGDP">#REF!</definedName>
    <definedName name="AuthMI">#REF!</definedName>
    <definedName name="Author">#REF!</definedName>
    <definedName name="_xlnm.Auto_Open">#REF!</definedName>
    <definedName name="Average_number_of_subs">#REF!</definedName>
    <definedName name="Avg_Sub">#REF!</definedName>
    <definedName name="AvgCapEmp">#REF!</definedName>
    <definedName name="AvRoE">#REF!</definedName>
    <definedName name="aw">#REF!</definedName>
    <definedName name="ayear">#REF!</definedName>
    <definedName name="ayear1">#REF!</definedName>
    <definedName name="ayear3">#REF!</definedName>
    <definedName name="ayear5">#REF!</definedName>
    <definedName name="ayman" hidden="1">{#N/A,#N/A,FALSE,"Bal.Sht"}</definedName>
    <definedName name="AYTOPSAAT">#REF!</definedName>
    <definedName name="Azerbaijan">#REF!</definedName>
    <definedName name="AzerbaijanExch">#REF!</definedName>
    <definedName name="AzerbaijanGDP">#REF!</definedName>
    <definedName name="b">#REF!</definedName>
    <definedName name="B.01">#REF!</definedName>
    <definedName name="B.02">#REF!</definedName>
    <definedName name="B.02a">#REF!</definedName>
    <definedName name="B.02b">#REF!</definedName>
    <definedName name="B.02c">#REF!</definedName>
    <definedName name="B.02d">#REF!</definedName>
    <definedName name="B.02e">#REF!</definedName>
    <definedName name="B.03">#REF!</definedName>
    <definedName name="B.04">#REF!</definedName>
    <definedName name="B_____CONCRETE_PRICING_TABLE">#REF!</definedName>
    <definedName name="B1T">#REF!</definedName>
    <definedName name="B2T">#REF!</definedName>
    <definedName name="B3T">#REF!</definedName>
    <definedName name="B4T">#REF!</definedName>
    <definedName name="B5T">#REF!</definedName>
    <definedName name="B6T">#REF!</definedName>
    <definedName name="B7T">#REF!</definedName>
    <definedName name="badawy">#REF!</definedName>
    <definedName name="badawy1">#REF!</definedName>
    <definedName name="BALANCE_SHEET_">#REF!</definedName>
    <definedName name="Balance2">#REF!</definedName>
    <definedName name="BalloonPayment">#REF!</definedName>
    <definedName name="BalloonPeriod">#REF!</definedName>
    <definedName name="Bank">#REF!</definedName>
    <definedName name="Banks">#REF!</definedName>
    <definedName name="Banq_DayD_Vs_MICE">#REF!</definedName>
    <definedName name="Banq_DayDelRate">#REF!</definedName>
    <definedName name="Banq_FB_Rev">#REF!</definedName>
    <definedName name="Banq_Layout">#REF!</definedName>
    <definedName name="Banq_Outside_Catering">#REF!</definedName>
    <definedName name="Banq_RoomHire">#REF!</definedName>
    <definedName name="Banq_Summ">#REF!</definedName>
    <definedName name="Banq_Usage">#REF!</definedName>
    <definedName name="Banq_Usage_growth">#REF!</definedName>
    <definedName name="Bar">#REF!</definedName>
    <definedName name="barwa">#REF!</definedName>
    <definedName name="Barwa_New_Cairo">#REF!</definedName>
    <definedName name="BaseCase">#REF!</definedName>
    <definedName name="BaseExchrate">#REF!</definedName>
    <definedName name="BaseYear">#REF!</definedName>
    <definedName name="BasicSalaries">#REF!</definedName>
    <definedName name="BassErrorT">#REF!</definedName>
    <definedName name="BassParaT">#REF!</definedName>
    <definedName name="BAYMESKAT">#REF!</definedName>
    <definedName name="BB">#REF!</definedName>
    <definedName name="BBB">#REF!</definedName>
    <definedName name="BBBBB">#REF!</definedName>
    <definedName name="bbl_per_tonne">#REF!</definedName>
    <definedName name="Bdgt_Prd">#REF!</definedName>
    <definedName name="beds">#REF!</definedName>
    <definedName name="beds_P2">#REF!</definedName>
    <definedName name="Beg_Bal">#REF!</definedName>
    <definedName name="Beginning_of_Year_Principal">#REF!</definedName>
    <definedName name="Belgium">#REF!</definedName>
    <definedName name="BelgiumGDP">#REF!</definedName>
    <definedName name="BetaT">#REF!</definedName>
    <definedName name="BEWhatif1">#REF!</definedName>
    <definedName name="BEWhatif2">#REF!</definedName>
    <definedName name="BG_Del" hidden="1">15</definedName>
    <definedName name="BG_Ins" hidden="1">4</definedName>
    <definedName name="BG_Mod" hidden="1">6</definedName>
    <definedName name="BGP">#REF!</definedName>
    <definedName name="BIC_Cal">#REF!</definedName>
    <definedName name="bid_price">#REF!</definedName>
    <definedName name="bigassswa">#REF!</definedName>
    <definedName name="BIN">#REF!</definedName>
    <definedName name="BoC_Margin">#REF!</definedName>
    <definedName name="BOLGE">#REF!</definedName>
    <definedName name="BOLGE1">#REF!</definedName>
    <definedName name="Bolivia">#REF!</definedName>
    <definedName name="BoliviaExch">#REF!</definedName>
    <definedName name="BoliviaGDP">#REF!</definedName>
    <definedName name="Bollocks">#REF!</definedName>
    <definedName name="BOMPack">#REF!</definedName>
    <definedName name="BOMPackCJ">#REF!</definedName>
    <definedName name="BOMPackCL">#REF!</definedName>
    <definedName name="BOMPackIJ">#REF!</definedName>
    <definedName name="BOMPackIL">#REF!</definedName>
    <definedName name="BomPackJ">#REF!</definedName>
    <definedName name="BomPackKSA">#REF!</definedName>
    <definedName name="BOMPackRJ">#REF!</definedName>
    <definedName name="BOMPackRL">#REF!</definedName>
    <definedName name="BomPackSD">#REF!</definedName>
    <definedName name="bompacky">#REF!</definedName>
    <definedName name="BOMref">#REF!</definedName>
    <definedName name="BOMRefCJ">#REF!</definedName>
    <definedName name="BOMRefCL">#REF!</definedName>
    <definedName name="BOMRefIJ">#REF!</definedName>
    <definedName name="BOMRefIL">#REF!</definedName>
    <definedName name="BomRefJ">#REF!</definedName>
    <definedName name="BOMRefRJ">#REF!</definedName>
    <definedName name="BOMRefRL">#REF!</definedName>
    <definedName name="BomRefSD">#REF!</definedName>
    <definedName name="borrow">#REF!</definedName>
    <definedName name="Botswana">#REF!</definedName>
    <definedName name="BotswanaExch">#REF!</definedName>
    <definedName name="BotswanaGDP">#REF!</definedName>
    <definedName name="BottomNote">#REF!</definedName>
    <definedName name="BPCE">#REF!</definedName>
    <definedName name="BPIRR">#REF!</definedName>
    <definedName name="BPPayback">#REF!</definedName>
    <definedName name="BPPV">#REF!</definedName>
    <definedName name="BrandNamePrice">#REF!</definedName>
    <definedName name="Brazil">#REF!</definedName>
    <definedName name="BrazilExch">#REF!</definedName>
    <definedName name="BrazilGDP">#REF!</definedName>
    <definedName name="Breakdown">#REF!</definedName>
    <definedName name="Breakeven_point">#REF!</definedName>
    <definedName name="BS">#REF!</definedName>
    <definedName name="BS_IS_Mapping_Values">#REF!</definedName>
    <definedName name="BSACC">#REF!</definedName>
    <definedName name="BSHEETALL">#REF!</definedName>
    <definedName name="bsmay" hidden="1">{#N/A,#N/A,FALSE,"inctrnd99"}</definedName>
    <definedName name="BUA_Clubs">#REF!</definedName>
    <definedName name="BUA_Creek_villas">#REF!</definedName>
    <definedName name="BUA_High_end_Apts">#REF!</definedName>
    <definedName name="BUA_Lobbies_Cores">#REF!</definedName>
    <definedName name="BUA_offices">#REF!</definedName>
    <definedName name="BUA_Parking">#REF!</definedName>
    <definedName name="BUA_Retail">#REF!</definedName>
    <definedName name="BUA_Street_apts">#REF!</definedName>
    <definedName name="BUDGET">#REF!</definedName>
    <definedName name="budgetallocation">#REF!</definedName>
    <definedName name="buildingera">#REF!</definedName>
    <definedName name="Buildingsdep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Titles">#REF!</definedName>
    <definedName name="BuiltIn_Print_Titles___0">#REF!</definedName>
    <definedName name="BuiltIn_Print_Titles___0___0">#REF!</definedName>
    <definedName name="Bulgaria">#REF!</definedName>
    <definedName name="BulgariaExch">#REF!</definedName>
    <definedName name="BulgariaGDP">#REF!</definedName>
    <definedName name="BUNames">#REF!</definedName>
    <definedName name="Burida">#REF!</definedName>
    <definedName name="BUS">#REF!</definedName>
    <definedName name="Business_Unit">#REF!</definedName>
    <definedName name="Buyer">#REF!</definedName>
    <definedName name="C.01">#REF!</definedName>
    <definedName name="C.02">#REF!</definedName>
    <definedName name="C.02a">#REF!</definedName>
    <definedName name="C.02b">#REF!</definedName>
    <definedName name="C.02c">#REF!</definedName>
    <definedName name="C.02d">#REF!</definedName>
    <definedName name="C.02e">#REF!</definedName>
    <definedName name="C.03">#REF!</definedName>
    <definedName name="C.04">#REF!</definedName>
    <definedName name="C.05">#REF!</definedName>
    <definedName name="C.06">#REF!</definedName>
    <definedName name="C.07">#REF!</definedName>
    <definedName name="C.10">#REF!</definedName>
    <definedName name="C.11">#REF!</definedName>
    <definedName name="c.cost">#REF!</definedName>
    <definedName name="C_">#REF!</definedName>
    <definedName name="C_____STEEL_REBAR">#REF!</definedName>
    <definedName name="C_Final">#REF!</definedName>
    <definedName name="CAC10S">#REF!</definedName>
    <definedName name="CAC10T">#REF!</definedName>
    <definedName name="CAC11S">#REF!</definedName>
    <definedName name="CAC11T">#REF!</definedName>
    <definedName name="CAC12S">#REF!</definedName>
    <definedName name="CAC12T">#REF!</definedName>
    <definedName name="CAC13S">#REF!</definedName>
    <definedName name="CAC13T">#REF!</definedName>
    <definedName name="CAC14S">#REF!</definedName>
    <definedName name="CAC14T">#REF!</definedName>
    <definedName name="CAC15s">#REF!</definedName>
    <definedName name="CAC15T">#REF!</definedName>
    <definedName name="CAC16S">#REF!</definedName>
    <definedName name="CAC16T">#REF!</definedName>
    <definedName name="CAC17S">#REF!</definedName>
    <definedName name="CAC17T">#REF!</definedName>
    <definedName name="CAC18s">#REF!</definedName>
    <definedName name="CAC18T">#REF!</definedName>
    <definedName name="CAC19s">#REF!</definedName>
    <definedName name="CAC19T">#REF!</definedName>
    <definedName name="CAC1S">#REF!</definedName>
    <definedName name="CAC1T">#REF!</definedName>
    <definedName name="CAC20S">#REF!</definedName>
    <definedName name="CAC20T">#REF!</definedName>
    <definedName name="CAC21S">#REF!</definedName>
    <definedName name="CAC21T">#REF!</definedName>
    <definedName name="CAC22s">#REF!</definedName>
    <definedName name="CAC22T">#REF!</definedName>
    <definedName name="CAC23S">#REF!</definedName>
    <definedName name="CAC23T">#REF!</definedName>
    <definedName name="CAC24S">#REF!</definedName>
    <definedName name="CAC24T">#REF!</definedName>
    <definedName name="CAC25S">#REF!</definedName>
    <definedName name="CAC25T">#REF!</definedName>
    <definedName name="CAC26S">#REF!</definedName>
    <definedName name="CAC26T">#REF!</definedName>
    <definedName name="CAC27S">#REF!</definedName>
    <definedName name="CAC27T">#REF!</definedName>
    <definedName name="CAC28S">#REF!</definedName>
    <definedName name="CAC28T">#REF!</definedName>
    <definedName name="CAC29S">#REF!</definedName>
    <definedName name="CAC29T">#REF!</definedName>
    <definedName name="CAC2S">#REF!</definedName>
    <definedName name="CAC2T">#REF!</definedName>
    <definedName name="CAC30S">#REF!</definedName>
    <definedName name="CAC30T">#REF!</definedName>
    <definedName name="CAC31S">#REF!</definedName>
    <definedName name="CAC31T">#REF!</definedName>
    <definedName name="CAC32S">#REF!</definedName>
    <definedName name="CAC32T">#REF!</definedName>
    <definedName name="CAC33S">#REF!</definedName>
    <definedName name="CAC33T">#REF!</definedName>
    <definedName name="CAC34S">#REF!</definedName>
    <definedName name="CAC34T">#REF!</definedName>
    <definedName name="CAC35S">#REF!</definedName>
    <definedName name="CAC35T">#REF!</definedName>
    <definedName name="CAC36S">#REF!</definedName>
    <definedName name="CAC36T">#REF!</definedName>
    <definedName name="CAC37S">#REF!</definedName>
    <definedName name="CAC37T">#REF!</definedName>
    <definedName name="CAC38S">#REF!</definedName>
    <definedName name="CAC38T">#REF!</definedName>
    <definedName name="CAC39S">#REF!</definedName>
    <definedName name="CAC39T">#REF!</definedName>
    <definedName name="CAC3S">#REF!</definedName>
    <definedName name="CAC3T">#REF!</definedName>
    <definedName name="CAC40S">#REF!</definedName>
    <definedName name="CAC40T">#REF!</definedName>
    <definedName name="CAC41S">#REF!</definedName>
    <definedName name="CAC41T">#REF!</definedName>
    <definedName name="CAC42S">#REF!</definedName>
    <definedName name="CAC42T">#REF!</definedName>
    <definedName name="CAC43S">#REF!</definedName>
    <definedName name="CAC43T">#REF!</definedName>
    <definedName name="CAC44S">#REF!</definedName>
    <definedName name="CAC44T">#REF!</definedName>
    <definedName name="CAC45S">#REF!</definedName>
    <definedName name="CAC45T">#REF!</definedName>
    <definedName name="CAC46S">#REF!</definedName>
    <definedName name="CAC46T">#REF!</definedName>
    <definedName name="CAC47S">#REF!</definedName>
    <definedName name="CAC47T">#REF!</definedName>
    <definedName name="CAC48S">#REF!</definedName>
    <definedName name="CAC48T">#REF!</definedName>
    <definedName name="CAC49S">#REF!</definedName>
    <definedName name="CAC49T">#REF!</definedName>
    <definedName name="CAC4S">#REF!</definedName>
    <definedName name="cac4t">#REF!</definedName>
    <definedName name="CAC50S">#REF!</definedName>
    <definedName name="CAC50T">#REF!</definedName>
    <definedName name="CAC51S">#REF!</definedName>
    <definedName name="CAC51T">#REF!</definedName>
    <definedName name="CAC52S">#REF!</definedName>
    <definedName name="CAC52T">#REF!</definedName>
    <definedName name="CAC53S">#REF!</definedName>
    <definedName name="CAC53T">#REF!</definedName>
    <definedName name="CAC54S">#REF!</definedName>
    <definedName name="CAC54T">#REF!</definedName>
    <definedName name="CAC55S">#REF!</definedName>
    <definedName name="CAC55T">#REF!</definedName>
    <definedName name="CAC56S">#REF!</definedName>
    <definedName name="CAC56T">#REF!</definedName>
    <definedName name="CAC57S">#REF!</definedName>
    <definedName name="CAC57T">#REF!</definedName>
    <definedName name="CAC58S">#REF!</definedName>
    <definedName name="CAC58T">#REF!,#REF!</definedName>
    <definedName name="CAC59S">#REF!</definedName>
    <definedName name="CAC59T">#REF!</definedName>
    <definedName name="CAC5S">#REF!</definedName>
    <definedName name="CAC5T">#REF!</definedName>
    <definedName name="CAC60S">#REF!</definedName>
    <definedName name="CAC60T">#REF!,#REF!</definedName>
    <definedName name="CAC61S">#REF!</definedName>
    <definedName name="CAC61T">#REF!,#REF!,#REF!,#REF!,#REF!,#REF!</definedName>
    <definedName name="CAC6S">#REF!</definedName>
    <definedName name="CAC6T">#REF!</definedName>
    <definedName name="CAC70S">#REF!</definedName>
    <definedName name="CAC70T">#REF!</definedName>
    <definedName name="CAC71S">#REF!</definedName>
    <definedName name="CAC71T">#REF!</definedName>
    <definedName name="CAC72S">#REF!</definedName>
    <definedName name="CAC72T">#REF!</definedName>
    <definedName name="CAC73S">#REF!</definedName>
    <definedName name="CAC73T">#REF!,#REF!</definedName>
    <definedName name="CAC74S">#REF!</definedName>
    <definedName name="CAC74T">#REF!</definedName>
    <definedName name="CAC75S">#REF!</definedName>
    <definedName name="CAC75T">#REF!</definedName>
    <definedName name="CAC76S">#REF!</definedName>
    <definedName name="CAC76T">#REF!</definedName>
    <definedName name="CAC77S">#REF!</definedName>
    <definedName name="CAC77T">#REF!</definedName>
    <definedName name="CAC7S">#REF!</definedName>
    <definedName name="CAC7T">#REF!</definedName>
    <definedName name="CAC8S">#REF!</definedName>
    <definedName name="CAC8T">#REF!</definedName>
    <definedName name="CAC9S">#REF!</definedName>
    <definedName name="CAC9T">#REF!</definedName>
    <definedName name="CAct1">#REF!</definedName>
    <definedName name="CAct10">#REF!</definedName>
    <definedName name="CAct11">#REF!</definedName>
    <definedName name="CAct12">#REF!</definedName>
    <definedName name="CAct2">#REF!</definedName>
    <definedName name="CAct3">#REF!</definedName>
    <definedName name="CAct4">#REF!</definedName>
    <definedName name="CAct5">#REF!</definedName>
    <definedName name="CAct6">#REF!</definedName>
    <definedName name="CAct7">#REF!</definedName>
    <definedName name="CAct8">#REF!</definedName>
    <definedName name="CAct9">#REF!</definedName>
    <definedName name="calc_show">#REF!</definedName>
    <definedName name="Call_by_Call">#REF!</definedName>
    <definedName name="Canada">#REF!</definedName>
    <definedName name="CanadaExch">#REF!</definedName>
    <definedName name="CanadaGDP">#REF!</definedName>
    <definedName name="Cap600BPIRR3">#REF!</definedName>
    <definedName name="Capacity">#REF!</definedName>
    <definedName name="CapConst">#REF!</definedName>
    <definedName name="capempl">#REF!</definedName>
    <definedName name="CAPEX">#REF!</definedName>
    <definedName name="CAPEX_">#REF!</definedName>
    <definedName name="CapEx_up">#REF!</definedName>
    <definedName name="CapexChange">#REF!</definedName>
    <definedName name="capexi13">#REF!</definedName>
    <definedName name="CapexYear">#REF!</definedName>
    <definedName name="capin">#REF!</definedName>
    <definedName name="capital">#REF!</definedName>
    <definedName name="Capital_value">#REF!</definedName>
    <definedName name="Car_Ownewship">#REF!</definedName>
    <definedName name="CarAllowance">#REF!</definedName>
    <definedName name="carry">#REF!</definedName>
    <definedName name="case">#REF!</definedName>
    <definedName name="case1">#REF!</definedName>
    <definedName name="case2">#REF!</definedName>
    <definedName name="case3">#REF!</definedName>
    <definedName name="Cash_Flow">#REF!</definedName>
    <definedName name="cash_int">#REF!</definedName>
    <definedName name="CashF">#REF!</definedName>
    <definedName name="CashF1">#REF!</definedName>
    <definedName name="CashF2">#REF!</definedName>
    <definedName name="CashF3">#REF!</definedName>
    <definedName name="CashF4">#REF!</definedName>
    <definedName name="CashF5">#REF!</definedName>
    <definedName name="CashF6">#REF!</definedName>
    <definedName name="CashF7">#REF!</definedName>
    <definedName name="CashF8">#REF!</definedName>
    <definedName name="cashflow">#REF!</definedName>
    <definedName name="CASHFLOWALL">#REF!</definedName>
    <definedName name="CASHFLOWRKING">#REF!</definedName>
    <definedName name="cashlist">#REF!</definedName>
    <definedName name="CashVariableCosts">#REF!</definedName>
    <definedName name="CatIndex">#REF!</definedName>
    <definedName name="cb">#N/A</definedName>
    <definedName name="CBud1">#REF!</definedName>
    <definedName name="CBud10">#REF!</definedName>
    <definedName name="CBud11">#REF!</definedName>
    <definedName name="CBud12">#REF!</definedName>
    <definedName name="CBud2">#REF!</definedName>
    <definedName name="CBud3">#REF!</definedName>
    <definedName name="CBud4">#REF!</definedName>
    <definedName name="CBud5">#REF!</definedName>
    <definedName name="CBud6">#REF!</definedName>
    <definedName name="CBud7">#REF!</definedName>
    <definedName name="CBud8">#REF!</definedName>
    <definedName name="CBud9">#REF!</definedName>
    <definedName name="CBWorkbookPriority" hidden="1">-376489937</definedName>
    <definedName name="cc">#REF!</definedName>
    <definedName name="cc5to24ALLtype">#REF!</definedName>
    <definedName name="CCap_Pol">#REF!</definedName>
    <definedName name="CCF_1a">#REF!</definedName>
    <definedName name="CCF_2a">#REF!</definedName>
    <definedName name="CCF_3a">#REF!</definedName>
    <definedName name="CCF_4a">#REF!</definedName>
    <definedName name="CCF_5a">#REF!</definedName>
    <definedName name="CCF_6a">#REF!</definedName>
    <definedName name="CCF_7a">#REF!</definedName>
    <definedName name="CCF_8a">#REF!</definedName>
    <definedName name="CCList">#REF!</definedName>
    <definedName name="CCS">#REF!</definedName>
    <definedName name="CDmd_Tot">#REF!</definedName>
    <definedName name="Celkem_univerzál">#REF!</definedName>
    <definedName name="cellAppraise">#REF!</definedName>
    <definedName name="CellBusinessUnit">#REF!</definedName>
    <definedName name="CellCE">#REF!</definedName>
    <definedName name="CellCluster">#REF!</definedName>
    <definedName name="cellDefine">#REF!</definedName>
    <definedName name="CellDescription">#REF!</definedName>
    <definedName name="cellEquityShare">#REF!</definedName>
    <definedName name="cellExecute">#REF!</definedName>
    <definedName name="CellFlexibility">#REF!</definedName>
    <definedName name="CellGeneral">#REF!</definedName>
    <definedName name="CellGeography">#REF!</definedName>
    <definedName name="CellIRR">#REF!</definedName>
    <definedName name="CellNPV">#REF!</definedName>
    <definedName name="cellOperate">#REF!</definedName>
    <definedName name="CellOptionName">#REF!</definedName>
    <definedName name="CellOptionType">#REF!</definedName>
    <definedName name="CellPayback">#REF!</definedName>
    <definedName name="CellProbability">#REF!</definedName>
    <definedName name="cellSelect">#REF!</definedName>
    <definedName name="CellShape">#REF!</definedName>
    <definedName name="cellSite">#REF!</definedName>
    <definedName name="CellSponsor">#REF!</definedName>
    <definedName name="CellStartYear">#REF!</definedName>
    <definedName name="CellStatus">#REF!</definedName>
    <definedName name="CellStrategicFit">#REF!</definedName>
    <definedName name="CellStrategicOption">#REF!</definedName>
    <definedName name="Cellulosic_Prod">#REF!</definedName>
    <definedName name="ceramics_ass">#REF!</definedName>
    <definedName name="Ceramics_Factory">#REF!</definedName>
    <definedName name="Ceramics_Factory__cost_per_unit">#REF!</definedName>
    <definedName name="Ceramics_proj">#REF!</definedName>
    <definedName name="CF">#REF!</definedName>
    <definedName name="CF_ManualRows">#REF!,#REF!,#REF!,#REF!,#REF!,#REF!,#REF!,#REF!,#REF!,#REF!,#REF!,#REF!,#REF!</definedName>
    <definedName name="CFACC">#REF!</definedName>
    <definedName name="CFAfterProfitShare_1">#REF!</definedName>
    <definedName name="CFAfterProfitShare_2">#REF!</definedName>
    <definedName name="CFAfterProfitShare_3">#REF!</definedName>
    <definedName name="CFAfterProfitShare_4">#REF!</definedName>
    <definedName name="CFAfterProfitShare_5">#REF!</definedName>
    <definedName name="CFAfterProfitShare_6">#REF!</definedName>
    <definedName name="CFAfterProfitShare_7">#REF!</definedName>
    <definedName name="CFAfterProfitShare_8">#REF!</definedName>
    <definedName name="CFB4ProfitShare_1">#REF!</definedName>
    <definedName name="CFB4ProfitShare_2">#REF!</definedName>
    <definedName name="CFB4ProfitShare_3">#REF!</definedName>
    <definedName name="CFB4ProfitShare_4">#REF!</definedName>
    <definedName name="CFB4ProfitShare_5">#REF!</definedName>
    <definedName name="CFB4ProfitShare_6">#REF!</definedName>
    <definedName name="CFB4ProfitShare_7">#REF!</definedName>
    <definedName name="CFB4ProfitShare_8">#REF!</definedName>
    <definedName name="CFC">#REF!</definedName>
    <definedName name="ch_lta">#REF!</definedName>
    <definedName name="ch_ltl">#REF!</definedName>
    <definedName name="Change1">#REF!</definedName>
    <definedName name="Change2a">#REF!</definedName>
    <definedName name="Change2b">#REF!</definedName>
    <definedName name="Change3">#REF!</definedName>
    <definedName name="Change4">#REF!</definedName>
    <definedName name="Change5">#REF!</definedName>
    <definedName name="Change6">#REF!</definedName>
    <definedName name="Change7">#REF!</definedName>
    <definedName name="Change8">#REF!</definedName>
    <definedName name="Chart_CCFCol">#REF!</definedName>
    <definedName name="Chart_Date">#REF!</definedName>
    <definedName name="Chart_NCFCol">#REF!</definedName>
    <definedName name="Chart_OptEndCol">#REF!</definedName>
    <definedName name="Chart_OptStartCol">#REF!</definedName>
    <definedName name="check">#REF!</definedName>
    <definedName name="Check_error">#REF!</definedName>
    <definedName name="chf">#REF!</definedName>
    <definedName name="China">#REF!</definedName>
    <definedName name="ChinaExch">#REF!</definedName>
    <definedName name="ChinaGDP">#REF!</definedName>
    <definedName name="ChpCap_DMT">#REF!</definedName>
    <definedName name="ChpCap_PTA">#REF!</definedName>
    <definedName name="ChpCap_Tot">#REF!</definedName>
    <definedName name="ChpDmd_Tot">#REF!</definedName>
    <definedName name="ChpPrd_DMT">#REF!</definedName>
    <definedName name="ChpPrd_PTA">#REF!</definedName>
    <definedName name="ChpPrd_PTAextra">#REF!</definedName>
    <definedName name="ChpPrd_Tot">#REF!</definedName>
    <definedName name="Churn">#REF!</definedName>
    <definedName name="churn1">#REF!</definedName>
    <definedName name="circswitch">#REF!</definedName>
    <definedName name="CIS_Exports">#REF!</definedName>
    <definedName name="City">#REF!</definedName>
    <definedName name="city1area">#REF!</definedName>
    <definedName name="CleanData">#REF!</definedName>
    <definedName name="client">#REF!</definedName>
    <definedName name="Close">#N/A</definedName>
    <definedName name="Cluster">#REF!</definedName>
    <definedName name="CNVC">#REF!</definedName>
    <definedName name="CNVD">#REF!</definedName>
    <definedName name="CNVF">#REF!</definedName>
    <definedName name="CNVF1">#REF!</definedName>
    <definedName name="CNVS">#REF!</definedName>
    <definedName name="co">#REF!</definedName>
    <definedName name="COA">#REF!</definedName>
    <definedName name="COCUK">#REF!</definedName>
    <definedName name="Code" hidden="1">#REF!</definedName>
    <definedName name="codes">#REF!</definedName>
    <definedName name="colarea">#REF!</definedName>
    <definedName name="Colombia">#REF!</definedName>
    <definedName name="ColombiaExch">#REF!</definedName>
    <definedName name="ColombiaGDP">#REF!</definedName>
    <definedName name="COLUMNDEF">#REF!</definedName>
    <definedName name="ComboLink">#REF!</definedName>
    <definedName name="ComboList">#REF!</definedName>
    <definedName name="ComboStart">#REF!</definedName>
    <definedName name="Comp">#REF!</definedName>
    <definedName name="Company">#REF!</definedName>
    <definedName name="Company_name">#REF!</definedName>
    <definedName name="Company2">#REF!</definedName>
    <definedName name="companyname">#REF!</definedName>
    <definedName name="Comparison_clr1_a">#REF!</definedName>
    <definedName name="Comparison_clr2_a">#REF!</definedName>
    <definedName name="Comparison_clr3_a">#REF!</definedName>
    <definedName name="Comparison_clr4_a">#REF!</definedName>
    <definedName name="Comparison_clr5_a">#REF!</definedName>
    <definedName name="Comparison_clr6_a">#REF!</definedName>
    <definedName name="Comparison_clr7_a">#REF!</definedName>
    <definedName name="Comparison_clr8_a">#REF!</definedName>
    <definedName name="Comparison_end">#REF!</definedName>
    <definedName name="COMPCOL1">#REF!</definedName>
    <definedName name="con">#REF!</definedName>
    <definedName name="CONCA">#REF!</definedName>
    <definedName name="CONCB">#REF!</definedName>
    <definedName name="CONCC">#REF!</definedName>
    <definedName name="ConCol_1">#REF!</definedName>
    <definedName name="ConCol_2">#REF!</definedName>
    <definedName name="ConCol_3">#REF!</definedName>
    <definedName name="ConCol_4">#REF!</definedName>
    <definedName name="ConCol_5">#REF!</definedName>
    <definedName name="ConCol_6">#REF!</definedName>
    <definedName name="ConCol_7">#REF!</definedName>
    <definedName name="ConCol_8">#REF!</definedName>
    <definedName name="conparporfive">#REF!</definedName>
    <definedName name="conrad">#REF!</definedName>
    <definedName name="Cons">#REF!</definedName>
    <definedName name="Cons_Form">#REF!</definedName>
    <definedName name="Cons_Past">#REF!</definedName>
    <definedName name="ConsCF_Form">#REF!</definedName>
    <definedName name="ConsCF_Past">#REF!</definedName>
    <definedName name="ConsColtoHide">#REF!</definedName>
    <definedName name="Consol_Mode">#REF!</definedName>
    <definedName name="Consol_ModePaste">#REF!</definedName>
    <definedName name="consol_start">#REF!</definedName>
    <definedName name="Consol_view">#REF!,#REF!</definedName>
    <definedName name="consolcol_view">#REF!</definedName>
    <definedName name="Consolidate_clr1">#REF!</definedName>
    <definedName name="Consolidate_clr2">#REF!</definedName>
    <definedName name="Consolidate_clr3">#REF!</definedName>
    <definedName name="Consolidate_clr4">#REF!</definedName>
    <definedName name="Consolidate_clr5">#REF!</definedName>
    <definedName name="Consolidate_clr6">#REF!</definedName>
    <definedName name="Consolidate_clr7">#REF!</definedName>
    <definedName name="Consolidate_clr8">#REF!</definedName>
    <definedName name="Consolidate_end">#REF!</definedName>
    <definedName name="ConsolidateKPIRowVis_1">#REF!</definedName>
    <definedName name="ConsolidateKPIRowVis_10">#REF!</definedName>
    <definedName name="ConsolidateKPIRowVis_11">#REF!</definedName>
    <definedName name="ConsolidateKPIRowVis_12">#REF!</definedName>
    <definedName name="ConsolidateKPIRowVis_13">#REF!</definedName>
    <definedName name="ConsolidateKPIRowVis_14">#REF!</definedName>
    <definedName name="ConsolidateKPIRowVis_15">#REF!</definedName>
    <definedName name="ConsolidateKPIRowVis_16">#REF!</definedName>
    <definedName name="ConsolidateKPIRowVis_17">#REF!</definedName>
    <definedName name="ConsolidateKPIRowVis_18">#REF!</definedName>
    <definedName name="ConsolidateKPIRowVis_19">#REF!</definedName>
    <definedName name="ConsolidateKPIRowVis_2">#REF!</definedName>
    <definedName name="ConsolidateKPIRowVis_20">#REF!</definedName>
    <definedName name="ConsolidateKPIRowVis_21">#REF!</definedName>
    <definedName name="ConsolidateKPIRowVis_22">#REF!</definedName>
    <definedName name="ConsolidateKPIRowVis_3">#REF!</definedName>
    <definedName name="ConsolidateKPIRowVis_4">#REF!</definedName>
    <definedName name="ConsolidateKPIRowVis_5">#REF!</definedName>
    <definedName name="ConsolidateKPIRowVis_6">#REF!</definedName>
    <definedName name="ConsolidateKPIRowVis_7">#REF!</definedName>
    <definedName name="ConsolidateKPIRowVis_8">#REF!</definedName>
    <definedName name="ConsolidateKPIRowVis_9">#REF!</definedName>
    <definedName name="ConsolidateRowVis_1">#REF!</definedName>
    <definedName name="ConsolidateRowVis_10">#REF!</definedName>
    <definedName name="ConsolidateRowVis_11">#REF!</definedName>
    <definedName name="ConsolidateRowVis_12">#REF!</definedName>
    <definedName name="ConsolidateRowVis_13">#REF!</definedName>
    <definedName name="ConsolidateRowVis_14">#REF!</definedName>
    <definedName name="ConsolidateRowVis_15">#REF!</definedName>
    <definedName name="ConsolidateRowVis_16">#REF!</definedName>
    <definedName name="ConsolidateRowVis_17">#REF!</definedName>
    <definedName name="ConsolidateRowVis_18">#REF!</definedName>
    <definedName name="ConsolidateRowVis_19">#REF!</definedName>
    <definedName name="ConsolidateRowVis_2">#REF!</definedName>
    <definedName name="ConsolidateRowVis_20">#REF!</definedName>
    <definedName name="ConsolidateRowVis_21">#REF!</definedName>
    <definedName name="ConsolidateRowVis_22">#REF!</definedName>
    <definedName name="ConsolidateRowVis_23">#REF!</definedName>
    <definedName name="ConsolidateRowVis_24">#REF!</definedName>
    <definedName name="ConsolidateRowVis_25">#REF!</definedName>
    <definedName name="ConsolidateRowVis_26">#REF!</definedName>
    <definedName name="ConsolidateRowVis_27">#REF!</definedName>
    <definedName name="ConsolidateRowVis_28">#REF!</definedName>
    <definedName name="ConsolidateRowVis_29">#REF!</definedName>
    <definedName name="ConsolidateRowVis_3">#REF!</definedName>
    <definedName name="ConsolidateRowVis_30">#REF!</definedName>
    <definedName name="ConsolidateRowVis_4">#REF!</definedName>
    <definedName name="ConsolidateRowVis_5">#REF!</definedName>
    <definedName name="ConsolidateRowVis_6">#REF!</definedName>
    <definedName name="ConsolidateRowVis_7">#REF!</definedName>
    <definedName name="ConsolidateRowVis_8">#REF!</definedName>
    <definedName name="ConsolidateRowVis_9">#REF!</definedName>
    <definedName name="ConsolidateScreen">#REF!</definedName>
    <definedName name="ConsSummData1_1">#REF!</definedName>
    <definedName name="ConsSummData1_2">#REF!</definedName>
    <definedName name="ConsSummData1_3">#REF!</definedName>
    <definedName name="ConsSummData1_4">#REF!</definedName>
    <definedName name="ConsSummData1_5">#REF!</definedName>
    <definedName name="ConsSummData1_6">#REF!</definedName>
    <definedName name="ConsSummData1_7">#REF!</definedName>
    <definedName name="ConsSummData1_8">#REF!</definedName>
    <definedName name="ConsSummData10_1">#REF!</definedName>
    <definedName name="ConsSummData10_2">#REF!</definedName>
    <definedName name="ConsSummData10_3">#REF!</definedName>
    <definedName name="ConsSummData10_4">#REF!</definedName>
    <definedName name="ConsSummData10_5">#REF!</definedName>
    <definedName name="ConsSummData10_6">#REF!</definedName>
    <definedName name="ConsSummData10_7">#REF!</definedName>
    <definedName name="ConsSummData10_8">#REF!</definedName>
    <definedName name="ConsSummData100_1">#REF!</definedName>
    <definedName name="ConsSummData100_2">#REF!</definedName>
    <definedName name="ConsSummData100_3">#REF!</definedName>
    <definedName name="ConsSummData100_4">#REF!</definedName>
    <definedName name="ConsSummData100_5">#REF!</definedName>
    <definedName name="ConsSummData100_6">#REF!</definedName>
    <definedName name="ConsSummData100_7">#REF!</definedName>
    <definedName name="ConsSummData100_8">#REF!</definedName>
    <definedName name="ConsSummData101_1">#REF!</definedName>
    <definedName name="ConsSummData101_2">#REF!</definedName>
    <definedName name="ConsSummData101_3">#REF!</definedName>
    <definedName name="ConsSummData101_4">#REF!</definedName>
    <definedName name="ConsSummData101_5">#REF!</definedName>
    <definedName name="ConsSummData101_6">#REF!</definedName>
    <definedName name="ConsSummData101_7">#REF!</definedName>
    <definedName name="ConsSummData101_8">#REF!</definedName>
    <definedName name="ConsSummData102_1">#REF!</definedName>
    <definedName name="ConsSummData102_2">#REF!</definedName>
    <definedName name="ConsSummData102_3">#REF!</definedName>
    <definedName name="ConsSummData102_4">#REF!</definedName>
    <definedName name="ConsSummData102_5">#REF!</definedName>
    <definedName name="ConsSummData102_6">#REF!</definedName>
    <definedName name="ConsSummData102_7">#REF!</definedName>
    <definedName name="ConsSummData102_8">#REF!</definedName>
    <definedName name="ConsSummData103_1">#REF!</definedName>
    <definedName name="ConsSummData103_2">#REF!</definedName>
    <definedName name="ConsSummData103_3">#REF!</definedName>
    <definedName name="ConsSummData103_4">#REF!</definedName>
    <definedName name="ConsSummData103_5">#REF!</definedName>
    <definedName name="ConsSummData103_6">#REF!</definedName>
    <definedName name="ConsSummData103_7">#REF!</definedName>
    <definedName name="ConsSummData103_8">#REF!</definedName>
    <definedName name="ConsSummData104_1">#REF!</definedName>
    <definedName name="ConsSummData104_2">#REF!</definedName>
    <definedName name="ConsSummData104_3">#REF!</definedName>
    <definedName name="ConsSummData104_4">#REF!</definedName>
    <definedName name="ConsSummData104_5">#REF!</definedName>
    <definedName name="ConsSummData104_6">#REF!</definedName>
    <definedName name="ConsSummData104_7">#REF!</definedName>
    <definedName name="ConsSummData104_8">#REF!</definedName>
    <definedName name="ConsSummData105_1">#REF!</definedName>
    <definedName name="ConsSummData105_2">#REF!</definedName>
    <definedName name="ConsSummData105_3">#REF!</definedName>
    <definedName name="ConsSummData105_4">#REF!</definedName>
    <definedName name="ConsSummData105_5">#REF!</definedName>
    <definedName name="ConsSummData105_6">#REF!</definedName>
    <definedName name="ConsSummData105_7">#REF!</definedName>
    <definedName name="ConsSummData105_8">#REF!</definedName>
    <definedName name="ConsSummData106_1">#REF!</definedName>
    <definedName name="ConsSummData106_2">#REF!</definedName>
    <definedName name="ConsSummData106_3">#REF!</definedName>
    <definedName name="ConsSummData106_4">#REF!</definedName>
    <definedName name="ConsSummData106_5">#REF!</definedName>
    <definedName name="ConsSummData106_6">#REF!</definedName>
    <definedName name="ConsSummData106_7">#REF!</definedName>
    <definedName name="ConsSummData106_8">#REF!</definedName>
    <definedName name="ConsSummData107_1">#REF!</definedName>
    <definedName name="ConsSummData107_2">#REF!</definedName>
    <definedName name="ConsSummData107_3">#REF!</definedName>
    <definedName name="ConsSummData107_4">#REF!</definedName>
    <definedName name="ConsSummData107_5">#REF!</definedName>
    <definedName name="ConsSummData107_6">#REF!</definedName>
    <definedName name="ConsSummData107_7">#REF!</definedName>
    <definedName name="ConsSummData107_8">#REF!</definedName>
    <definedName name="ConsSummData108_1">#REF!</definedName>
    <definedName name="ConsSummData108_2">#REF!</definedName>
    <definedName name="ConsSummData108_3">#REF!</definedName>
    <definedName name="ConsSummData108_4">#REF!</definedName>
    <definedName name="ConsSummData108_5">#REF!</definedName>
    <definedName name="ConsSummData108_6">#REF!</definedName>
    <definedName name="ConsSummData108_7">#REF!</definedName>
    <definedName name="ConsSummData108_8">#REF!</definedName>
    <definedName name="ConsSummData109_1">#REF!</definedName>
    <definedName name="ConsSummData109_2">#REF!</definedName>
    <definedName name="ConsSummData109_3">#REF!</definedName>
    <definedName name="ConsSummData109_4">#REF!</definedName>
    <definedName name="ConsSummData109_5">#REF!</definedName>
    <definedName name="ConsSummData109_6">#REF!</definedName>
    <definedName name="ConsSummData109_7">#REF!</definedName>
    <definedName name="ConsSummData109_8">#REF!</definedName>
    <definedName name="ConsSummData11_1">#REF!</definedName>
    <definedName name="ConsSummData11_2">#REF!</definedName>
    <definedName name="ConsSummData11_3">#REF!</definedName>
    <definedName name="ConsSummData11_4">#REF!</definedName>
    <definedName name="ConsSummData11_5">#REF!</definedName>
    <definedName name="ConsSummData11_6">#REF!</definedName>
    <definedName name="ConsSummData11_7">#REF!</definedName>
    <definedName name="ConsSummData11_8">#REF!</definedName>
    <definedName name="ConsSummData110_1">#REF!</definedName>
    <definedName name="ConsSummData110_2">#REF!</definedName>
    <definedName name="ConsSummData110_3">#REF!</definedName>
    <definedName name="ConsSummData110_4">#REF!</definedName>
    <definedName name="ConsSummData110_5">#REF!</definedName>
    <definedName name="ConsSummData110_6">#REF!</definedName>
    <definedName name="ConsSummData110_7">#REF!</definedName>
    <definedName name="ConsSummData110_8">#REF!</definedName>
    <definedName name="ConsSummData111_1">#REF!</definedName>
    <definedName name="ConsSummData111_2">#REF!</definedName>
    <definedName name="ConsSummData111_3">#REF!</definedName>
    <definedName name="ConsSummData111_4">#REF!</definedName>
    <definedName name="ConsSummData111_5">#REF!</definedName>
    <definedName name="ConsSummData111_6">#REF!</definedName>
    <definedName name="ConsSummData111_7">#REF!</definedName>
    <definedName name="ConsSummData111_8">#REF!</definedName>
    <definedName name="ConsSummData112_1">#REF!</definedName>
    <definedName name="ConsSummData112_2">#REF!</definedName>
    <definedName name="ConsSummData112_3">#REF!</definedName>
    <definedName name="ConsSummData112_4">#REF!</definedName>
    <definedName name="ConsSummData112_5">#REF!</definedName>
    <definedName name="ConsSummData112_6">#REF!</definedName>
    <definedName name="ConsSummData112_7">#REF!</definedName>
    <definedName name="ConsSummData112_8">#REF!</definedName>
    <definedName name="ConsSummData113_1">#REF!</definedName>
    <definedName name="ConsSummData113_2">#REF!</definedName>
    <definedName name="ConsSummData113_3">#REF!</definedName>
    <definedName name="ConsSummData113_4">#REF!</definedName>
    <definedName name="ConsSummData113_5">#REF!</definedName>
    <definedName name="ConsSummData113_6">#REF!</definedName>
    <definedName name="ConsSummData113_7">#REF!</definedName>
    <definedName name="ConsSummData113_8">#REF!</definedName>
    <definedName name="ConsSummData114_1">#REF!</definedName>
    <definedName name="ConsSummData114_2">#REF!</definedName>
    <definedName name="ConsSummData114_3">#REF!</definedName>
    <definedName name="ConsSummData114_4">#REF!</definedName>
    <definedName name="ConsSummData114_5">#REF!</definedName>
    <definedName name="ConsSummData114_6">#REF!</definedName>
    <definedName name="ConsSummData114_7">#REF!</definedName>
    <definedName name="ConsSummData114_8">#REF!</definedName>
    <definedName name="ConsSummData115_1">#REF!</definedName>
    <definedName name="ConsSummData115_2">#REF!</definedName>
    <definedName name="ConsSummData115_3">#REF!</definedName>
    <definedName name="ConsSummData115_4">#REF!</definedName>
    <definedName name="ConsSummData115_5">#REF!</definedName>
    <definedName name="ConsSummData115_6">#REF!</definedName>
    <definedName name="ConsSummData115_7">#REF!</definedName>
    <definedName name="ConsSummData115_8">#REF!</definedName>
    <definedName name="ConsSummData116_1">#REF!</definedName>
    <definedName name="ConsSummData116_2">#REF!</definedName>
    <definedName name="ConsSummData116_3">#REF!</definedName>
    <definedName name="ConsSummData116_4">#REF!</definedName>
    <definedName name="ConsSummData116_5">#REF!</definedName>
    <definedName name="ConsSummData116_6">#REF!</definedName>
    <definedName name="ConsSummData116_7">#REF!</definedName>
    <definedName name="ConsSummData116_8">#REF!</definedName>
    <definedName name="ConsSummData117_1">#REF!</definedName>
    <definedName name="ConsSummData117_2">#REF!</definedName>
    <definedName name="ConsSummData117_3">#REF!</definedName>
    <definedName name="ConsSummData117_4">#REF!</definedName>
    <definedName name="ConsSummData117_5">#REF!</definedName>
    <definedName name="ConsSummData117_6">#REF!</definedName>
    <definedName name="ConsSummData117_7">#REF!</definedName>
    <definedName name="ConsSummData117_8">#REF!</definedName>
    <definedName name="ConsSummData118_1">#REF!</definedName>
    <definedName name="ConsSummData118_2">#REF!</definedName>
    <definedName name="ConsSummData118_3">#REF!</definedName>
    <definedName name="ConsSummData118_4">#REF!</definedName>
    <definedName name="ConsSummData118_5">#REF!</definedName>
    <definedName name="ConsSummData118_6">#REF!</definedName>
    <definedName name="ConsSummData118_7">#REF!</definedName>
    <definedName name="ConsSummData118_8">#REF!</definedName>
    <definedName name="ConsSummData119_1">#REF!</definedName>
    <definedName name="ConsSummData119_2">#REF!</definedName>
    <definedName name="ConsSummData119_3">#REF!</definedName>
    <definedName name="ConsSummData119_4">#REF!</definedName>
    <definedName name="ConsSummData119_5">#REF!</definedName>
    <definedName name="ConsSummData119_6">#REF!</definedName>
    <definedName name="ConsSummData119_7">#REF!</definedName>
    <definedName name="ConsSummData119_8">#REF!</definedName>
    <definedName name="ConsSummData12_1">#REF!</definedName>
    <definedName name="ConsSummData12_2">#REF!</definedName>
    <definedName name="ConsSummData12_3">#REF!</definedName>
    <definedName name="ConsSummData12_4">#REF!</definedName>
    <definedName name="ConsSummData12_5">#REF!</definedName>
    <definedName name="ConsSummData12_6">#REF!</definedName>
    <definedName name="ConsSummData12_7">#REF!</definedName>
    <definedName name="ConsSummData12_8">#REF!</definedName>
    <definedName name="ConsSummData120_1">#REF!</definedName>
    <definedName name="ConsSummData120_2">#REF!</definedName>
    <definedName name="ConsSummData120_3">#REF!</definedName>
    <definedName name="ConsSummData120_4">#REF!</definedName>
    <definedName name="ConsSummData120_5">#REF!</definedName>
    <definedName name="ConsSummData120_6">#REF!</definedName>
    <definedName name="ConsSummData120_7">#REF!</definedName>
    <definedName name="ConsSummData120_8">#REF!</definedName>
    <definedName name="ConsSummData121_1">#REF!</definedName>
    <definedName name="ConsSummData121_2">#REF!</definedName>
    <definedName name="ConsSummData121_3">#REF!</definedName>
    <definedName name="ConsSummData121_4">#REF!</definedName>
    <definedName name="ConsSummData121_5">#REF!</definedName>
    <definedName name="ConsSummData121_6">#REF!</definedName>
    <definedName name="ConsSummData121_7">#REF!</definedName>
    <definedName name="ConsSummData121_8">#REF!</definedName>
    <definedName name="ConsSummData122_1">#REF!</definedName>
    <definedName name="ConsSummData122_2">#REF!</definedName>
    <definedName name="ConsSummData122_3">#REF!</definedName>
    <definedName name="ConsSummData122_4">#REF!</definedName>
    <definedName name="ConsSummData122_5">#REF!</definedName>
    <definedName name="ConsSummData122_6">#REF!</definedName>
    <definedName name="ConsSummData122_7">#REF!</definedName>
    <definedName name="ConsSummData122_8">#REF!</definedName>
    <definedName name="ConsSummData123_1">#REF!</definedName>
    <definedName name="ConsSummData123_2">#REF!</definedName>
    <definedName name="ConsSummData123_3">#REF!</definedName>
    <definedName name="ConsSummData123_4">#REF!</definedName>
    <definedName name="ConsSummData123_5">#REF!</definedName>
    <definedName name="ConsSummData123_6">#REF!</definedName>
    <definedName name="ConsSummData123_7">#REF!</definedName>
    <definedName name="ConsSummData123_8">#REF!</definedName>
    <definedName name="ConsSummData124_1">#REF!</definedName>
    <definedName name="ConsSummData124_2">#REF!</definedName>
    <definedName name="ConsSummData124_3">#REF!</definedName>
    <definedName name="ConsSummData124_4">#REF!</definedName>
    <definedName name="ConsSummData124_5">#REF!</definedName>
    <definedName name="ConsSummData124_6">#REF!</definedName>
    <definedName name="ConsSummData124_7">#REF!</definedName>
    <definedName name="ConsSummData124_8">#REF!</definedName>
    <definedName name="ConsSummData125_1">#REF!</definedName>
    <definedName name="ConsSummData125_2">#REF!</definedName>
    <definedName name="ConsSummData125_3">#REF!</definedName>
    <definedName name="ConsSummData125_4">#REF!</definedName>
    <definedName name="ConsSummData125_5">#REF!</definedName>
    <definedName name="ConsSummData125_6">#REF!</definedName>
    <definedName name="ConsSummData125_7">#REF!</definedName>
    <definedName name="ConsSummData125_8">#REF!</definedName>
    <definedName name="ConsSummData126_1">#REF!</definedName>
    <definedName name="ConsSummData126_2">#REF!</definedName>
    <definedName name="ConsSummData126_3">#REF!</definedName>
    <definedName name="ConsSummData126_4">#REF!</definedName>
    <definedName name="ConsSummData126_5">#REF!</definedName>
    <definedName name="ConsSummData126_6">#REF!</definedName>
    <definedName name="ConsSummData126_7">#REF!</definedName>
    <definedName name="ConsSummData126_8">#REF!</definedName>
    <definedName name="ConsSummData127_1">#REF!</definedName>
    <definedName name="ConsSummData127_2">#REF!</definedName>
    <definedName name="ConsSummData127_3">#REF!</definedName>
    <definedName name="ConsSummData127_4">#REF!</definedName>
    <definedName name="ConsSummData127_5">#REF!</definedName>
    <definedName name="ConsSummData127_6">#REF!</definedName>
    <definedName name="ConsSummData127_7">#REF!</definedName>
    <definedName name="ConsSummData127_8">#REF!</definedName>
    <definedName name="ConsSummData128_1">#REF!</definedName>
    <definedName name="ConsSummData128_2">#REF!</definedName>
    <definedName name="ConsSummData128_3">#REF!</definedName>
    <definedName name="ConsSummData128_4">#REF!</definedName>
    <definedName name="ConsSummData128_5">#REF!</definedName>
    <definedName name="ConsSummData128_6">#REF!</definedName>
    <definedName name="ConsSummData128_7">#REF!</definedName>
    <definedName name="ConsSummData128_8">#REF!</definedName>
    <definedName name="ConsSummData129_1">#REF!</definedName>
    <definedName name="ConsSummData129_2">#REF!</definedName>
    <definedName name="ConsSummData129_3">#REF!</definedName>
    <definedName name="ConsSummData129_4">#REF!</definedName>
    <definedName name="ConsSummData129_5">#REF!</definedName>
    <definedName name="ConsSummData129_6">#REF!</definedName>
    <definedName name="ConsSummData129_7">#REF!</definedName>
    <definedName name="ConsSummData129_8">#REF!</definedName>
    <definedName name="ConsSummData13_1">#REF!</definedName>
    <definedName name="ConsSummData13_2">#REF!</definedName>
    <definedName name="ConsSummData13_3">#REF!</definedName>
    <definedName name="ConsSummData13_4">#REF!</definedName>
    <definedName name="ConsSummData13_5">#REF!</definedName>
    <definedName name="ConsSummData13_6">#REF!</definedName>
    <definedName name="ConsSummData13_7">#REF!</definedName>
    <definedName name="ConsSummData13_8">#REF!</definedName>
    <definedName name="ConsSummData130_1">#REF!</definedName>
    <definedName name="ConsSummData130_2">#REF!</definedName>
    <definedName name="ConsSummData130_3">#REF!</definedName>
    <definedName name="ConsSummData130_4">#REF!</definedName>
    <definedName name="ConsSummData130_5">#REF!</definedName>
    <definedName name="ConsSummData130_6">#REF!</definedName>
    <definedName name="ConsSummData130_7">#REF!</definedName>
    <definedName name="ConsSummData130_8">#REF!</definedName>
    <definedName name="ConsSummData131_1">#REF!</definedName>
    <definedName name="ConsSummData131_2">#REF!</definedName>
    <definedName name="ConsSummData131_3">#REF!</definedName>
    <definedName name="ConsSummData131_4">#REF!</definedName>
    <definedName name="ConsSummData131_5">#REF!</definedName>
    <definedName name="ConsSummData131_6">#REF!</definedName>
    <definedName name="ConsSummData131_7">#REF!</definedName>
    <definedName name="ConsSummData131_8">#REF!</definedName>
    <definedName name="ConsSummData14_1">#REF!</definedName>
    <definedName name="ConsSummData14_2">#REF!</definedName>
    <definedName name="ConsSummData14_3">#REF!</definedName>
    <definedName name="ConsSummData14_4">#REF!</definedName>
    <definedName name="ConsSummData14_5">#REF!</definedName>
    <definedName name="ConsSummData14_6">#REF!</definedName>
    <definedName name="ConsSummData14_7">#REF!</definedName>
    <definedName name="ConsSummData14_8">#REF!</definedName>
    <definedName name="ConsSummData15_1">#REF!</definedName>
    <definedName name="ConsSummData15_2">#REF!</definedName>
    <definedName name="ConsSummData15_3">#REF!</definedName>
    <definedName name="ConsSummData15_4">#REF!</definedName>
    <definedName name="ConsSummData15_5">#REF!</definedName>
    <definedName name="ConsSummData15_6">#REF!</definedName>
    <definedName name="ConsSummData15_7">#REF!</definedName>
    <definedName name="ConsSummData15_8">#REF!</definedName>
    <definedName name="ConsSummData16_1">#REF!</definedName>
    <definedName name="ConsSummData16_2">#REF!</definedName>
    <definedName name="ConsSummData16_3">#REF!</definedName>
    <definedName name="ConsSummData16_4">#REF!</definedName>
    <definedName name="ConsSummData16_5">#REF!</definedName>
    <definedName name="ConsSummData16_6">#REF!</definedName>
    <definedName name="ConsSummData16_7">#REF!</definedName>
    <definedName name="ConsSummData16_8">#REF!</definedName>
    <definedName name="ConsSummData17_1">#REF!</definedName>
    <definedName name="ConsSummData17_2">#REF!</definedName>
    <definedName name="ConsSummData17_3">#REF!</definedName>
    <definedName name="ConsSummData17_4">#REF!</definedName>
    <definedName name="ConsSummData17_5">#REF!</definedName>
    <definedName name="ConsSummData17_6">#REF!</definedName>
    <definedName name="ConsSummData17_7">#REF!</definedName>
    <definedName name="ConsSummData17_8">#REF!</definedName>
    <definedName name="ConsSummData18_1">#REF!</definedName>
    <definedName name="ConsSummData18_2">#REF!</definedName>
    <definedName name="ConsSummData18_3">#REF!</definedName>
    <definedName name="ConsSummData18_4">#REF!</definedName>
    <definedName name="ConsSummData18_5">#REF!</definedName>
    <definedName name="ConsSummData18_6">#REF!</definedName>
    <definedName name="ConsSummData18_7">#REF!</definedName>
    <definedName name="ConsSummData18_8">#REF!</definedName>
    <definedName name="ConsSummData19_1">#REF!</definedName>
    <definedName name="ConsSummData19_2">#REF!</definedName>
    <definedName name="ConsSummData19_3">#REF!</definedName>
    <definedName name="ConsSummData19_4">#REF!</definedName>
    <definedName name="ConsSummData19_5">#REF!</definedName>
    <definedName name="ConsSummData19_6">#REF!</definedName>
    <definedName name="ConsSummData19_7">#REF!</definedName>
    <definedName name="ConsSummData19_8">#REF!</definedName>
    <definedName name="ConsSummData2_1">#REF!</definedName>
    <definedName name="ConsSummData2_2">#REF!</definedName>
    <definedName name="ConsSummData2_3">#REF!</definedName>
    <definedName name="ConsSummData2_4">#REF!</definedName>
    <definedName name="ConsSummData2_5">#REF!</definedName>
    <definedName name="ConsSummData2_6">#REF!</definedName>
    <definedName name="ConsSummData2_7">#REF!</definedName>
    <definedName name="ConsSummData2_8">#REF!</definedName>
    <definedName name="ConsSummData20_1">#REF!</definedName>
    <definedName name="ConsSummData20_2">#REF!</definedName>
    <definedName name="ConsSummData20_3">#REF!</definedName>
    <definedName name="ConsSummData20_4">#REF!</definedName>
    <definedName name="ConsSummData20_5">#REF!</definedName>
    <definedName name="ConsSummData20_6">#REF!</definedName>
    <definedName name="ConsSummData20_7">#REF!</definedName>
    <definedName name="ConsSummData20_8">#REF!</definedName>
    <definedName name="ConsSummData21_1">#REF!</definedName>
    <definedName name="ConsSummData21_2">#REF!</definedName>
    <definedName name="ConsSummData21_3">#REF!</definedName>
    <definedName name="ConsSummData21_4">#REF!</definedName>
    <definedName name="ConsSummData21_5">#REF!</definedName>
    <definedName name="ConsSummData21_6">#REF!</definedName>
    <definedName name="ConsSummData21_7">#REF!</definedName>
    <definedName name="ConsSummData21_8">#REF!</definedName>
    <definedName name="ConsSummData22_1">#REF!</definedName>
    <definedName name="ConsSummData22_2">#REF!</definedName>
    <definedName name="ConsSummData22_3">#REF!</definedName>
    <definedName name="ConsSummData22_4">#REF!</definedName>
    <definedName name="ConsSummData22_5">#REF!</definedName>
    <definedName name="ConsSummData22_6">#REF!</definedName>
    <definedName name="ConsSummData22_7">#REF!</definedName>
    <definedName name="ConsSummData22_8">#REF!</definedName>
    <definedName name="ConsSummData23_1">#REF!</definedName>
    <definedName name="ConsSummData23_2">#REF!</definedName>
    <definedName name="ConsSummData23_3">#REF!</definedName>
    <definedName name="ConsSummData23_4">#REF!</definedName>
    <definedName name="ConsSummData23_5">#REF!</definedName>
    <definedName name="ConsSummData23_6">#REF!</definedName>
    <definedName name="ConsSummData23_7">#REF!</definedName>
    <definedName name="ConsSummData23_8">#REF!</definedName>
    <definedName name="ConsSummData24_1">#REF!</definedName>
    <definedName name="ConsSummData24_2">#REF!</definedName>
    <definedName name="ConsSummData24_3">#REF!</definedName>
    <definedName name="ConsSummData24_4">#REF!</definedName>
    <definedName name="ConsSummData24_5">#REF!</definedName>
    <definedName name="ConsSummData24_6">#REF!</definedName>
    <definedName name="ConsSummData24_7">#REF!</definedName>
    <definedName name="ConsSummData24_8">#REF!</definedName>
    <definedName name="ConsSummData25_1">#REF!</definedName>
    <definedName name="ConsSummData25_2">#REF!</definedName>
    <definedName name="ConsSummData25_3">#REF!</definedName>
    <definedName name="ConsSummData25_4">#REF!</definedName>
    <definedName name="ConsSummData25_5">#REF!</definedName>
    <definedName name="ConsSummData25_6">#REF!</definedName>
    <definedName name="ConsSummData25_7">#REF!</definedName>
    <definedName name="ConsSummData25_8">#REF!</definedName>
    <definedName name="ConsSummData26_1">#REF!</definedName>
    <definedName name="ConsSummData26_2">#REF!</definedName>
    <definedName name="ConsSummData26_3">#REF!</definedName>
    <definedName name="ConsSummData26_4">#REF!</definedName>
    <definedName name="ConsSummData26_5">#REF!</definedName>
    <definedName name="ConsSummData26_6">#REF!</definedName>
    <definedName name="ConsSummData26_7">#REF!</definedName>
    <definedName name="ConsSummData26_8">#REF!</definedName>
    <definedName name="ConsSummData27_1">#REF!</definedName>
    <definedName name="ConsSummData27_2">#REF!</definedName>
    <definedName name="ConsSummData27_3">#REF!</definedName>
    <definedName name="ConsSummData27_4">#REF!</definedName>
    <definedName name="ConsSummData27_5">#REF!</definedName>
    <definedName name="ConsSummData27_6">#REF!</definedName>
    <definedName name="ConsSummData27_7">#REF!</definedName>
    <definedName name="ConsSummData27_8">#REF!</definedName>
    <definedName name="ConsSummData28_1">#REF!</definedName>
    <definedName name="ConsSummData28_2">#REF!</definedName>
    <definedName name="ConsSummData28_3">#REF!</definedName>
    <definedName name="ConsSummData28_4">#REF!</definedName>
    <definedName name="ConsSummData28_5">#REF!</definedName>
    <definedName name="ConsSummData28_6">#REF!</definedName>
    <definedName name="ConsSummData28_7">#REF!</definedName>
    <definedName name="ConsSummData28_8">#REF!</definedName>
    <definedName name="ConsSummData29_1">#REF!</definedName>
    <definedName name="ConsSummData29_2">#REF!</definedName>
    <definedName name="ConsSummData29_3">#REF!</definedName>
    <definedName name="ConsSummData29_4">#REF!</definedName>
    <definedName name="ConsSummData29_5">#REF!</definedName>
    <definedName name="ConsSummData29_6">#REF!</definedName>
    <definedName name="ConsSummData29_7">#REF!</definedName>
    <definedName name="ConsSummData29_8">#REF!</definedName>
    <definedName name="ConsSummData3_1">#REF!</definedName>
    <definedName name="ConsSummData3_2">#REF!</definedName>
    <definedName name="ConsSummData3_3">#REF!</definedName>
    <definedName name="ConsSummData3_4">#REF!</definedName>
    <definedName name="ConsSummData3_5">#REF!</definedName>
    <definedName name="ConsSummData3_6">#REF!</definedName>
    <definedName name="ConsSummData3_7">#REF!</definedName>
    <definedName name="ConsSummData3_8">#REF!</definedName>
    <definedName name="ConsSummData30_1">#REF!</definedName>
    <definedName name="ConsSummData30_2">#REF!</definedName>
    <definedName name="ConsSummData30_3">#REF!</definedName>
    <definedName name="ConsSummData30_4">#REF!</definedName>
    <definedName name="ConsSummData30_5">#REF!</definedName>
    <definedName name="ConsSummData30_6">#REF!</definedName>
    <definedName name="ConsSummData30_7">#REF!</definedName>
    <definedName name="ConsSummData30_8">#REF!</definedName>
    <definedName name="ConsSummData31_1">#REF!</definedName>
    <definedName name="ConsSummData31_2">#REF!</definedName>
    <definedName name="ConsSummData31_3">#REF!</definedName>
    <definedName name="ConsSummData31_4">#REF!</definedName>
    <definedName name="ConsSummData31_5">#REF!</definedName>
    <definedName name="ConsSummData31_6">#REF!</definedName>
    <definedName name="ConsSummData31_7">#REF!</definedName>
    <definedName name="ConsSummData31_8">#REF!</definedName>
    <definedName name="ConsSummData32_1">#REF!</definedName>
    <definedName name="ConsSummData32_2">#REF!</definedName>
    <definedName name="ConsSummData32_3">#REF!</definedName>
    <definedName name="ConsSummData32_4">#REF!</definedName>
    <definedName name="ConsSummData32_5">#REF!</definedName>
    <definedName name="ConsSummData32_6">#REF!</definedName>
    <definedName name="ConsSummData32_7">#REF!</definedName>
    <definedName name="ConsSummData32_8">#REF!</definedName>
    <definedName name="ConsSummData33_1">#REF!</definedName>
    <definedName name="ConsSummData33_2">#REF!</definedName>
    <definedName name="ConsSummData33_3">#REF!</definedName>
    <definedName name="ConsSummData33_4">#REF!</definedName>
    <definedName name="ConsSummData33_5">#REF!</definedName>
    <definedName name="ConsSummData33_6">#REF!</definedName>
    <definedName name="ConsSummData33_7">#REF!</definedName>
    <definedName name="ConsSummData33_8">#REF!</definedName>
    <definedName name="ConsSummData34_1">#REF!</definedName>
    <definedName name="ConsSummData34_2">#REF!</definedName>
    <definedName name="ConsSummData34_3">#REF!</definedName>
    <definedName name="ConsSummData34_4">#REF!</definedName>
    <definedName name="ConsSummData34_5">#REF!</definedName>
    <definedName name="ConsSummData34_6">#REF!</definedName>
    <definedName name="ConsSummData34_7">#REF!</definedName>
    <definedName name="ConsSummData34_8">#REF!</definedName>
    <definedName name="ConsSummData35_1">#REF!</definedName>
    <definedName name="ConsSummData35_2">#REF!</definedName>
    <definedName name="ConsSummData35_3">#REF!</definedName>
    <definedName name="ConsSummData35_4">#REF!</definedName>
    <definedName name="ConsSummData35_5">#REF!</definedName>
    <definedName name="ConsSummData35_6">#REF!</definedName>
    <definedName name="ConsSummData35_7">#REF!</definedName>
    <definedName name="ConsSummData35_8">#REF!</definedName>
    <definedName name="ConsSummData36_1">#REF!</definedName>
    <definedName name="ConsSummData36_2">#REF!</definedName>
    <definedName name="ConsSummData36_3">#REF!</definedName>
    <definedName name="ConsSummData36_4">#REF!</definedName>
    <definedName name="ConsSummData36_5">#REF!</definedName>
    <definedName name="ConsSummData36_6">#REF!</definedName>
    <definedName name="ConsSummData36_7">#REF!</definedName>
    <definedName name="ConsSummData36_8">#REF!</definedName>
    <definedName name="ConsSummData37_1">#REF!</definedName>
    <definedName name="ConsSummData37_2">#REF!</definedName>
    <definedName name="ConsSummData37_3">#REF!</definedName>
    <definedName name="ConsSummData37_4">#REF!</definedName>
    <definedName name="ConsSummData37_5">#REF!</definedName>
    <definedName name="ConsSummData37_6">#REF!</definedName>
    <definedName name="ConsSummData37_7">#REF!</definedName>
    <definedName name="ConsSummData37_8">#REF!</definedName>
    <definedName name="ConsSummData38_1">#REF!</definedName>
    <definedName name="ConsSummData38_2">#REF!</definedName>
    <definedName name="ConsSummData38_3">#REF!</definedName>
    <definedName name="ConsSummData38_4">#REF!</definedName>
    <definedName name="ConsSummData38_5">#REF!</definedName>
    <definedName name="ConsSummData38_6">#REF!</definedName>
    <definedName name="ConsSummData38_7">#REF!</definedName>
    <definedName name="ConsSummData38_8">#REF!</definedName>
    <definedName name="ConsSummData39_1">#REF!</definedName>
    <definedName name="ConsSummData39_2">#REF!</definedName>
    <definedName name="ConsSummData39_3">#REF!</definedName>
    <definedName name="ConsSummData39_4">#REF!</definedName>
    <definedName name="ConsSummData39_5">#REF!</definedName>
    <definedName name="ConsSummData39_6">#REF!</definedName>
    <definedName name="ConsSummData39_7">#REF!</definedName>
    <definedName name="ConsSummData39_8">#REF!</definedName>
    <definedName name="ConsSummData4_1">#REF!</definedName>
    <definedName name="ConsSummData4_2">#REF!</definedName>
    <definedName name="ConsSummData4_3">#REF!</definedName>
    <definedName name="ConsSummData4_4">#REF!</definedName>
    <definedName name="ConsSummData4_5">#REF!</definedName>
    <definedName name="ConsSummData4_6">#REF!</definedName>
    <definedName name="ConsSummData4_7">#REF!</definedName>
    <definedName name="ConsSummData4_8">#REF!</definedName>
    <definedName name="ConsSummData40_1">#REF!</definedName>
    <definedName name="ConsSummData40_2">#REF!</definedName>
    <definedName name="ConsSummData40_3">#REF!</definedName>
    <definedName name="ConsSummData40_4">#REF!</definedName>
    <definedName name="ConsSummData40_5">#REF!</definedName>
    <definedName name="ConsSummData40_6">#REF!</definedName>
    <definedName name="ConsSummData40_7">#REF!</definedName>
    <definedName name="ConsSummData40_8">#REF!</definedName>
    <definedName name="ConsSummData41_1">#REF!</definedName>
    <definedName name="ConsSummData41_2">#REF!</definedName>
    <definedName name="ConsSummData41_3">#REF!</definedName>
    <definedName name="ConsSummData41_4">#REF!</definedName>
    <definedName name="ConsSummData41_5">#REF!</definedName>
    <definedName name="ConsSummData41_6">#REF!</definedName>
    <definedName name="ConsSummData41_7">#REF!</definedName>
    <definedName name="ConsSummData41_8">#REF!</definedName>
    <definedName name="ConsSummData42_1">#REF!</definedName>
    <definedName name="ConsSummData42_2">#REF!</definedName>
    <definedName name="ConsSummData42_3">#REF!</definedName>
    <definedName name="ConsSummData42_4">#REF!</definedName>
    <definedName name="ConsSummData42_5">#REF!</definedName>
    <definedName name="ConsSummData42_6">#REF!</definedName>
    <definedName name="ConsSummData42_7">#REF!</definedName>
    <definedName name="ConsSummData42_8">#REF!</definedName>
    <definedName name="ConsSummData43_1">#REF!</definedName>
    <definedName name="ConsSummData43_2">#REF!</definedName>
    <definedName name="ConsSummData43_3">#REF!</definedName>
    <definedName name="ConsSummData43_4">#REF!</definedName>
    <definedName name="ConsSummData43_5">#REF!</definedName>
    <definedName name="ConsSummData43_6">#REF!</definedName>
    <definedName name="ConsSummData43_7">#REF!</definedName>
    <definedName name="ConsSummData43_8">#REF!</definedName>
    <definedName name="ConsSummData44_1">#REF!</definedName>
    <definedName name="ConsSummData44_2">#REF!</definedName>
    <definedName name="ConsSummData44_3">#REF!</definedName>
    <definedName name="ConsSummData44_4">#REF!</definedName>
    <definedName name="ConsSummData44_5">#REF!</definedName>
    <definedName name="ConsSummData44_6">#REF!</definedName>
    <definedName name="ConsSummData44_7">#REF!</definedName>
    <definedName name="ConsSummData44_8">#REF!</definedName>
    <definedName name="ConsSummData45_1">#REF!</definedName>
    <definedName name="ConsSummData45_2">#REF!</definedName>
    <definedName name="ConsSummData45_3">#REF!</definedName>
    <definedName name="ConsSummData45_4">#REF!</definedName>
    <definedName name="ConsSummData45_5">#REF!</definedName>
    <definedName name="ConsSummData45_6">#REF!</definedName>
    <definedName name="ConsSummData45_7">#REF!</definedName>
    <definedName name="ConsSummData45_8">#REF!</definedName>
    <definedName name="ConsSummData46_1">#REF!</definedName>
    <definedName name="ConsSummData46_2">#REF!</definedName>
    <definedName name="ConsSummData46_3">#REF!</definedName>
    <definedName name="ConsSummData46_4">#REF!</definedName>
    <definedName name="ConsSummData46_5">#REF!</definedName>
    <definedName name="ConsSummData46_6">#REF!</definedName>
    <definedName name="ConsSummData46_7">#REF!</definedName>
    <definedName name="ConsSummData46_8">#REF!</definedName>
    <definedName name="ConsSummData47_1">#REF!</definedName>
    <definedName name="ConsSummData47_2">#REF!</definedName>
    <definedName name="ConsSummData47_3">#REF!</definedName>
    <definedName name="ConsSummData47_4">#REF!</definedName>
    <definedName name="ConsSummData47_5">#REF!</definedName>
    <definedName name="ConsSummData47_6">#REF!</definedName>
    <definedName name="ConsSummData47_7">#REF!</definedName>
    <definedName name="ConsSummData47_8">#REF!</definedName>
    <definedName name="ConsSummData48_1">#REF!</definedName>
    <definedName name="ConsSummData48_2">#REF!</definedName>
    <definedName name="ConsSummData48_3">#REF!</definedName>
    <definedName name="ConsSummData48_4">#REF!</definedName>
    <definedName name="ConsSummData48_5">#REF!</definedName>
    <definedName name="ConsSummData48_6">#REF!</definedName>
    <definedName name="ConsSummData48_7">#REF!</definedName>
    <definedName name="ConsSummData48_8">#REF!</definedName>
    <definedName name="ConsSummData49_1">#REF!</definedName>
    <definedName name="ConsSummData49_2">#REF!</definedName>
    <definedName name="ConsSummData49_3">#REF!</definedName>
    <definedName name="ConsSummData49_4">#REF!</definedName>
    <definedName name="ConsSummData49_5">#REF!</definedName>
    <definedName name="ConsSummData49_6">#REF!</definedName>
    <definedName name="ConsSummData49_7">#REF!</definedName>
    <definedName name="ConsSummData49_8">#REF!</definedName>
    <definedName name="ConsSummData5_1">#REF!</definedName>
    <definedName name="ConsSummData5_2">#REF!</definedName>
    <definedName name="ConsSummData5_3">#REF!</definedName>
    <definedName name="ConsSummData5_4">#REF!</definedName>
    <definedName name="ConsSummData5_5">#REF!</definedName>
    <definedName name="ConsSummData5_6">#REF!</definedName>
    <definedName name="ConsSummData5_7">#REF!</definedName>
    <definedName name="ConsSummData5_8">#REF!</definedName>
    <definedName name="ConsSummData50_1">#REF!</definedName>
    <definedName name="ConsSummData50_2">#REF!</definedName>
    <definedName name="ConsSummData50_3">#REF!</definedName>
    <definedName name="ConsSummData50_4">#REF!</definedName>
    <definedName name="ConsSummData50_5">#REF!</definedName>
    <definedName name="ConsSummData50_6">#REF!</definedName>
    <definedName name="ConsSummData50_7">#REF!</definedName>
    <definedName name="ConsSummData50_8">#REF!</definedName>
    <definedName name="ConsSummData51_1">#REF!</definedName>
    <definedName name="ConsSummData51_2">#REF!</definedName>
    <definedName name="ConsSummData51_3">#REF!</definedName>
    <definedName name="ConsSummData51_4">#REF!</definedName>
    <definedName name="ConsSummData51_5">#REF!</definedName>
    <definedName name="ConsSummData51_6">#REF!</definedName>
    <definedName name="ConsSummData51_7">#REF!</definedName>
    <definedName name="ConsSummData51_8">#REF!</definedName>
    <definedName name="ConsSummData52_1">#REF!</definedName>
    <definedName name="ConsSummData52_2">#REF!</definedName>
    <definedName name="ConsSummData52_3">#REF!</definedName>
    <definedName name="ConsSummData52_4">#REF!</definedName>
    <definedName name="ConsSummData52_5">#REF!</definedName>
    <definedName name="ConsSummData52_6">#REF!</definedName>
    <definedName name="ConsSummData52_7">#REF!</definedName>
    <definedName name="ConsSummData52_8">#REF!</definedName>
    <definedName name="ConsSummData53_1">#REF!</definedName>
    <definedName name="ConsSummData53_2">#REF!</definedName>
    <definedName name="ConsSummData53_3">#REF!</definedName>
    <definedName name="ConsSummData53_4">#REF!</definedName>
    <definedName name="ConsSummData53_5">#REF!</definedName>
    <definedName name="ConsSummData53_6">#REF!</definedName>
    <definedName name="ConsSummData53_7">#REF!</definedName>
    <definedName name="ConsSummData53_8">#REF!</definedName>
    <definedName name="ConsSummData54_1">#REF!</definedName>
    <definedName name="ConsSummData54_2">#REF!</definedName>
    <definedName name="ConsSummData54_3">#REF!</definedName>
    <definedName name="ConsSummData54_4">#REF!</definedName>
    <definedName name="ConsSummData54_5">#REF!</definedName>
    <definedName name="ConsSummData54_6">#REF!</definedName>
    <definedName name="ConsSummData54_7">#REF!</definedName>
    <definedName name="ConsSummData54_8">#REF!</definedName>
    <definedName name="ConsSummData55_1">#REF!</definedName>
    <definedName name="ConsSummData55_2">#REF!</definedName>
    <definedName name="ConsSummData55_3">#REF!</definedName>
    <definedName name="ConsSummData55_4">#REF!</definedName>
    <definedName name="ConsSummData55_5">#REF!</definedName>
    <definedName name="ConsSummData55_6">#REF!</definedName>
    <definedName name="ConsSummData55_7">#REF!</definedName>
    <definedName name="ConsSummData55_8">#REF!</definedName>
    <definedName name="ConsSummData56_1">#REF!</definedName>
    <definedName name="ConsSummData56_2">#REF!</definedName>
    <definedName name="ConsSummData56_3">#REF!</definedName>
    <definedName name="ConsSummData56_4">#REF!</definedName>
    <definedName name="ConsSummData56_5">#REF!</definedName>
    <definedName name="ConsSummData56_6">#REF!</definedName>
    <definedName name="ConsSummData56_7">#REF!</definedName>
    <definedName name="ConsSummData56_8">#REF!</definedName>
    <definedName name="ConsSummData57_1">#REF!</definedName>
    <definedName name="ConsSummData57_2">#REF!</definedName>
    <definedName name="ConsSummData57_3">#REF!</definedName>
    <definedName name="ConsSummData57_4">#REF!</definedName>
    <definedName name="ConsSummData57_5">#REF!</definedName>
    <definedName name="ConsSummData57_6">#REF!</definedName>
    <definedName name="ConsSummData57_7">#REF!</definedName>
    <definedName name="ConsSummData57_8">#REF!</definedName>
    <definedName name="ConsSummData58_1">#REF!</definedName>
    <definedName name="ConsSummData58_2">#REF!</definedName>
    <definedName name="ConsSummData58_3">#REF!</definedName>
    <definedName name="ConsSummData58_4">#REF!</definedName>
    <definedName name="ConsSummData58_5">#REF!</definedName>
    <definedName name="ConsSummData58_6">#REF!</definedName>
    <definedName name="ConsSummData58_7">#REF!</definedName>
    <definedName name="ConsSummData58_8">#REF!</definedName>
    <definedName name="ConsSummData59_1">#REF!</definedName>
    <definedName name="ConsSummData59_2">#REF!</definedName>
    <definedName name="ConsSummData59_3">#REF!</definedName>
    <definedName name="ConsSummData59_4">#REF!</definedName>
    <definedName name="ConsSummData59_5">#REF!</definedName>
    <definedName name="ConsSummData59_6">#REF!</definedName>
    <definedName name="ConsSummData59_7">#REF!</definedName>
    <definedName name="ConsSummData59_8">#REF!</definedName>
    <definedName name="ConsSummData6_1">#REF!</definedName>
    <definedName name="ConsSummData6_2">#REF!</definedName>
    <definedName name="ConsSummData6_3">#REF!</definedName>
    <definedName name="ConsSummData6_4">#REF!</definedName>
    <definedName name="ConsSummData6_5">#REF!</definedName>
    <definedName name="ConsSummData6_6">#REF!</definedName>
    <definedName name="ConsSummData6_7">#REF!</definedName>
    <definedName name="ConsSummData6_8">#REF!</definedName>
    <definedName name="ConsSummData60_1">#REF!</definedName>
    <definedName name="ConsSummData60_2">#REF!</definedName>
    <definedName name="ConsSummData60_3">#REF!</definedName>
    <definedName name="ConsSummData60_4">#REF!</definedName>
    <definedName name="ConsSummData60_5">#REF!</definedName>
    <definedName name="ConsSummData60_6">#REF!</definedName>
    <definedName name="ConsSummData60_7">#REF!</definedName>
    <definedName name="ConsSummData60_8">#REF!</definedName>
    <definedName name="ConsSummData61_1">#REF!</definedName>
    <definedName name="ConsSummData61_2">#REF!</definedName>
    <definedName name="ConsSummData61_3">#REF!</definedName>
    <definedName name="ConsSummData61_4">#REF!</definedName>
    <definedName name="ConsSummData61_5">#REF!</definedName>
    <definedName name="ConsSummData61_6">#REF!</definedName>
    <definedName name="ConsSummData61_7">#REF!</definedName>
    <definedName name="ConsSummData61_8">#REF!</definedName>
    <definedName name="ConsSummData62_1">#REF!</definedName>
    <definedName name="ConsSummData62_2">#REF!</definedName>
    <definedName name="ConsSummData62_3">#REF!</definedName>
    <definedName name="ConsSummData62_4">#REF!</definedName>
    <definedName name="ConsSummData62_5">#REF!</definedName>
    <definedName name="ConsSummData62_6">#REF!</definedName>
    <definedName name="ConsSummData62_7">#REF!</definedName>
    <definedName name="ConsSummData62_8">#REF!</definedName>
    <definedName name="ConsSummData63_1">#REF!</definedName>
    <definedName name="ConsSummData63_2">#REF!</definedName>
    <definedName name="ConsSummData63_3">#REF!</definedName>
    <definedName name="ConsSummData63_4">#REF!</definedName>
    <definedName name="ConsSummData63_5">#REF!</definedName>
    <definedName name="ConsSummData63_6">#REF!</definedName>
    <definedName name="ConsSummData63_7">#REF!</definedName>
    <definedName name="ConsSummData63_8">#REF!</definedName>
    <definedName name="ConsSummData64_1">#REF!</definedName>
    <definedName name="ConsSummData64_2">#REF!</definedName>
    <definedName name="ConsSummData64_3">#REF!</definedName>
    <definedName name="ConsSummData64_4">#REF!</definedName>
    <definedName name="ConsSummData64_5">#REF!</definedName>
    <definedName name="ConsSummData64_6">#REF!</definedName>
    <definedName name="ConsSummData64_7">#REF!</definedName>
    <definedName name="ConsSummData64_8">#REF!</definedName>
    <definedName name="ConsSummData65_1">#REF!</definedName>
    <definedName name="ConsSummData65_2">#REF!</definedName>
    <definedName name="ConsSummData65_3">#REF!</definedName>
    <definedName name="ConsSummData65_4">#REF!</definedName>
    <definedName name="ConsSummData65_5">#REF!</definedName>
    <definedName name="ConsSummData65_6">#REF!</definedName>
    <definedName name="ConsSummData65_7">#REF!</definedName>
    <definedName name="ConsSummData65_8">#REF!</definedName>
    <definedName name="ConsSummData66_1">#REF!</definedName>
    <definedName name="ConsSummData66_2">#REF!</definedName>
    <definedName name="ConsSummData66_3">#REF!</definedName>
    <definedName name="ConsSummData66_4">#REF!</definedName>
    <definedName name="ConsSummData66_5">#REF!</definedName>
    <definedName name="ConsSummData66_6">#REF!</definedName>
    <definedName name="ConsSummData66_7">#REF!</definedName>
    <definedName name="ConsSummData66_8">#REF!</definedName>
    <definedName name="ConsSummData67_1">#REF!</definedName>
    <definedName name="ConsSummData67_2">#REF!</definedName>
    <definedName name="ConsSummData67_3">#REF!</definedName>
    <definedName name="ConsSummData67_4">#REF!</definedName>
    <definedName name="ConsSummData67_5">#REF!</definedName>
    <definedName name="ConsSummData67_6">#REF!</definedName>
    <definedName name="ConsSummData67_7">#REF!</definedName>
    <definedName name="ConsSummData67_8">#REF!</definedName>
    <definedName name="ConsSummData68_1">#REF!</definedName>
    <definedName name="ConsSummData68_2">#REF!</definedName>
    <definedName name="ConsSummData68_3">#REF!</definedName>
    <definedName name="ConsSummData68_4">#REF!</definedName>
    <definedName name="ConsSummData68_5">#REF!</definedName>
    <definedName name="ConsSummData68_6">#REF!</definedName>
    <definedName name="ConsSummData68_7">#REF!</definedName>
    <definedName name="ConsSummData68_8">#REF!</definedName>
    <definedName name="ConsSummData69_1">#REF!</definedName>
    <definedName name="ConsSummData69_2">#REF!</definedName>
    <definedName name="ConsSummData69_3">#REF!</definedName>
    <definedName name="ConsSummData69_4">#REF!</definedName>
    <definedName name="ConsSummData69_5">#REF!</definedName>
    <definedName name="ConsSummData69_6">#REF!</definedName>
    <definedName name="ConsSummData69_7">#REF!</definedName>
    <definedName name="ConsSummData69_8">#REF!</definedName>
    <definedName name="ConsSummData7_1">#REF!</definedName>
    <definedName name="ConsSummData7_2">#REF!</definedName>
    <definedName name="ConsSummData7_3">#REF!</definedName>
    <definedName name="ConsSummData7_4">#REF!</definedName>
    <definedName name="ConsSummData7_5">#REF!</definedName>
    <definedName name="ConsSummData7_6">#REF!</definedName>
    <definedName name="ConsSummData7_7">#REF!</definedName>
    <definedName name="ConsSummData7_8">#REF!</definedName>
    <definedName name="ConsSummData70_1">#REF!</definedName>
    <definedName name="ConsSummData70_2">#REF!</definedName>
    <definedName name="ConsSummData70_3">#REF!</definedName>
    <definedName name="ConsSummData70_4">#REF!</definedName>
    <definedName name="ConsSummData70_5">#REF!</definedName>
    <definedName name="ConsSummData70_6">#REF!</definedName>
    <definedName name="ConsSummData70_7">#REF!</definedName>
    <definedName name="ConsSummData70_8">#REF!</definedName>
    <definedName name="ConsSummData71_1">#REF!</definedName>
    <definedName name="ConsSummData71_2">#REF!</definedName>
    <definedName name="ConsSummData71_3">#REF!</definedName>
    <definedName name="ConsSummData71_4">#REF!</definedName>
    <definedName name="ConsSummData71_5">#REF!</definedName>
    <definedName name="ConsSummData71_6">#REF!</definedName>
    <definedName name="ConsSummData71_7">#REF!</definedName>
    <definedName name="ConsSummData71_8">#REF!</definedName>
    <definedName name="ConsSummData72_1">#REF!</definedName>
    <definedName name="ConsSummData72_2">#REF!</definedName>
    <definedName name="ConsSummData72_3">#REF!</definedName>
    <definedName name="ConsSummData72_4">#REF!</definedName>
    <definedName name="ConsSummData72_5">#REF!</definedName>
    <definedName name="ConsSummData72_6">#REF!</definedName>
    <definedName name="ConsSummData72_7">#REF!</definedName>
    <definedName name="ConsSummData72_8">#REF!</definedName>
    <definedName name="ConsSummData73_1">#REF!</definedName>
    <definedName name="ConsSummData73_2">#REF!</definedName>
    <definedName name="ConsSummData73_3">#REF!</definedName>
    <definedName name="ConsSummData73_4">#REF!</definedName>
    <definedName name="ConsSummData73_5">#REF!</definedName>
    <definedName name="ConsSummData73_6">#REF!</definedName>
    <definedName name="ConsSummData73_7">#REF!</definedName>
    <definedName name="ConsSummData73_8">#REF!</definedName>
    <definedName name="ConsSummData74_1">#REF!</definedName>
    <definedName name="ConsSummData74_2">#REF!</definedName>
    <definedName name="ConsSummData74_3">#REF!</definedName>
    <definedName name="ConsSummData74_4">#REF!</definedName>
    <definedName name="ConsSummData74_5">#REF!</definedName>
    <definedName name="ConsSummData74_6">#REF!</definedName>
    <definedName name="ConsSummData74_7">#REF!</definedName>
    <definedName name="ConsSummData74_8">#REF!</definedName>
    <definedName name="ConsSummData75_1">#REF!</definedName>
    <definedName name="ConsSummData75_2">#REF!</definedName>
    <definedName name="ConsSummData75_3">#REF!</definedName>
    <definedName name="ConsSummData75_4">#REF!</definedName>
    <definedName name="ConsSummData75_5">#REF!</definedName>
    <definedName name="ConsSummData75_6">#REF!</definedName>
    <definedName name="ConsSummData75_7">#REF!</definedName>
    <definedName name="ConsSummData75_8">#REF!</definedName>
    <definedName name="ConsSummData76_1">#REF!</definedName>
    <definedName name="ConsSummData76_2">#REF!</definedName>
    <definedName name="ConsSummData76_3">#REF!</definedName>
    <definedName name="ConsSummData76_4">#REF!</definedName>
    <definedName name="ConsSummData76_5">#REF!</definedName>
    <definedName name="ConsSummData76_6">#REF!</definedName>
    <definedName name="ConsSummData76_7">#REF!</definedName>
    <definedName name="ConsSummData76_8">#REF!</definedName>
    <definedName name="ConsSummData77_1">#REF!</definedName>
    <definedName name="ConsSummData77_2">#REF!</definedName>
    <definedName name="ConsSummData77_3">#REF!</definedName>
    <definedName name="ConsSummData77_4">#REF!</definedName>
    <definedName name="ConsSummData77_5">#REF!</definedName>
    <definedName name="ConsSummData77_6">#REF!</definedName>
    <definedName name="ConsSummData77_7">#REF!</definedName>
    <definedName name="ConsSummData77_8">#REF!</definedName>
    <definedName name="ConsSummData78_1">#REF!</definedName>
    <definedName name="ConsSummData78_2">#REF!</definedName>
    <definedName name="ConsSummData78_3">#REF!</definedName>
    <definedName name="ConsSummData78_4">#REF!</definedName>
    <definedName name="ConsSummData78_5">#REF!</definedName>
    <definedName name="ConsSummData78_6">#REF!</definedName>
    <definedName name="ConsSummData78_7">#REF!</definedName>
    <definedName name="ConsSummData78_8">#REF!</definedName>
    <definedName name="ConsSummData79_1">#REF!</definedName>
    <definedName name="ConsSummData79_2">#REF!</definedName>
    <definedName name="ConsSummData79_3">#REF!</definedName>
    <definedName name="ConsSummData79_4">#REF!</definedName>
    <definedName name="ConsSummData79_5">#REF!</definedName>
    <definedName name="ConsSummData79_6">#REF!</definedName>
    <definedName name="ConsSummData79_7">#REF!</definedName>
    <definedName name="ConsSummData79_8">#REF!</definedName>
    <definedName name="ConsSummData8_1">#REF!</definedName>
    <definedName name="ConsSummData8_2">#REF!</definedName>
    <definedName name="ConsSummData8_3">#REF!</definedName>
    <definedName name="ConsSummData8_4">#REF!</definedName>
    <definedName name="ConsSummData8_5">#REF!</definedName>
    <definedName name="ConsSummData8_6">#REF!</definedName>
    <definedName name="ConsSummData8_7">#REF!</definedName>
    <definedName name="ConsSummData8_8">#REF!</definedName>
    <definedName name="ConsSummData80_1">#REF!</definedName>
    <definedName name="ConsSummData80_2">#REF!</definedName>
    <definedName name="ConsSummData80_3">#REF!</definedName>
    <definedName name="ConsSummData80_4">#REF!</definedName>
    <definedName name="ConsSummData80_5">#REF!</definedName>
    <definedName name="ConsSummData80_6">#REF!</definedName>
    <definedName name="ConsSummData80_7">#REF!</definedName>
    <definedName name="ConsSummData80_8">#REF!</definedName>
    <definedName name="ConsSummData81_1">#REF!</definedName>
    <definedName name="ConsSummData81_2">#REF!</definedName>
    <definedName name="ConsSummData81_3">#REF!</definedName>
    <definedName name="ConsSummData81_4">#REF!</definedName>
    <definedName name="ConsSummData81_5">#REF!</definedName>
    <definedName name="ConsSummData81_6">#REF!</definedName>
    <definedName name="ConsSummData81_7">#REF!</definedName>
    <definedName name="ConsSummData81_8">#REF!</definedName>
    <definedName name="ConsSummData82_1">#REF!</definedName>
    <definedName name="ConsSummData82_2">#REF!</definedName>
    <definedName name="ConsSummData82_3">#REF!</definedName>
    <definedName name="ConsSummData82_4">#REF!</definedName>
    <definedName name="ConsSummData82_5">#REF!</definedName>
    <definedName name="ConsSummData82_6">#REF!</definedName>
    <definedName name="ConsSummData82_7">#REF!</definedName>
    <definedName name="ConsSummData82_8">#REF!</definedName>
    <definedName name="ConsSummData83_1">#REF!</definedName>
    <definedName name="ConsSummData83_2">#REF!</definedName>
    <definedName name="ConsSummData83_3">#REF!</definedName>
    <definedName name="ConsSummData83_4">#REF!</definedName>
    <definedName name="ConsSummData83_5">#REF!</definedName>
    <definedName name="ConsSummData83_6">#REF!</definedName>
    <definedName name="ConsSummData83_7">#REF!</definedName>
    <definedName name="ConsSummData83_8">#REF!</definedName>
    <definedName name="ConsSummData84_1">#REF!</definedName>
    <definedName name="ConsSummData84_2">#REF!</definedName>
    <definedName name="ConsSummData84_3">#REF!</definedName>
    <definedName name="ConsSummData84_4">#REF!</definedName>
    <definedName name="ConsSummData84_5">#REF!</definedName>
    <definedName name="ConsSummData84_6">#REF!</definedName>
    <definedName name="ConsSummData84_7">#REF!</definedName>
    <definedName name="ConsSummData84_8">#REF!</definedName>
    <definedName name="ConsSummData85_1">#REF!</definedName>
    <definedName name="ConsSummData85_2">#REF!</definedName>
    <definedName name="ConsSummData85_3">#REF!</definedName>
    <definedName name="ConsSummData85_4">#REF!</definedName>
    <definedName name="ConsSummData85_5">#REF!</definedName>
    <definedName name="ConsSummData85_6">#REF!</definedName>
    <definedName name="ConsSummData85_7">#REF!</definedName>
    <definedName name="ConsSummData85_8">#REF!</definedName>
    <definedName name="ConsSummData86_1">#REF!</definedName>
    <definedName name="ConsSummData86_2">#REF!</definedName>
    <definedName name="ConsSummData86_3">#REF!</definedName>
    <definedName name="ConsSummData86_4">#REF!</definedName>
    <definedName name="ConsSummData86_5">#REF!</definedName>
    <definedName name="ConsSummData86_6">#REF!</definedName>
    <definedName name="ConsSummData86_7">#REF!</definedName>
    <definedName name="ConsSummData86_8">#REF!</definedName>
    <definedName name="ConsSummData87_1">#REF!</definedName>
    <definedName name="ConsSummData87_2">#REF!</definedName>
    <definedName name="ConsSummData87_3">#REF!</definedName>
    <definedName name="ConsSummData87_4">#REF!</definedName>
    <definedName name="ConsSummData87_5">#REF!</definedName>
    <definedName name="ConsSummData87_6">#REF!</definedName>
    <definedName name="ConsSummData87_7">#REF!</definedName>
    <definedName name="ConsSummData87_8">#REF!</definedName>
    <definedName name="ConsSummData88_1">#REF!</definedName>
    <definedName name="ConsSummData88_2">#REF!</definedName>
    <definedName name="ConsSummData88_3">#REF!</definedName>
    <definedName name="ConsSummData88_4">#REF!</definedName>
    <definedName name="ConsSummData88_5">#REF!</definedName>
    <definedName name="ConsSummData88_6">#REF!</definedName>
    <definedName name="ConsSummData88_7">#REF!</definedName>
    <definedName name="ConsSummData88_8">#REF!</definedName>
    <definedName name="ConsSummData89_1">#REF!</definedName>
    <definedName name="ConsSummData89_2">#REF!</definedName>
    <definedName name="ConsSummData89_3">#REF!</definedName>
    <definedName name="ConsSummData89_4">#REF!</definedName>
    <definedName name="ConsSummData89_5">#REF!</definedName>
    <definedName name="ConsSummData89_6">#REF!</definedName>
    <definedName name="ConsSummData89_7">#REF!</definedName>
    <definedName name="ConsSummData89_8">#REF!</definedName>
    <definedName name="ConsSummData9_1">#REF!</definedName>
    <definedName name="ConsSummData9_2">#REF!</definedName>
    <definedName name="ConsSummData9_3">#REF!</definedName>
    <definedName name="ConsSummData9_4">#REF!</definedName>
    <definedName name="ConsSummData9_5">#REF!</definedName>
    <definedName name="ConsSummData9_6">#REF!</definedName>
    <definedName name="ConsSummData9_7">#REF!</definedName>
    <definedName name="ConsSummData9_8">#REF!</definedName>
    <definedName name="ConsSummData90_1">#REF!</definedName>
    <definedName name="ConsSummData90_2">#REF!</definedName>
    <definedName name="ConsSummData90_3">#REF!</definedName>
    <definedName name="ConsSummData90_4">#REF!</definedName>
    <definedName name="ConsSummData90_5">#REF!</definedName>
    <definedName name="ConsSummData90_6">#REF!</definedName>
    <definedName name="ConsSummData90_7">#REF!</definedName>
    <definedName name="ConsSummData90_8">#REF!</definedName>
    <definedName name="ConsSummData91_1">#REF!</definedName>
    <definedName name="ConsSummData91_2">#REF!</definedName>
    <definedName name="ConsSummData91_3">#REF!</definedName>
    <definedName name="ConsSummData91_4">#REF!</definedName>
    <definedName name="ConsSummData91_5">#REF!</definedName>
    <definedName name="ConsSummData91_6">#REF!</definedName>
    <definedName name="ConsSummData91_7">#REF!</definedName>
    <definedName name="ConsSummData91_8">#REF!</definedName>
    <definedName name="ConsSummData92_1">#REF!</definedName>
    <definedName name="ConsSummData92_2">#REF!</definedName>
    <definedName name="ConsSummData92_3">#REF!</definedName>
    <definedName name="ConsSummData92_4">#REF!</definedName>
    <definedName name="ConsSummData92_5">#REF!</definedName>
    <definedName name="ConsSummData92_6">#REF!</definedName>
    <definedName name="ConsSummData92_7">#REF!</definedName>
    <definedName name="ConsSummData92_8">#REF!</definedName>
    <definedName name="ConsSummData93_1">#REF!</definedName>
    <definedName name="ConsSummData93_2">#REF!</definedName>
    <definedName name="ConsSummData93_3">#REF!</definedName>
    <definedName name="ConsSummData93_4">#REF!</definedName>
    <definedName name="ConsSummData93_5">#REF!</definedName>
    <definedName name="ConsSummData93_6">#REF!</definedName>
    <definedName name="ConsSummData93_7">#REF!</definedName>
    <definedName name="ConsSummData93_8">#REF!</definedName>
    <definedName name="ConsSummData94_1">#REF!</definedName>
    <definedName name="ConsSummData94_2">#REF!</definedName>
    <definedName name="ConsSummData94_3">#REF!</definedName>
    <definedName name="ConsSummData94_4">#REF!</definedName>
    <definedName name="ConsSummData94_5">#REF!</definedName>
    <definedName name="ConsSummData94_6">#REF!</definedName>
    <definedName name="ConsSummData94_7">#REF!</definedName>
    <definedName name="ConsSummData94_8">#REF!</definedName>
    <definedName name="ConsSummData95_1">#REF!</definedName>
    <definedName name="ConsSummData95_2">#REF!</definedName>
    <definedName name="ConsSummData95_3">#REF!</definedName>
    <definedName name="ConsSummData95_4">#REF!</definedName>
    <definedName name="ConsSummData95_5">#REF!</definedName>
    <definedName name="ConsSummData95_6">#REF!</definedName>
    <definedName name="ConsSummData95_7">#REF!</definedName>
    <definedName name="ConsSummData95_8">#REF!</definedName>
    <definedName name="ConsSummData96_1">#REF!</definedName>
    <definedName name="ConsSummData96_2">#REF!</definedName>
    <definedName name="ConsSummData96_3">#REF!</definedName>
    <definedName name="ConsSummData96_4">#REF!</definedName>
    <definedName name="ConsSummData96_5">#REF!</definedName>
    <definedName name="ConsSummData96_6">#REF!</definedName>
    <definedName name="ConsSummData96_7">#REF!</definedName>
    <definedName name="ConsSummData96_8">#REF!</definedName>
    <definedName name="ConsSummData97_1">#REF!</definedName>
    <definedName name="ConsSummData97_2">#REF!</definedName>
    <definedName name="ConsSummData97_3">#REF!</definedName>
    <definedName name="ConsSummData97_4">#REF!</definedName>
    <definedName name="ConsSummData97_5">#REF!</definedName>
    <definedName name="ConsSummData97_6">#REF!</definedName>
    <definedName name="ConsSummData97_7">#REF!</definedName>
    <definedName name="ConsSummData97_8">#REF!</definedName>
    <definedName name="ConsSummData98_1">#REF!</definedName>
    <definedName name="ConsSummData98_2">#REF!</definedName>
    <definedName name="ConsSummData98_3">#REF!</definedName>
    <definedName name="ConsSummData98_4">#REF!</definedName>
    <definedName name="ConsSummData98_5">#REF!</definedName>
    <definedName name="ConsSummData98_6">#REF!</definedName>
    <definedName name="ConsSummData98_7">#REF!</definedName>
    <definedName name="ConsSummData98_8">#REF!</definedName>
    <definedName name="ConsSummData99_1">#REF!</definedName>
    <definedName name="ConsSummData99_2">#REF!</definedName>
    <definedName name="ConsSummData99_3">#REF!</definedName>
    <definedName name="ConsSummData99_4">#REF!</definedName>
    <definedName name="ConsSummData99_5">#REF!</definedName>
    <definedName name="ConsSummData99_6">#REF!</definedName>
    <definedName name="ConsSummData99_7">#REF!</definedName>
    <definedName name="ConsSummData99_8">#REF!</definedName>
    <definedName name="CONSTANT">#REF!</definedName>
    <definedName name="constdelay">#REF!</definedName>
    <definedName name="ConstructMI">#REF!</definedName>
    <definedName name="ConstTotal">#REF!</definedName>
    <definedName name="ConsUsed">#REF!</definedName>
    <definedName name="Contact">#REF!</definedName>
    <definedName name="Contact2">#REF!</definedName>
    <definedName name="ConTax1">#REF!</definedName>
    <definedName name="ConTax2">#REF!</definedName>
    <definedName name="ConTax3">#REF!</definedName>
    <definedName name="ConTax4">#REF!</definedName>
    <definedName name="conten">#REF!</definedName>
    <definedName name="contracttype">#REF!</definedName>
    <definedName name="contractype">#REF!</definedName>
    <definedName name="contrat">#REF!</definedName>
    <definedName name="contrib">#REF!</definedName>
    <definedName name="Control_Link_1">#REF!</definedName>
    <definedName name="Control_Link_1Save">#REF!</definedName>
    <definedName name="conv">#REF!</definedName>
    <definedName name="Conv_real">#REF!</definedName>
    <definedName name="Conversion">#REF!</definedName>
    <definedName name="ConversionFactor">#REF!</definedName>
    <definedName name="Convesrion_rate">#REF!</definedName>
    <definedName name="ConView">#REF!</definedName>
    <definedName name="Copy">#N/A</definedName>
    <definedName name="Copy_Debt1">#REF!</definedName>
    <definedName name="Copy_Debt2">#REF!</definedName>
    <definedName name="core">#REF!</definedName>
    <definedName name="CorpTaxTest">#REF!</definedName>
    <definedName name="correction">#REF!</definedName>
    <definedName name="correctionn">#REF!</definedName>
    <definedName name="cos">#REF!</definedName>
    <definedName name="COST_VALUE_REPO">#REF!</definedName>
    <definedName name="CostAccountDescrbCapex">#REF!</definedName>
    <definedName name="CostCenter">#REF!</definedName>
    <definedName name="costs">#REF!</definedName>
    <definedName name="CostTypeListOffset">IF(IsLite,#REF!,#REF!)</definedName>
    <definedName name="Cotton_Prod">#REF!</definedName>
    <definedName name="cotype">#REF!</definedName>
    <definedName name="Country">#REF!</definedName>
    <definedName name="Country_ratio">#REF!</definedName>
    <definedName name="COUNTRYCODE">#REF!</definedName>
    <definedName name="countrycurrency">#REF!</definedName>
    <definedName name="COUNTRYNAME">#REF!</definedName>
    <definedName name="county">#REF!</definedName>
    <definedName name="COVACC">#REF!</definedName>
    <definedName name="covenants" hidden="1">{#N/A,#N/A,FALSE,"Finanzplan";#N/A,#N/A,FALSE,"Bilanz";#N/A,#N/A,FALSE,"GuV"}</definedName>
    <definedName name="Cover_Ar" hidden="1">{#N/A,#N/A,FALSE,"Sensitivity"}</definedName>
    <definedName name="CPrd_Pol">#REF!</definedName>
    <definedName name="CPrd_Pol1">#REF!</definedName>
    <definedName name="CPrd_Rcy">#REF!</definedName>
    <definedName name="CPrd_Tot">#REF!</definedName>
    <definedName name="CRM">#REF!</definedName>
    <definedName name="CrudeType">#REF!</definedName>
    <definedName name="cScenarioValuations">#REF!</definedName>
    <definedName name="Cshow">#REF!</definedName>
    <definedName name="CSN">#REF!</definedName>
    <definedName name="CSNMININV">#REF!</definedName>
    <definedName name="CSNTOTAL">#REF!</definedName>
    <definedName name="CSynOpCost">#REF!</definedName>
    <definedName name="ctr_num">#REF!</definedName>
    <definedName name="cTrafficData">#REF!</definedName>
    <definedName name="ctry">#REF!</definedName>
    <definedName name="ctry1">#REF!</definedName>
    <definedName name="ctry2">#REF!</definedName>
    <definedName name="čtyřkovačky_Maillefer">#REF!</definedName>
    <definedName name="Cum.No.NodesPD">#REF!</definedName>
    <definedName name="CummulativeCFAfterInterest_1">#REF!</definedName>
    <definedName name="CummulativeCFAfterInterest_2">#REF!</definedName>
    <definedName name="CummulativeCFAfterInterest_3">#REF!</definedName>
    <definedName name="CummulativeCFAfterInterest_4">#REF!</definedName>
    <definedName name="CummulativeCFAfterInterest_5">#REF!</definedName>
    <definedName name="CummulativeCFAfterInterest_6">#REF!</definedName>
    <definedName name="CummulativeCFAfterInterest_7">#REF!</definedName>
    <definedName name="CummulativeCFAfterInterest_8">#REF!</definedName>
    <definedName name="CurMonth">#REF!</definedName>
    <definedName name="Curmth">#REF!</definedName>
    <definedName name="curr">#REF!</definedName>
    <definedName name="curr_action">#REF!</definedName>
    <definedName name="curr_option">#REF!</definedName>
    <definedName name="Currency">#REF!</definedName>
    <definedName name="Currency_List">#REF!</definedName>
    <definedName name="Currency_multiple">#REF!</definedName>
    <definedName name="Currency_Unit">#REF!</definedName>
    <definedName name="Currency1">#REF!</definedName>
    <definedName name="CurrencyName">#REF!</definedName>
    <definedName name="CurrencySymbol">#REF!</definedName>
    <definedName name="CurrencyText">#REF!</definedName>
    <definedName name="CurrentAge">#REF!</definedName>
    <definedName name="CurrentYear">#REF!</definedName>
    <definedName name="CustName">#REF!</definedName>
    <definedName name="customer">#REF!</definedName>
    <definedName name="cValuation">#REF!</definedName>
    <definedName name="cxsadcadsa" hidden="1">{#N/A,#N/A,FALSE,"Summary04";#N/A,#N/A,FALSE,"CCP Group";#N/A,#N/A,FALSE,"Jubail Group Rev2";#N/A,#N/A,FALSE,"CML Group"}</definedName>
    <definedName name="Cyprus">#REF!</definedName>
    <definedName name="CyprusExch">#REF!</definedName>
    <definedName name="CyprusGDP">#REF!</definedName>
    <definedName name="CyrYear">#REF!</definedName>
    <definedName name="Czech_Republic">#REF!</definedName>
    <definedName name="Czech_RepublicExch">#REF!</definedName>
    <definedName name="Czech_RepublicGDP">#REF!</definedName>
    <definedName name="D">#REF!</definedName>
    <definedName name="D.01">#REF!</definedName>
    <definedName name="D.02">#REF!</definedName>
    <definedName name="D.03">#REF!</definedName>
    <definedName name="D.04">#REF!</definedName>
    <definedName name="D.05">#REF!</definedName>
    <definedName name="D.06">#REF!</definedName>
    <definedName name="D.07">#REF!</definedName>
    <definedName name="D.10">#REF!</definedName>
    <definedName name="D.10a">#REF!</definedName>
    <definedName name="D.10b">#REF!</definedName>
    <definedName name="D.10c">#REF!</definedName>
    <definedName name="D.10d">#REF!</definedName>
    <definedName name="D.20">#REF!</definedName>
    <definedName name="D.25">#REF!</definedName>
    <definedName name="D.26">#REF!</definedName>
    <definedName name="D.30">#REF!</definedName>
    <definedName name="D.31">#REF!</definedName>
    <definedName name="D.32">#REF!</definedName>
    <definedName name="D.40">#REF!</definedName>
    <definedName name="D.50">#REF!</definedName>
    <definedName name="D.51">#REF!</definedName>
    <definedName name="D.52">#REF!</definedName>
    <definedName name="D.60">#REF!</definedName>
    <definedName name="D.70">#REF!</definedName>
    <definedName name="D.81">#REF!</definedName>
    <definedName name="D.82">#REF!</definedName>
    <definedName name="D.83">#REF!</definedName>
    <definedName name="D.84">#REF!</definedName>
    <definedName name="D_____MASONRY___PLASTER_WORKS">#REF!</definedName>
    <definedName name="Dammam">#REF!</definedName>
    <definedName name="data">#REF!</definedName>
    <definedName name="Data.Dump">OFFSET(#REF!,1,0)</definedName>
    <definedName name="Data__Internet_Privatkunden">#REF!</definedName>
    <definedName name="Data__X.25_Frame_Relay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1" hidden="1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6a">#REF!,#REF!,#REF!,#REF!</definedName>
    <definedName name="data2" hidden="1">#REF!</definedName>
    <definedName name="data20a">#REF!,#REF!,#REF!,#REF!,#REF!,#REF!,#REF!,#REF!</definedName>
    <definedName name="data21">#REF!,#REF!,#REF!,#REF!</definedName>
    <definedName name="data22">#REF!,#REF!,#REF!,#REF!</definedName>
    <definedName name="data23">#REF!,#REF!,#REF!,#REF!</definedName>
    <definedName name="data24">#REF!,#REF!,#REF!,#REF!</definedName>
    <definedName name="data25">#REF!,#REF!,#REF!,#REF!</definedName>
    <definedName name="data2ab">#REF!</definedName>
    <definedName name="data3" hidden="1">#REF!</definedName>
    <definedName name="data39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_Range">#REF!</definedName>
    <definedName name="Database_Range2">#REF!</definedName>
    <definedName name="database1">#REF!</definedName>
    <definedName name="DataEntered">#REF!</definedName>
    <definedName name="date">#REF!</definedName>
    <definedName name="DateHeader">#REF!</definedName>
    <definedName name="DateSelected">#REF!</definedName>
    <definedName name="Days">#REF!</definedName>
    <definedName name="Days_in_Receivables">#REF!,#REF!</definedName>
    <definedName name="DC_at_BoC_Margin">#REF!</definedName>
    <definedName name="DC_at_Frct_Margin">#REF!</definedName>
    <definedName name="DC_at_Margin_at_SA">#REF!</definedName>
    <definedName name="DCF">#REF!</definedName>
    <definedName name="DCF_analysis___Standard_model">#REF!</definedName>
    <definedName name="DD">#REF!</definedName>
    <definedName name="ddd">#REF!</definedName>
    <definedName name="dddd">#REF!</definedName>
    <definedName name="ddsD">#REF!</definedName>
    <definedName name="Dealer_Commission">#REF!</definedName>
    <definedName name="Debottling">#REF!</definedName>
    <definedName name="DEBT">#REF!</definedName>
    <definedName name="Debt_Exp_to_Sales">#REF!,#REF!</definedName>
    <definedName name="Debt_Run_off">#REF!</definedName>
    <definedName name="debt1">#REF!</definedName>
    <definedName name="debt2">#REF!</definedName>
    <definedName name="Dec_08">#REF!</definedName>
    <definedName name="Decprod">#REF!</definedName>
    <definedName name="DecSun1">DATEVALUE("12/1/"&amp;TheYear)-WEEKDAY(DATEVALUE("12/1/"&amp;TheYear))+1</definedName>
    <definedName name="def">#REF!</definedName>
    <definedName name="deftax">#REF!</definedName>
    <definedName name="del" hidden="1">{#N/A,#N/A,FALSE,"Summary";#N/A,#N/A,FALSE,"CF";#N/A,#N/A,FALSE,"P&amp;L";#N/A,#N/A,FALSE,"BS";#N/A,#N/A,FALSE,"Returns";#N/A,#N/A,FALSE,"Assumptions";#N/A,#N/A,FALSE,"Analysis"}</definedName>
    <definedName name="deleteme1" hidden="1">{#N/A,#N/A,FALSE,"Summary";#N/A,#N/A,FALSE,"CF";#N/A,#N/A,FALSE,"P&amp;L";#N/A,#N/A,FALSE,"BS";#N/A,#N/A,FALSE,"Returns";#N/A,#N/A,FALSE,"Assumptions";#N/A,#N/A,FALSE,"Analysis"}</definedName>
    <definedName name="deleteme3" hidden="1">{#N/A,#N/A,FALSE,"Summary";#N/A,#N/A,FALSE,"CF";#N/A,#N/A,FALSE,"P&amp;L";"summary",#N/A,FALSE,"Returns";#N/A,#N/A,FALSE,"BS";"summary",#N/A,FALSE,"Analysis";#N/A,#N/A,FALSE,"Assumptions"}</definedName>
    <definedName name="Delshan" hidden="1">{#N/A,#N/A,FALSE,"VCR"}</definedName>
    <definedName name="Denmark">#REF!</definedName>
    <definedName name="DenmarkExch">#REF!</definedName>
    <definedName name="DenmarkGDP">#REF!</definedName>
    <definedName name="Departements">#REF!</definedName>
    <definedName name="depr_bb">#REF!</definedName>
    <definedName name="depr_build">#REF!</definedName>
    <definedName name="Depr_Computers">#REF!</definedName>
    <definedName name="depr_equip">#REF!</definedName>
    <definedName name="depr_ex_network">#REF!</definedName>
    <definedName name="depr_Furniture">#REF!</definedName>
    <definedName name="depr_land">#REF!</definedName>
    <definedName name="depr_oth">#REF!</definedName>
    <definedName name="Deprec">#REF!</definedName>
    <definedName name="Desc_Bonus">#REF!</definedName>
    <definedName name="DesignEfficiencies">#REF!</definedName>
    <definedName name="Destruct1">#REF!</definedName>
    <definedName name="Destruct2">#REF!</definedName>
    <definedName name="Development_Cost">#REF!</definedName>
    <definedName name="Devproj">#REF!</definedName>
    <definedName name="dez">#REF!,#REF!,#REF!,#REF!</definedName>
    <definedName name="dfg" localSheetId="9">Word</definedName>
    <definedName name="dfg">Word</definedName>
    <definedName name="DHLC_0.5___SKET">#REF!</definedName>
    <definedName name="DickVos_Total_Lines">#REF!</definedName>
    <definedName name="DickVos_Voice_Channels">#REF!</definedName>
    <definedName name="DiffusionMethod">#REF!</definedName>
    <definedName name="DiffusionModel">#REF!</definedName>
    <definedName name="DIRECTORY">#REF!</definedName>
    <definedName name="Direktanschaltung__GK_All_in___resale">#REF!</definedName>
    <definedName name="Direktanschaltung__GK_All_in___TAL">#REF!</definedName>
    <definedName name="Disc">#REF!</definedName>
    <definedName name="disc_rate1">#REF!</definedName>
    <definedName name="Discount" hidden="1">#REF!</definedName>
    <definedName name="Discount_rate">#REF!</definedName>
    <definedName name="discount2data">#REF!</definedName>
    <definedName name="discount34">#REF!</definedName>
    <definedName name="discount64data">#REF!</definedName>
    <definedName name="discount9.6">#REF!</definedName>
    <definedName name="display_area_2" hidden="1">#REF!</definedName>
    <definedName name="display_area_3">#REF!</definedName>
    <definedName name="display_area_5">#REF!</definedName>
    <definedName name="display_area_7">#REF!</definedName>
    <definedName name="disposal">#REF!</definedName>
    <definedName name="distance">#REF!</definedName>
    <definedName name="DISTRIBUTION_CHANNEL">#REF!</definedName>
    <definedName name="dividend">#REF!</definedName>
    <definedName name="divroster">#REF!</definedName>
    <definedName name="divroster_group">#REF!</definedName>
    <definedName name="DLX1.USE">#REF!</definedName>
    <definedName name="DLX2.USE">#REF!</definedName>
    <definedName name="DLX3.USE">#REF!</definedName>
    <definedName name="dMonteCarloResults">#REF!</definedName>
    <definedName name="dMonteCarloVariables">#REF!</definedName>
    <definedName name="dmtb">#REF!</definedName>
    <definedName name="DMTCap_PX">#REF!</definedName>
    <definedName name="dmtcashb">#REF!</definedName>
    <definedName name="dmtcasht">#REF!</definedName>
    <definedName name="DMTDmd_Tot">#REF!</definedName>
    <definedName name="DMTPrd_PX">#REF!</definedName>
    <definedName name="dmtt">#REF!</definedName>
    <definedName name="DocType" localSheetId="9">Word</definedName>
    <definedName name="DocType">Word</definedName>
    <definedName name="Dollar_DM">#REF!</definedName>
    <definedName name="DollarHeader">#REF!</definedName>
    <definedName name="Down_Pymt">#REF!</definedName>
    <definedName name="Download_series">#REF!</definedName>
    <definedName name="DownPayment">#REF!</definedName>
    <definedName name="dp">#REF!</definedName>
    <definedName name="draft">#REF!</definedName>
    <definedName name="dsadaSFDWE">#REF!</definedName>
    <definedName name="DSAdd">#REF!</definedName>
    <definedName name="dScenariosDefined">#REF!</definedName>
    <definedName name="dScenarioValuations">#REF!</definedName>
    <definedName name="dsdsaqd">#REF!</definedName>
    <definedName name="dsfaa">#REF!</definedName>
    <definedName name="dsfs">#REF!</definedName>
    <definedName name="dsfsd" hidden="1">{#N/A,#N/A,FALSE,"Sensitivity"}</definedName>
    <definedName name="dso">#REF!</definedName>
    <definedName name="DTAGUmsatzklnorm">#REF!</definedName>
    <definedName name="DTAGUmsatzklredu">#REF!</definedName>
    <definedName name="DTAGUmsatzmitlnorm">#REF!</definedName>
    <definedName name="DTAGUmsatzmittlreduz">#REF!</definedName>
    <definedName name="DTAGUmsatznorm">#REF!</definedName>
    <definedName name="DTAGUmsatzreduziert">#REF!</definedName>
    <definedName name="dTrafficData">#REF!</definedName>
    <definedName name="Durchleitungsgebühren">#REF!</definedName>
    <definedName name="dValuation">#REF!</definedName>
    <definedName name="dVariableSetting">#REF!</definedName>
    <definedName name="dwdsd" hidden="1">{#N/A,#N/A,FALSE,"Finanzplan";#N/A,#N/A,FALSE,"Bilanz";#N/A,#N/A,FALSE,"GuV"}</definedName>
    <definedName name="E">#REF!</definedName>
    <definedName name="E.01">#REF!</definedName>
    <definedName name="E.01a">#REF!</definedName>
    <definedName name="E.01b">#REF!</definedName>
    <definedName name="E.01c">#REF!</definedName>
    <definedName name="E.01d">#REF!</definedName>
    <definedName name="E.02">#REF!</definedName>
    <definedName name="E.02a">#REF!</definedName>
    <definedName name="E.02b">#REF!</definedName>
    <definedName name="E.02c">#REF!</definedName>
    <definedName name="E.02d">#REF!</definedName>
    <definedName name="E.03">#REF!</definedName>
    <definedName name="E.03a">#REF!</definedName>
    <definedName name="E.04">#REF!</definedName>
    <definedName name="E.04a">#REF!</definedName>
    <definedName name="E.04b">#REF!</definedName>
    <definedName name="E.04c">#REF!</definedName>
    <definedName name="E.05">#REF!</definedName>
    <definedName name="E.05a">#REF!</definedName>
    <definedName name="E.05b">#REF!</definedName>
    <definedName name="E.06">#REF!</definedName>
    <definedName name="E.06a">#REF!</definedName>
    <definedName name="E.07">#REF!</definedName>
    <definedName name="E____FLOORING___WALL_TILES">#REF!</definedName>
    <definedName name="E_GreaterBalloon">#REF!</definedName>
    <definedName name="E_ZeroBalloon">#REF!</definedName>
    <definedName name="Earnings">#REF!</definedName>
    <definedName name="EarningsVol">#REF!</definedName>
    <definedName name="EAsia_LTA">SUM(#REF!)</definedName>
    <definedName name="EBITDA_exit_multiple">#REF!</definedName>
    <definedName name="EBITDA_up">#REF!</definedName>
    <definedName name="EBITPLAN05APR">#REF!+#REF!+#REF!</definedName>
    <definedName name="ECGD" hidden="1">#REF!</definedName>
    <definedName name="EconInput">#REF!</definedName>
    <definedName name="EconInput1">#REF!</definedName>
    <definedName name="edds">#REF!</definedName>
    <definedName name="EE">#REF!</definedName>
    <definedName name="eee" hidden="1">{#N/A,#N/A,FALSE,"Bal.Sht"}</definedName>
    <definedName name="effective_date">#REF!</definedName>
    <definedName name="Efficiencies">#REF!</definedName>
    <definedName name="EFG">#REF!</definedName>
    <definedName name="egy">#REF!</definedName>
    <definedName name="Egypt">#REF!</definedName>
    <definedName name="EgyptExch">#REF!</definedName>
    <definedName name="EgyptGDP">#REF!</definedName>
    <definedName name="ELBISE">#REF!</definedName>
    <definedName name="Ele" hidden="1">{"'Break down'!$A$4"}</definedName>
    <definedName name="ELECBILL">#REF!</definedName>
    <definedName name="eLECTRICAL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Email">#REF!</definedName>
    <definedName name="eman">#REF!</definedName>
    <definedName name="Emask">#REF!</definedName>
    <definedName name="EMDF_Construct_1" hidden="1">#REF!</definedName>
    <definedName name="EMDF_Construct_2" hidden="1">#REF!</definedName>
    <definedName name="EMDF_Construct_3" hidden="1">#REF!</definedName>
    <definedName name="EMDF_Construct_4" hidden="1">#REF!</definedName>
    <definedName name="EMDF_Construct_5" hidden="1">#REF!</definedName>
    <definedName name="EMDF_Construct_6" hidden="1">#REF!</definedName>
    <definedName name="EMDF_Construct_7" hidden="1">#REF!</definedName>
    <definedName name="EMDF_Construct_8" hidden="1">#REF!</definedName>
    <definedName name="EMDF_DevMgn_1" hidden="1">#REF!</definedName>
    <definedName name="EMDF_DevMgn_2" hidden="1">#REF!</definedName>
    <definedName name="EMDF_DevMgn_3" hidden="1">#REF!</definedName>
    <definedName name="EMDF_DevMgn_4" hidden="1">#REF!</definedName>
    <definedName name="EMDF_DevMgn_5" hidden="1">#REF!</definedName>
    <definedName name="EMDF_DevMgn_6" hidden="1">#REF!</definedName>
    <definedName name="EMDF_DevMgn_7" hidden="1">#REF!</definedName>
    <definedName name="EMDF_DevMgn_8" hidden="1">#REF!</definedName>
    <definedName name="EMDF_GrossRent_1" hidden="1">#REF!</definedName>
    <definedName name="EMDF_GrossRent_2" hidden="1">#REF!</definedName>
    <definedName name="EMDF_GrossRent_3" hidden="1">#REF!</definedName>
    <definedName name="EMDF_GrossRent_4" hidden="1">#REF!</definedName>
    <definedName name="EMDF_GrossRent_5" hidden="1">#REF!</definedName>
    <definedName name="EMDF_GrossRent_6" hidden="1">#REF!</definedName>
    <definedName name="EMDF_GrossRent_7" hidden="1">#REF!</definedName>
    <definedName name="EMDF_GrossRent_8" hidden="1">#REF!</definedName>
    <definedName name="EMDF_GrossSale_1" hidden="1">#REF!</definedName>
    <definedName name="EMDF_GrossSale_2" hidden="1">#REF!</definedName>
    <definedName name="EMDF_GrossSale_3" hidden="1">#REF!</definedName>
    <definedName name="EMDF_GrossSale_4" hidden="1">#REF!</definedName>
    <definedName name="EMDF_GrossSale_5" hidden="1">#REF!</definedName>
    <definedName name="EMDF_GrossSale_6" hidden="1">#REF!</definedName>
    <definedName name="EMDF_GrossSale_7" hidden="1">#REF!</definedName>
    <definedName name="EMDF_GrossSale_8" hidden="1">#REF!</definedName>
    <definedName name="EMDF_IRR_1" hidden="1">#REF!</definedName>
    <definedName name="EMDF_IRR_2" hidden="1">#REF!</definedName>
    <definedName name="EMDF_IRR_3" hidden="1">#REF!</definedName>
    <definedName name="EMDF_IRR_4" hidden="1">#REF!</definedName>
    <definedName name="EMDF_IRR_5" hidden="1">#REF!</definedName>
    <definedName name="EMDF_IRR_6" hidden="1">#REF!</definedName>
    <definedName name="EMDF_IRR_7" hidden="1">#REF!</definedName>
    <definedName name="EMDF_IRR_8" hidden="1">#REF!</definedName>
    <definedName name="EMDF_Land_1" hidden="1">#REF!</definedName>
    <definedName name="EMDF_Land_2" hidden="1">#REF!</definedName>
    <definedName name="EMDF_Land_3" hidden="1">#REF!</definedName>
    <definedName name="EMDF_Land_4" hidden="1">#REF!</definedName>
    <definedName name="EMDF_Land_5" hidden="1">#REF!</definedName>
    <definedName name="EMDF_Land_6" hidden="1">#REF!</definedName>
    <definedName name="EMDF_Land_7" hidden="1">#REF!</definedName>
    <definedName name="EMDF_Land_8" hidden="1">#REF!</definedName>
    <definedName name="EMDF_NetProf_1" hidden="1">#REF!</definedName>
    <definedName name="EMDF_NetProf_2" hidden="1">#REF!</definedName>
    <definedName name="EMDF_NetProf_3" hidden="1">#REF!</definedName>
    <definedName name="EMDF_NetProf_4" hidden="1">#REF!</definedName>
    <definedName name="EMDF_NetProf_5" hidden="1">#REF!</definedName>
    <definedName name="EMDF_NetProf_6" hidden="1">#REF!</definedName>
    <definedName name="EMDF_NetProf_7" hidden="1">#REF!</definedName>
    <definedName name="EMDF_NetProf_8" hidden="1">#REF!</definedName>
    <definedName name="EMDF_NPV_1" hidden="1">#REF!</definedName>
    <definedName name="EMDF_NPV_2" hidden="1">#REF!</definedName>
    <definedName name="EMDF_NPV_3" hidden="1">#REF!</definedName>
    <definedName name="EMDF_NPV_4" hidden="1">#REF!</definedName>
    <definedName name="EMDF_NPV_5" hidden="1">#REF!</definedName>
    <definedName name="EMDF_NPV_6" hidden="1">#REF!</definedName>
    <definedName name="EMDF_NPV_7" hidden="1">#REF!</definedName>
    <definedName name="EMDF_NPV_8" hidden="1">#REF!</definedName>
    <definedName name="EMDF_RLVMgn_1" hidden="1">#REF!</definedName>
    <definedName name="EMDF_RLVMgn_2" hidden="1">#REF!</definedName>
    <definedName name="EMDF_RLVMgn_3" hidden="1">#REF!</definedName>
    <definedName name="EMDF_RLVMgn_4" hidden="1">#REF!</definedName>
    <definedName name="EMDF_RLVMgn_5" hidden="1">#REF!</definedName>
    <definedName name="EMDF_RLVMgn_6" hidden="1">#REF!</definedName>
    <definedName name="EMDF_RLVMgn_7" hidden="1">#REF!</definedName>
    <definedName name="EMDF_RLVMgn_8" hidden="1">#REF!</definedName>
    <definedName name="EMDF_RLVNPV_1" hidden="1">#REF!</definedName>
    <definedName name="EMDF_RLVNPV_2" hidden="1">#REF!</definedName>
    <definedName name="EMDF_RLVNPV_3" hidden="1">#REF!</definedName>
    <definedName name="EMDF_RLVNPV_4" hidden="1">#REF!</definedName>
    <definedName name="EMDF_RLVNPV_5" hidden="1">#REF!</definedName>
    <definedName name="EMDF_RLVNPV_6" hidden="1">#REF!</definedName>
    <definedName name="EMDF_RLVNPV_7" hidden="1">#REF!</definedName>
    <definedName name="EMDF_RLVNPV_8" hidden="1">#REF!</definedName>
    <definedName name="EMDM_BCR" hidden="1">#REF!</definedName>
    <definedName name="EMDM_BEDate" hidden="1">#REF!</definedName>
    <definedName name="EMDM_ConstCont" hidden="1">#REF!</definedName>
    <definedName name="EMDM_Construct" hidden="1">#REF!</definedName>
    <definedName name="EMDM_CorpTax" hidden="1">#REF!</definedName>
    <definedName name="EMDM_CostAT" hidden="1">#REF!</definedName>
    <definedName name="EMDM_CostBT" hidden="1">#REF!</definedName>
    <definedName name="EMDM_CostTax" hidden="1">#REF!</definedName>
    <definedName name="EMDM_Debt_App" hidden="1">#REF!</definedName>
    <definedName name="EMDM_Debt_AvgRte" hidden="1">#REF!</definedName>
    <definedName name="EMDM_Debt_DatePk" hidden="1">#REF!</definedName>
    <definedName name="EMDM_Debt_Funds" hidden="1">#REF!</definedName>
    <definedName name="EMDM_Debt_Int" hidden="1">#REF!</definedName>
    <definedName name="EMDM_Debt_IRR" hidden="1">#REF!</definedName>
    <definedName name="EMDM_Debt_Line" hidden="1">#REF!</definedName>
    <definedName name="EMDM_Debt_LVR" hidden="1">#REF!</definedName>
    <definedName name="EMDM_Debt_Mgn" hidden="1">#REF!</definedName>
    <definedName name="EMDM_Debt_Pback" hidden="1">#REF!</definedName>
    <definedName name="EMDM_Debt_Peak" hidden="1">#REF!</definedName>
    <definedName name="EMDM_Debt_Prof" hidden="1">#REF!</definedName>
    <definedName name="EMDM_Debt_Share" hidden="1">#REF!</definedName>
    <definedName name="EMDM_DevMgn" hidden="1">#REF!</definedName>
    <definedName name="EMDM_Eq_AvgRte" hidden="1">#REF!</definedName>
    <definedName name="EMDM_Eq_DatePk" hidden="1">#REF!</definedName>
    <definedName name="EMDM_Eq_Funds" hidden="1">#REF!</definedName>
    <definedName name="EMDM_Eq_Int" hidden="1">#REF!</definedName>
    <definedName name="EMDM_Eq_IRR" hidden="1">#REF!</definedName>
    <definedName name="EMDM_Eq_LVR" hidden="1">#REF!</definedName>
    <definedName name="EMDM_Eq_Mgn" hidden="1">#REF!</definedName>
    <definedName name="EMDM_Eq_Pback" hidden="1">#REF!</definedName>
    <definedName name="EMDM_Eq_Peak" hidden="1">#REF!</definedName>
    <definedName name="EMDM_Eq_Prof" hidden="1">#REF!</definedName>
    <definedName name="EMDM_EquGFA" hidden="1">#REF!</definedName>
    <definedName name="EMDM_FinChg" hidden="1">#REF!</definedName>
    <definedName name="EMDM_FSR" hidden="1">#REF!</definedName>
    <definedName name="EMDM_GrossProf" hidden="1">#REF!</definedName>
    <definedName name="EMDM_GrossRent" hidden="1">#REF!</definedName>
    <definedName name="EMDM_GrossSale" hidden="1">#REF!</definedName>
    <definedName name="EMDM_Incent" hidden="1">#REF!</definedName>
    <definedName name="EMDM_IntExp" hidden="1">#REF!</definedName>
    <definedName name="EMDM_IntRec" hidden="1">#REF!</definedName>
    <definedName name="EMDM_IRR" hidden="1">#REF!</definedName>
    <definedName name="EMDM_L1_App" hidden="1">#REF!</definedName>
    <definedName name="EMDM_L1_AvgRte" hidden="1">#REF!</definedName>
    <definedName name="EMDM_L1_DatePk" hidden="1">#REF!</definedName>
    <definedName name="EMDM_L1_Funds" hidden="1">#REF!</definedName>
    <definedName name="EMDM_L1_Int" hidden="1">#REF!</definedName>
    <definedName name="EMDM_L1_IRR" hidden="1">#REF!</definedName>
    <definedName name="EMDM_L1_Line" hidden="1">#REF!</definedName>
    <definedName name="EMDM_L1_LVR" hidden="1">#REF!</definedName>
    <definedName name="EMDM_L1_Mgn" hidden="1">#REF!</definedName>
    <definedName name="EMDM_L1_Name" hidden="1">#REF!</definedName>
    <definedName name="EMDM_L1_Pback" hidden="1">#REF!</definedName>
    <definedName name="EMDM_L1_Peak" hidden="1">#REF!</definedName>
    <definedName name="EMDM_L1_Prof" hidden="1">#REF!</definedName>
    <definedName name="EMDM_L1_Share" hidden="1">#REF!</definedName>
    <definedName name="EMDM_L2_App" hidden="1">#REF!</definedName>
    <definedName name="EMDM_L2_AvgRte" hidden="1">#REF!</definedName>
    <definedName name="EMDM_L2_DatePk" hidden="1">#REF!</definedName>
    <definedName name="EMDM_L2_Funds" hidden="1">#REF!</definedName>
    <definedName name="EMDM_L2_Int" hidden="1">#REF!</definedName>
    <definedName name="EMDM_L2_IRR" hidden="1">#REF!</definedName>
    <definedName name="EMDM_L2_Line" hidden="1">#REF!</definedName>
    <definedName name="EMDM_L2_LVR" hidden="1">#REF!</definedName>
    <definedName name="EMDM_L2_Mgn" hidden="1">#REF!</definedName>
    <definedName name="EMDM_L2_Name" hidden="1">#REF!</definedName>
    <definedName name="EMDM_L2_Pback" hidden="1">#REF!</definedName>
    <definedName name="EMDM_L2_Peak" hidden="1">#REF!</definedName>
    <definedName name="EMDM_L2_Prof" hidden="1">#REF!</definedName>
    <definedName name="EMDM_L2_Share" hidden="1">#REF!</definedName>
    <definedName name="EMDM_L3_App" hidden="1">#REF!</definedName>
    <definedName name="EMDM_L3_AvgRte" hidden="1">#REF!</definedName>
    <definedName name="EMDM_L3_DatePk" hidden="1">#REF!</definedName>
    <definedName name="EMDM_L3_Funds" hidden="1">#REF!</definedName>
    <definedName name="EMDM_L3_Int" hidden="1">#REF!</definedName>
    <definedName name="EMDM_L3_IRR" hidden="1">#REF!</definedName>
    <definedName name="EMDM_L3_Line" hidden="1">#REF!</definedName>
    <definedName name="EMDM_L3_LVR" hidden="1">#REF!</definedName>
    <definedName name="EMDM_L3_Mgn" hidden="1">#REF!</definedName>
    <definedName name="EMDM_L3_Name" hidden="1">#REF!</definedName>
    <definedName name="EMDM_L3_Pback" hidden="1">#REF!</definedName>
    <definedName name="EMDM_L3_Peak" hidden="1">#REF!</definedName>
    <definedName name="EMDM_L3_Prof" hidden="1">#REF!</definedName>
    <definedName name="EMDM_L3_Share" hidden="1">#REF!</definedName>
    <definedName name="EMDM_Land" hidden="1">#REF!</definedName>
    <definedName name="EMDM_LandHold" hidden="1">#REF!</definedName>
    <definedName name="EMDM_LeaseCost" hidden="1">#REF!</definedName>
    <definedName name="EMDM_LetFee" hidden="1">#REF!</definedName>
    <definedName name="EMDM_Misc1" hidden="1">#REF!</definedName>
    <definedName name="EMDM_Misc2" hidden="1">#REF!</definedName>
    <definedName name="EMDM_Misc3" hidden="1">#REF!</definedName>
    <definedName name="EMDM_NetProf" hidden="1">#REF!</definedName>
    <definedName name="EMDM_NetRent" hidden="1">#REF!</definedName>
    <definedName name="EMDM_NetSale" hidden="1">#REF!</definedName>
    <definedName name="EMDM_NPV" hidden="1">#REF!</definedName>
    <definedName name="EMDM_NPVFut" hidden="1">#REF!</definedName>
    <definedName name="EMDM_OG" hidden="1">#REF!</definedName>
    <definedName name="EMDM_OtherInc" hidden="1">#REF!</definedName>
    <definedName name="EMDM_OthLand" hidden="1">#REF!</definedName>
    <definedName name="EMDM_PreComm" hidden="1">#REF!</definedName>
    <definedName name="EMDM_ProFee" hidden="1">#REF!</definedName>
    <definedName name="EMDM_ProfErn" hidden="1">#REF!</definedName>
    <definedName name="EMDM_ProjCont" hidden="1">#REF!</definedName>
    <definedName name="EMDM_PurchCost" hidden="1">#REF!</definedName>
    <definedName name="EMDM_RentCvr" hidden="1">#REF!</definedName>
    <definedName name="EMDM_RevAT" hidden="1">#REF!</definedName>
    <definedName name="EMDM_RevBT" hidden="1">#REF!</definedName>
    <definedName name="EMDM_RevTax" hidden="1">#REF!</definedName>
    <definedName name="EMDM_SellCost" hidden="1">#REF!</definedName>
    <definedName name="EMDM_Site" hidden="1">#REF!</definedName>
    <definedName name="EMDM_SizeA" hidden="1">#REF!</definedName>
    <definedName name="EMDM_SizeB" hidden="1">#REF!</definedName>
    <definedName name="EMDM_Snr_App" hidden="1">#REF!</definedName>
    <definedName name="EMDM_Snr_AvgRte" hidden="1">#REF!</definedName>
    <definedName name="EMDM_Snr_DatePk" hidden="1">#REF!</definedName>
    <definedName name="EMDM_Snr_Funds" hidden="1">#REF!</definedName>
    <definedName name="EMDM_Snr_Int" hidden="1">#REF!</definedName>
    <definedName name="EMDM_Snr_IRR" hidden="1">#REF!</definedName>
    <definedName name="EMDM_Snr_Line" hidden="1">#REF!</definedName>
    <definedName name="EMDM_Snr_LVR" hidden="1">#REF!</definedName>
    <definedName name="EMDM_Snr_Mgn" hidden="1">#REF!</definedName>
    <definedName name="EMDM_Snr_Name" hidden="1">#REF!</definedName>
    <definedName name="EMDM_Snr_Pback" hidden="1">#REF!</definedName>
    <definedName name="EMDM_Snr_Peak" hidden="1">#REF!</definedName>
    <definedName name="EMDM_Snr_Prof" hidden="1">#REF!</definedName>
    <definedName name="EMDM_Span" hidden="1">#REF!</definedName>
    <definedName name="EMDM_StatFee" hidden="1">#REF!</definedName>
    <definedName name="EMDM_WACC" hidden="1">#REF!</definedName>
    <definedName name="EMDM_YldCost" hidden="1">#REF!</definedName>
    <definedName name="Enable">#REF!</definedName>
    <definedName name="EnableOptCol_1">#REF!</definedName>
    <definedName name="EnableOptCol_2">#REF!</definedName>
    <definedName name="EnableOptCol_3">#REF!</definedName>
    <definedName name="EnableOptCol_4">#REF!</definedName>
    <definedName name="EnableOptCol_5">#REF!</definedName>
    <definedName name="EnableOptCol_6">#REF!</definedName>
    <definedName name="EnableOptCol_7">#REF!</definedName>
    <definedName name="EnableOptCol_8">#REF!</definedName>
    <definedName name="End_Bal">#REF!</definedName>
    <definedName name="End_of_Year_Principal">#REF!</definedName>
    <definedName name="EndBalance">OFFSET(#REF!,1,5,COUNTA(#REF!),1)</definedName>
    <definedName name="EndCapEmp">#REF!</definedName>
    <definedName name="Engineering_Links">#REF!</definedName>
    <definedName name="EngineeringLinksStart">#REF!</definedName>
    <definedName name="EngineeringStart">#REF!</definedName>
    <definedName name="EngLinksStart">#REF!</definedName>
    <definedName name="EngSummaryStart">#REF!</definedName>
    <definedName name="Entity">#REF!</definedName>
    <definedName name="EOSB_Charge">#REF!</definedName>
    <definedName name="EOSB_Paid">#REF!</definedName>
    <definedName name="EoYError1">#REF!</definedName>
    <definedName name="EoYInit1">#REF!</definedName>
    <definedName name="EQ">#REF!</definedName>
    <definedName name="EquGFA_Chk">#REF!</definedName>
    <definedName name="Equity">#REF!</definedName>
    <definedName name="EquityCF_1">#REF!</definedName>
    <definedName name="EquityCF_2">#REF!</definedName>
    <definedName name="EquityCF_3">#REF!</definedName>
    <definedName name="EquityCF_4">#REF!</definedName>
    <definedName name="EquityCF_5">#REF!</definedName>
    <definedName name="EquityCF_6">#REF!</definedName>
    <definedName name="EquityCF_7">#REF!</definedName>
    <definedName name="EquityCF_8">#REF!</definedName>
    <definedName name="erase2" hidden="1">{#N/A,#N/A,FALSE,"Summary";#N/A,#N/A,FALSE,"CF";#N/A,#N/A,FALSE,"P&amp;L";#N/A,#N/A,FALSE,"BS";#N/A,#N/A,FALSE,"Returns";#N/A,#N/A,FALSE,"Assumptions";#N/A,#N/A,FALSE,"Analysis"}</definedName>
    <definedName name="erase3" hidden="1">{#N/A,#N/A,FALSE,"Summary";#N/A,#N/A,FALSE,"CF";#N/A,#N/A,FALSE,"P&amp;L";"summary",#N/A,FALSE,"Returns";#N/A,#N/A,FALSE,"BS";"summary",#N/A,FALSE,"Analysis";#N/A,#N/A,FALSE,"Assumptions"}</definedName>
    <definedName name="ergadfg">#N/A</definedName>
    <definedName name="Err_Alert">#REF!</definedName>
    <definedName name="ERROR">#REF!</definedName>
    <definedName name="ErrorT">#REF!</definedName>
    <definedName name="esclation">#REF!</definedName>
    <definedName name="esclation2">#REF!</definedName>
    <definedName name="Esortrange">#REF!</definedName>
    <definedName name="Etstart">#REF!</definedName>
    <definedName name="EU">#REF!</definedName>
    <definedName name="Eur_LTA">SUM(#REF!)</definedName>
    <definedName name="euro">#REF!</definedName>
    <definedName name="Euroland">#REF!</definedName>
    <definedName name="EurolandExch">#REF!</definedName>
    <definedName name="EurolandGDP">#REF!</definedName>
    <definedName name="Europe">#REF!</definedName>
    <definedName name="ewf" hidden="1">#REF!</definedName>
    <definedName name="EX_Map">#REF!</definedName>
    <definedName name="exc">0.275</definedName>
    <definedName name="Exceptions">OFFSET(#REF!,0,0,COUNTA(#REF!),1)</definedName>
    <definedName name="exchange.rate">#REF!</definedName>
    <definedName name="Exchange_rate_US">#REF!</definedName>
    <definedName name="Exit">#N/A</definedName>
    <definedName name="Exitmtlp">#REF!</definedName>
    <definedName name="ExNBDiff1">#REF!</definedName>
    <definedName name="exp_00">#REF!</definedName>
    <definedName name="exp_98">#REF!</definedName>
    <definedName name="exp_99">#REF!</definedName>
    <definedName name="exp1ctrl">#REF!</definedName>
    <definedName name="expcateg">#REF!</definedName>
    <definedName name="expctrl">#REF!</definedName>
    <definedName name="expmix">#REF!</definedName>
    <definedName name="Exports">#REF!</definedName>
    <definedName name="Exrate">#REF!</definedName>
    <definedName name="ext">#REF!</definedName>
    <definedName name="Extra_Pay">#REF!</definedName>
    <definedName name="F">#REF!</definedName>
    <definedName name="F.01">#REF!</definedName>
    <definedName name="F.02">#REF!</definedName>
    <definedName name="F.03">#REF!</definedName>
    <definedName name="F.04">#REF!</definedName>
    <definedName name="F.05">#REF!</definedName>
    <definedName name="F.08">#REF!</definedName>
    <definedName name="F.10">#REF!</definedName>
    <definedName name="F.20">#REF!</definedName>
    <definedName name="F.30">#REF!</definedName>
    <definedName name="F.30a">#REF!</definedName>
    <definedName name="F.30b">#REF!</definedName>
    <definedName name="F.41">#REF!</definedName>
    <definedName name="F.42">#REF!</definedName>
    <definedName name="F.50">#REF!</definedName>
    <definedName name="F.51">#REF!</definedName>
    <definedName name="F.60">#REF!</definedName>
    <definedName name="F.61">#REF!</definedName>
    <definedName name="F_____PAINTING">#REF!</definedName>
    <definedName name="FA_Cost_Add_Other_Assets">#REF!</definedName>
    <definedName name="fac">#REF!</definedName>
    <definedName name="FandB_Summary">#REF!</definedName>
    <definedName name="fas">#N/A</definedName>
    <definedName name="FastTrack">#REF!</definedName>
    <definedName name="Fax">#REF!</definedName>
    <definedName name="Fb">#REF!</definedName>
    <definedName name="FBCPX">#REF!</definedName>
    <definedName name="FC">#REF!</definedName>
    <definedName name="FCode" hidden="1">#REF!</definedName>
    <definedName name="FCSummary">#REF!</definedName>
    <definedName name="FCSummary1">#REF!</definedName>
    <definedName name="fdssa" hidden="1">{#N/A,#N/A,FALSE,"Summary";#N/A,#N/A,FALSE,"CF";#N/A,#N/A,FALSE,"P&amp;L";#N/A,#N/A,FALSE,"BS";#N/A,#N/A,FALSE,"Returns";#N/A,#N/A,FALSE,"Assumptions";#N/A,#N/A,FALSE,"Analysis"}</definedName>
    <definedName name="Feb_08">#REF!</definedName>
    <definedName name="FebSun1">DATEVALUE("2/1/"&amp;TheYear)-WEEKDAY(DATEVALUE("2/1/"&amp;TheYear))+1</definedName>
    <definedName name="Fee">#REF!</definedName>
    <definedName name="FF">#REF!</definedName>
    <definedName name="fffff" hidden="1">{#N/A,#N/A,FALSE,"Bal.Sht"}</definedName>
    <definedName name="fffffffffffffffff">#REF!</definedName>
    <definedName name="fgh">#N/A</definedName>
    <definedName name="FHYCOL1">#REF!</definedName>
    <definedName name="FibCons_Dmd">#REF!</definedName>
    <definedName name="FibMill_Dmd">#REF!</definedName>
    <definedName name="FigTitle">#REF!</definedName>
    <definedName name="file">#REF!</definedName>
    <definedName name="FileName">#REF!</definedName>
    <definedName name="Final_Data">#REF!</definedName>
    <definedName name="FinaMI">#REF!</definedName>
    <definedName name="Financing_Balloon_Repayment">#REF!</definedName>
    <definedName name="Financing_Drawdowns">#REF!</definedName>
    <definedName name="Financing_Fee_Expense">#REF!</definedName>
    <definedName name="Financing_Fees_Amort">#REF!</definedName>
    <definedName name="Financing_Interest_Amort">#REF!</definedName>
    <definedName name="Financing_Interest_Expense">#REF!</definedName>
    <definedName name="Financing_Net_Assets_Purchased">#REF!</definedName>
    <definedName name="Financing_Total_Cont_Payment">#REF!</definedName>
    <definedName name="Financing_Total_Loan_Repayments">#REF!</definedName>
    <definedName name="FinEquity">#REF!</definedName>
    <definedName name="Finland">#REF!</definedName>
    <definedName name="Finland_FranceExch">#REF!</definedName>
    <definedName name="FinlandGDP">#REF!</definedName>
    <definedName name="finsarea">#REF!</definedName>
    <definedName name="FinWIPTest">#REF!</definedName>
    <definedName name="First">#REF!</definedName>
    <definedName name="firstyear">#REF!</definedName>
    <definedName name="Fixed_costs">#REF!</definedName>
    <definedName name="flag_d1">#REF!</definedName>
    <definedName name="flag_d2">#REF!</definedName>
    <definedName name="flag_sub">#REF!</definedName>
    <definedName name="flag_t">#REF!</definedName>
    <definedName name="FlagTGMT">#REF!</definedName>
    <definedName name="FLOW0">#REF!</definedName>
    <definedName name="forcast2">#REF!</definedName>
    <definedName name="forCBScode">#N/A</definedName>
    <definedName name="forGLcode">#N/A</definedName>
    <definedName name="forGLcodeCapex">#N/A</definedName>
    <definedName name="FormulaStart">#REF!</definedName>
    <definedName name="FOType">#REF!</definedName>
    <definedName name="FPrd_FIL">#REF!</definedName>
    <definedName name="FPrd_Rcy">#REF!</definedName>
    <definedName name="FPrd_STP">#REF!</definedName>
    <definedName name="FPrd_Tot">#REF!</definedName>
    <definedName name="France">#REF!</definedName>
    <definedName name="FranceGDP">#REF!</definedName>
    <definedName name="Frct_Margin">#REF!</definedName>
    <definedName name="fred" hidden="1">{"'Break down'!$A$4"}</definedName>
    <definedName name="frf">#REF!</definedName>
    <definedName name="fs">#N/A</definedName>
    <definedName name="ftebasic">#REF!</definedName>
    <definedName name="Fuck">#REF!</definedName>
    <definedName name="FuelOilDel">#REF!</definedName>
    <definedName name="fullyr_local_IS">#REF!</definedName>
    <definedName name="fullyr_us_IS">#REF!</definedName>
    <definedName name="functionaltype">#REF!</definedName>
    <definedName name="functionaluse">#REF!</definedName>
    <definedName name="fundingtype">#REF!</definedName>
    <definedName name="furnituredep">#REF!</definedName>
    <definedName name="fwsdgwerg">#N/A</definedName>
    <definedName name="FX">#REF!</definedName>
    <definedName name="fxb">#REF!</definedName>
    <definedName name="fxc">#REF!</definedName>
    <definedName name="fxd">#REF!</definedName>
    <definedName name="FYDay">#REF!</definedName>
    <definedName name="fye">#REF!</definedName>
    <definedName name="FYMonth">#REF!</definedName>
    <definedName name="FYYear">#REF!</definedName>
    <definedName name="g">#REF!</definedName>
    <definedName name="G.01">#REF!</definedName>
    <definedName name="G.01a">#REF!</definedName>
    <definedName name="G.01b">#REF!</definedName>
    <definedName name="G.01c">#REF!</definedName>
    <definedName name="G.01d">#REF!</definedName>
    <definedName name="G.01e">#REF!</definedName>
    <definedName name="G.05">#REF!</definedName>
    <definedName name="G.10">#REF!</definedName>
    <definedName name="G.101">#REF!</definedName>
    <definedName name="G.10a">#REF!</definedName>
    <definedName name="G.10b">#REF!</definedName>
    <definedName name="G.10c">#REF!</definedName>
    <definedName name="G.110">#REF!</definedName>
    <definedName name="G.20">#REF!</definedName>
    <definedName name="G.20a">#REF!</definedName>
    <definedName name="G.20b">#REF!</definedName>
    <definedName name="G.20c">#REF!</definedName>
    <definedName name="G.20d">#REF!</definedName>
    <definedName name="G.20e">#REF!</definedName>
    <definedName name="G.20f">#REF!</definedName>
    <definedName name="G.30">#REF!</definedName>
    <definedName name="G.30a">#REF!</definedName>
    <definedName name="G.30b">#REF!</definedName>
    <definedName name="G.50">#REF!</definedName>
    <definedName name="G.60">#REF!</definedName>
    <definedName name="G.61">#REF!</definedName>
    <definedName name="G.62">#REF!</definedName>
    <definedName name="G.63">#REF!</definedName>
    <definedName name="G.71">#REF!</definedName>
    <definedName name="G.72">#REF!</definedName>
    <definedName name="G.73">#REF!</definedName>
    <definedName name="G.75">#REF!</definedName>
    <definedName name="G.78">#REF!</definedName>
    <definedName name="G.80">#REF!</definedName>
    <definedName name="G.90">#REF!</definedName>
    <definedName name="G______SANITARY___PLUMBING">#REF!</definedName>
    <definedName name="GA">#REF!</definedName>
    <definedName name="Gantt_colhide">#REF!,#REF!</definedName>
    <definedName name="Gantt_rowhide">#REF!,#REF!,#REF!,#REF!</definedName>
    <definedName name="Gantt_rowhiderent">#REF!,#REF!</definedName>
    <definedName name="GasP1">#REF!</definedName>
    <definedName name="GasPricepasted">#REF!</definedName>
    <definedName name="gawegrwragfa" hidden="1">{#N/A,#N/A,FALSE,"Summary04";#N/A,#N/A,FALSE,"CCP Group";#N/A,#N/A,FALSE,"Jubail Group Rev2";#N/A,#N/A,FALSE,"CML Group"}</definedName>
    <definedName name="gbp">#REF!</definedName>
    <definedName name="gdfdf">#REF!</definedName>
    <definedName name="GDP">#REF!</definedName>
    <definedName name="GEFA">#REF!</definedName>
    <definedName name="GEFAGF">#REF!</definedName>
    <definedName name="Gender">#REF!</definedName>
    <definedName name="Generation">#REF!</definedName>
    <definedName name="GenericBrandPrice">#REF!</definedName>
    <definedName name="geodispersal">#REF!</definedName>
    <definedName name="Geography">#REF!</definedName>
    <definedName name="Germany">#REF!</definedName>
    <definedName name="Germany_IrelandExch">#REF!</definedName>
    <definedName name="GermanyGDP">#REF!</definedName>
    <definedName name="gf">#N/A</definedName>
    <definedName name="GFA_Apts">#REF!</definedName>
    <definedName name="GFA_Clubs">#REF!</definedName>
    <definedName name="GFA_creek_villas">#REF!</definedName>
    <definedName name="GFA_High_end_Apts">#REF!</definedName>
    <definedName name="GFA_offices">#REF!</definedName>
    <definedName name="GFA_Retail">#REF!</definedName>
    <definedName name="GFA_street_apts">#REF!</definedName>
    <definedName name="gfffd">#REF!</definedName>
    <definedName name="gfggfghsda">#REF!</definedName>
    <definedName name="gggg">#N/A</definedName>
    <definedName name="GIFA">#REF!</definedName>
    <definedName name="GKV_2P00_012000">#REF!</definedName>
    <definedName name="GKV_2P00_022000">#REF!</definedName>
    <definedName name="GKV_2P00_032000">#REF!</definedName>
    <definedName name="GKV_2P00_042000">#REF!</definedName>
    <definedName name="GKV_2P00_052000">#REF!</definedName>
    <definedName name="GKV_2P00_062000">#REF!</definedName>
    <definedName name="GKV_2P00_072000">#REF!</definedName>
    <definedName name="GKV_2P00_082000">#REF!</definedName>
    <definedName name="GKV_2P00_092000">#REF!</definedName>
    <definedName name="GKV_2P00_102000">#REF!</definedName>
    <definedName name="GKV_2P00_112000">#REF!</definedName>
    <definedName name="GKV_2P00_122000">#REF!</definedName>
    <definedName name="GKV_2P00_2000">#REF!</definedName>
    <definedName name="GKV_2P00_2001">#REF!</definedName>
    <definedName name="GKV_2P00_2002">#REF!</definedName>
    <definedName name="GKV_2P00_2003">#REF!</definedName>
    <definedName name="GKV_2P00_2004">#REF!</definedName>
    <definedName name="GKV_2P00_2005">#REF!</definedName>
    <definedName name="GKV_AfA">#REF!</definedName>
    <definedName name="GKV_aktEigen">#REF!</definedName>
    <definedName name="GKV_Bestandsver">#REF!</definedName>
    <definedName name="GKV_DurchleitungExtern">#REF!</definedName>
    <definedName name="GKV_DurchleitungIntern">#REF!</definedName>
    <definedName name="GKV_MatProjekteDB">#REF!</definedName>
    <definedName name="GKV_Menge">#REF!</definedName>
    <definedName name="GKV_MietenBuT">#REF!</definedName>
    <definedName name="GKV_MietenVuV">#REF!</definedName>
    <definedName name="GKV_Mietleitunge">#REF!</definedName>
    <definedName name="GKV_MinCarrier">#REF!</definedName>
    <definedName name="GKV_MinInternet">#REF!</definedName>
    <definedName name="GKV_MinVoice">#REF!</definedName>
    <definedName name="GKV_Personalaufwand">#REF!</definedName>
    <definedName name="GKV_Positionen">#REF!</definedName>
    <definedName name="GKV_Provisionen">#REF!</definedName>
    <definedName name="GKV_SonstEuA">#REF!</definedName>
    <definedName name="GKV_SonstMat">#REF!</definedName>
    <definedName name="GKV_SonstVuV">#REF!</definedName>
    <definedName name="GKV_Steuern">#REF!</definedName>
    <definedName name="GKV_Umsatz_Carrier">#REF!</definedName>
    <definedName name="GKV_Umsatz_Daten">#REF!</definedName>
    <definedName name="GKV_Umsatz_Intern">#REF!</definedName>
    <definedName name="GKV_Umsatz_InternetAccess">#REF!</definedName>
    <definedName name="GKV_Umsatz_InternetTransaktion">#REF!</definedName>
    <definedName name="GKV_Umsatz_InternetWerbung">#REF!</definedName>
    <definedName name="GKV_Umsatz_LeadedLine">#REF!</definedName>
    <definedName name="GKV_Umsatz_Sonst">#REF!</definedName>
    <definedName name="GKV_Umsatz_Sprache">#REF!</definedName>
    <definedName name="GKV_VerrechungMCO">#REF!</definedName>
    <definedName name="GKV_VuVintern">#REF!</definedName>
    <definedName name="GKV_Werbeaufwand">#REF!</definedName>
    <definedName name="GKV_Zinsen">#REF!</definedName>
    <definedName name="gl">#REF!</definedName>
    <definedName name="GL_XFrom_My_Table_2">#REF!</definedName>
    <definedName name="globale_marge">#REF!</definedName>
    <definedName name="Govt">#REF!</definedName>
    <definedName name="Grace">#REF!</definedName>
    <definedName name="gracele">#REF!</definedName>
    <definedName name="Graph1">#REF!</definedName>
    <definedName name="Graph1_0">#REF!</definedName>
    <definedName name="Graph1_1">#REF!</definedName>
    <definedName name="Graph10">#REF!</definedName>
    <definedName name="Graph10_0">#REF!</definedName>
    <definedName name="Graph10_1">#REF!</definedName>
    <definedName name="Graph14">#REF!</definedName>
    <definedName name="Graph14_0">#REF!</definedName>
    <definedName name="Graph14_1">#REF!</definedName>
    <definedName name="Graph15">#REF!</definedName>
    <definedName name="Graph15_0">#REF!</definedName>
    <definedName name="Graph15_1">#REF!</definedName>
    <definedName name="Graph16">#REF!</definedName>
    <definedName name="Graph16_0">#REF!</definedName>
    <definedName name="Graph16_1">#REF!</definedName>
    <definedName name="Graph2">#REF!</definedName>
    <definedName name="Graph2_0">#REF!</definedName>
    <definedName name="Graph2_1">#REF!</definedName>
    <definedName name="Graph3">#REF!</definedName>
    <definedName name="Graph3_0">#REF!</definedName>
    <definedName name="Graph3_1">#REF!</definedName>
    <definedName name="Graph5">#REF!</definedName>
    <definedName name="Graph5_0">#REF!</definedName>
    <definedName name="Graph5_1">#REF!</definedName>
    <definedName name="Graph9">#REF!</definedName>
    <definedName name="Graph9_0">#REF!</definedName>
    <definedName name="Graph9_1">#REF!</definedName>
    <definedName name="grcountry">#REF!</definedName>
    <definedName name="Greece">#REF!</definedName>
    <definedName name="GreeceExch">#REF!</definedName>
    <definedName name="GreeceGDP">#REF!</definedName>
    <definedName name="grname">#REF!</definedName>
    <definedName name="Gross_margin">#REF!</definedName>
    <definedName name="grosstariff">#REF!</definedName>
    <definedName name="GroupCo_Names_Long">#REF!</definedName>
    <definedName name="GST_Method">#REF!</definedName>
    <definedName name="GSTLease">#REF!</definedName>
    <definedName name="GSTLease_1">#REF!</definedName>
    <definedName name="GSTLease_2">#REF!</definedName>
    <definedName name="GSTLease_3">#REF!</definedName>
    <definedName name="GSTLease_4">#REF!</definedName>
    <definedName name="GSTLease_5">#REF!</definedName>
    <definedName name="GSTLease_6">#REF!</definedName>
    <definedName name="GSTLease_7">#REF!</definedName>
    <definedName name="GSTLease_8">#REF!</definedName>
    <definedName name="GSTSale">#REF!</definedName>
    <definedName name="GSTSale_1">#REF!</definedName>
    <definedName name="GSTSale_2">#REF!</definedName>
    <definedName name="GSTSale_3">#REF!</definedName>
    <definedName name="GSTSale_4">#REF!</definedName>
    <definedName name="GSTSale_5">#REF!</definedName>
    <definedName name="GSTSale_6">#REF!</definedName>
    <definedName name="GSTSale_7">#REF!</definedName>
    <definedName name="GSTSale_8">#REF!</definedName>
    <definedName name="GSTSell">#REF!</definedName>
    <definedName name="GSTSell_1">#REF!</definedName>
    <definedName name="GSTSell_2">#REF!</definedName>
    <definedName name="GSTSell_3">#REF!</definedName>
    <definedName name="GSTSell_4">#REF!</definedName>
    <definedName name="GSTSell_5">#REF!</definedName>
    <definedName name="GSTSell_6">#REF!</definedName>
    <definedName name="GSTSell_7">#REF!</definedName>
    <definedName name="GSTSell_8">#REF!</definedName>
    <definedName name="GSTVAT">#REF!</definedName>
    <definedName name="gw">#REF!</definedName>
    <definedName name="gwyr">#REF!</definedName>
    <definedName name="h">#REF!</definedName>
    <definedName name="H.01">#REF!</definedName>
    <definedName name="H.01a">#REF!</definedName>
    <definedName name="H.01b">#REF!</definedName>
    <definedName name="H.01c">#REF!</definedName>
    <definedName name="H.01d">#REF!</definedName>
    <definedName name="H.01e">#REF!</definedName>
    <definedName name="H.01f">#REF!</definedName>
    <definedName name="H.02">#REF!</definedName>
    <definedName name="H.02a">#REF!</definedName>
    <definedName name="H.02b">#REF!</definedName>
    <definedName name="H.02c">#REF!</definedName>
    <definedName name="H.02d">#REF!</definedName>
    <definedName name="H.03">#REF!</definedName>
    <definedName name="H.03a">#REF!</definedName>
    <definedName name="H.21">#REF!</definedName>
    <definedName name="H.22">#REF!</definedName>
    <definedName name="H.23">#REF!</definedName>
    <definedName name="H.24">#REF!</definedName>
    <definedName name="H.26">#REF!</definedName>
    <definedName name="H.30">#REF!</definedName>
    <definedName name="H.30a">#REF!</definedName>
    <definedName name="H.30b">#REF!</definedName>
    <definedName name="H.30c">#REF!</definedName>
    <definedName name="H.40">#REF!</definedName>
    <definedName name="H.41">#REF!</definedName>
    <definedName name="H.42">#REF!</definedName>
    <definedName name="H.50">#REF!</definedName>
    <definedName name="H.60">#REF!</definedName>
    <definedName name="H.65">#REF!</definedName>
    <definedName name="H.70">#REF!</definedName>
    <definedName name="H_______EARTH_WORKS">#REF!</definedName>
    <definedName name="H_______PLUMBING_PVC_PIPES">#REF!</definedName>
    <definedName name="hahchcjcv" hidden="1">{"vi1",#N/A,FALSE,"Financial Statements";"vi2",#N/A,FALSE,"Financial Statements";#N/A,#N/A,FALSE,"DCF"}</definedName>
    <definedName name="halls">#REF!</definedName>
    <definedName name="Handel">#REF!</definedName>
    <definedName name="Handsets">#REF!</definedName>
    <definedName name="Hassa">#REF!</definedName>
    <definedName name="HAUT2">#REF!</definedName>
    <definedName name="HAUT3">#REF!</definedName>
    <definedName name="HAUT4">#REF!</definedName>
    <definedName name="HAUT5">#REF!</definedName>
    <definedName name="HAUT6">#REF!</definedName>
    <definedName name="HAUT7">#REF!</definedName>
    <definedName name="hazem">#REF!</definedName>
    <definedName name="HBALSHA">#REF!</definedName>
    <definedName name="HBALSHE">#REF!</definedName>
    <definedName name="HBALSHEYR">#REF!</definedName>
    <definedName name="HBALSHYR">#REF!</definedName>
    <definedName name="HC">#REF!</definedName>
    <definedName name="HCASHFLO">#REF!</definedName>
    <definedName name="HCASHYR">#REF!</definedName>
    <definedName name="HCOV">#REF!</definedName>
    <definedName name="HData_Segm_splitup">#REF!</definedName>
    <definedName name="Header_Row">ROW(#REF!)</definedName>
    <definedName name="hello">#REF!</definedName>
    <definedName name="hellooooasdajid">#REF!</definedName>
    <definedName name="hgfdhg">#REF!</definedName>
    <definedName name="hgkghkgk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gkgkghk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H">#REF!</definedName>
    <definedName name="HiddenRows" hidden="1">#REF!</definedName>
    <definedName name="high">#REF!</definedName>
    <definedName name="HighValue">#REF!</definedName>
    <definedName name="HINCST">#REF!</definedName>
    <definedName name="HINCSTYR">#REF!</definedName>
    <definedName name="HoldDR">#REF!</definedName>
    <definedName name="Holidays">#REF!</definedName>
    <definedName name="Hong_Kong">#REF!</definedName>
    <definedName name="Hong_KongExch">#REF!</definedName>
    <definedName name="Hong_KongGDP">#REF!</definedName>
    <definedName name="Hosam" hidden="1">{#N/A,#N/A,FALSE,"inctrnd99"}</definedName>
    <definedName name="HOTEL">#REF!</definedName>
    <definedName name="Hotelnetrent1">#REF!</definedName>
    <definedName name="hotelnetrent2">#REF!</definedName>
    <definedName name="HPL">#REF!</definedName>
    <definedName name="HR">#REF!</definedName>
    <definedName name="HRATIO">#REF!</definedName>
    <definedName name="HRATIOYR">#REF!</definedName>
    <definedName name="hrcs">#REF!</definedName>
    <definedName name="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SHSHS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th">#REF!</definedName>
    <definedName name="HTML_CodePage" hidden="1">1252</definedName>
    <definedName name="HTML_Control" hidden="1">{"'DCF mthod 15%'!$A$1:$L$85"}</definedName>
    <definedName name="HTML_Description" hidden="1">"This is test model for UNILEVER"</definedName>
    <definedName name="HTML_Email" hidden="1">"ashaikh@savola.com"</definedName>
    <definedName name="HTML_Header" hidden="1">"DCF mthod 15%"</definedName>
    <definedName name="HTML_LastUpdate" hidden="1">"2/21/01"</definedName>
    <definedName name="HTML_LineAfter" hidden="1">TRUE</definedName>
    <definedName name="HTML_LineBefore" hidden="1">TRUE</definedName>
    <definedName name="HTML_Name" hidden="1">"Asif Iqbal"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"Valuation Pakistan-Best Estimate"</definedName>
    <definedName name="Hungary">#REF!</definedName>
    <definedName name="HungaryExch">#REF!</definedName>
    <definedName name="HungaryGDP">#REF!</definedName>
    <definedName name="HYPERION">#REF!</definedName>
    <definedName name="I">#REF!</definedName>
    <definedName name="I.01">#REF!</definedName>
    <definedName name="I.02">#REF!</definedName>
    <definedName name="I.03">#REF!</definedName>
    <definedName name="I.04">#REF!</definedName>
    <definedName name="I.05">#REF!</definedName>
    <definedName name="ID">#REF!</definedName>
    <definedName name="igrissam">#REF!</definedName>
    <definedName name="igrsaadia">#REF!</definedName>
    <definedName name="IHBARSURESI">#REF!</definedName>
    <definedName name="IKRAMIYESURESI">#REF!</definedName>
    <definedName name="Import_1071">#REF!</definedName>
    <definedName name="Import_11">#REF!</definedName>
    <definedName name="Import_1572">#REF!</definedName>
    <definedName name="Import_73">#REF!</definedName>
    <definedName name="Import_734">#REF!</definedName>
    <definedName name="Import_738">#REF!</definedName>
    <definedName name="Import_760">#REF!</definedName>
    <definedName name="Import_762">#REF!</definedName>
    <definedName name="Import_768">#REF!</definedName>
    <definedName name="Import_770">#REF!</definedName>
    <definedName name="Import_960">#REF!</definedName>
    <definedName name="Import_Export_Region">#REF!</definedName>
    <definedName name="INCENFEE">#REF!</definedName>
    <definedName name="incl_OS">#REF!</definedName>
    <definedName name="incl_voice">#REF!</definedName>
    <definedName name="Included">#REF!</definedName>
    <definedName name="Income_Statement">#REF!</definedName>
    <definedName name="IncomeDistType">#REF!</definedName>
    <definedName name="INDEX">#REF!,#REF!</definedName>
    <definedName name="India">#REF!</definedName>
    <definedName name="IndiaExch">#REF!</definedName>
    <definedName name="IndiaGDP">#REF!</definedName>
    <definedName name="Indonesia">#REF!</definedName>
    <definedName name="IndonesiaExch">#REF!</definedName>
    <definedName name="IndonesiaGDP">#REF!</definedName>
    <definedName name="infaten">#REF!</definedName>
    <definedName name="InfExO1">#REF!</definedName>
    <definedName name="inflatefive">#REF!</definedName>
    <definedName name="Inflation_Index">#REF!</definedName>
    <definedName name="inflporparfive">#REF!</definedName>
    <definedName name="Info">#N/A</definedName>
    <definedName name="Inhalte_einfügen">#REF!</definedName>
    <definedName name="InitCalcStatus">-4135</definedName>
    <definedName name="input">#REF!</definedName>
    <definedName name="INPUT_SHT_Actual_Signed_Contracts_Mall1">#REF!</definedName>
    <definedName name="INPUT_SHT_Actual_Signed_Contracts_Mall2">#REF!</definedName>
    <definedName name="INPUT_SHT_Actual_Signed_Contracts_Mall3">#REF!</definedName>
    <definedName name="INPUT_SHT_Actual_Signed_Contracts_Mall4">#REF!</definedName>
    <definedName name="INPUT_SHT_Actual_Signed_Contracts_Mall5">#REF!</definedName>
    <definedName name="INPUT_SHT_Actual_Signed_Contracts_Mall6">#REF!</definedName>
    <definedName name="INPUT_SHT_Actual_Signed_Contracts_Mall7">#REF!</definedName>
    <definedName name="INPUT_SHT_Actual_Signed_Contracts_Mall8">#REF!</definedName>
    <definedName name="INPUT_SHT_Actual_Signed_Contracts_Mall9">#REF!</definedName>
    <definedName name="INPUT_SHT_GLA_Mall1">#REF!</definedName>
    <definedName name="INPUT_SHT_GLA_Mall1B">#REF!</definedName>
    <definedName name="INPUT_SHT_GLA_Mall2">#REF!</definedName>
    <definedName name="INPUT_SHT_GLA_Mall3">#REF!</definedName>
    <definedName name="INPUT_SHT_GLA_Mall3B">#REF!</definedName>
    <definedName name="INPUT_SHT_GLA_Mall4">#REF!</definedName>
    <definedName name="INPUT_SHT_GLA_Mall5">#REF!</definedName>
    <definedName name="INPUT_SHT_GLA_Mall6">#REF!</definedName>
    <definedName name="INPUT_SHT_GLA_Mall7">#REF!</definedName>
    <definedName name="INPUT_SHT_GLA_Mall8">#REF!</definedName>
    <definedName name="INPUT_SHT_GLA_Mall9">#REF!</definedName>
    <definedName name="INPUT_SHT_Recov_Charge_Mall1">#REF!</definedName>
    <definedName name="INPUT_SHT_Recov_Charge_Mall2">#REF!</definedName>
    <definedName name="INPUT_SHT_Recov_Charge_Mall3">#REF!</definedName>
    <definedName name="INPUT_SHT_Recov_Charge_Mall4">#REF!</definedName>
    <definedName name="INPUT_SHT_Recov_Charge_Mall5">#REF!</definedName>
    <definedName name="INPUT_SHT_Recov_Charge_Mall6">#REF!</definedName>
    <definedName name="INPUT_SHT_Recov_Charge_Mall7">#REF!</definedName>
    <definedName name="INPUT_SHT_Recov_Charge_Mall8">#REF!</definedName>
    <definedName name="INPUT_SHT_Recov_Charge_Mall9">#REF!</definedName>
    <definedName name="INPUT_SHT_Serv_Charge_Mall1">#REF!</definedName>
    <definedName name="INPUT_SHT_Serv_Charge_Mall2">#REF!</definedName>
    <definedName name="INPUT_SHT_Serv_Charge_Mall3">#REF!</definedName>
    <definedName name="INPUT_SHT_Serv_Charge_Mall4">#REF!</definedName>
    <definedName name="INPUT_SHT_Serv_Charge_Mall5">#REF!</definedName>
    <definedName name="INPUT_SHT_Serv_Charge_Mall6">#REF!</definedName>
    <definedName name="INPUT_SHT_Serv_Charge_Mall7">#REF!</definedName>
    <definedName name="INPUT_SHT_Serv_Charge_Mall8">#REF!</definedName>
    <definedName name="INPUT_SHT_Serv_Charge_Mall9">#REF!</definedName>
    <definedName name="INPUT_SHT_Start_Date_Mall1">#REF!</definedName>
    <definedName name="INPUT_SHT_Start_Date_Mall1B">#REF!</definedName>
    <definedName name="INPUT_SHT_Start_Date_Mall2">#REF!</definedName>
    <definedName name="INPUT_SHT_Start_Date_Mall3">#REF!</definedName>
    <definedName name="INPUT_SHT_Start_Date_Mall3B">#REF!</definedName>
    <definedName name="INPUT_SHT_Start_Date_Mall4">#REF!</definedName>
    <definedName name="INPUT_SHT_Start_Date_Mall5">#REF!</definedName>
    <definedName name="INPUT_SHT_Start_Date_Mall6">#REF!</definedName>
    <definedName name="INPUT_SHT_Start_Date_Mall7">#REF!</definedName>
    <definedName name="INPUT_SHT_Start_Date_Mall8">#REF!</definedName>
    <definedName name="INPUT_SHT_Start_Date_Mall9">#REF!</definedName>
    <definedName name="INPUT_SHT_Total_Possible_Inc_Mall1">#REF!</definedName>
    <definedName name="INPUT_SHT_Total_Possible_Inc_Mall1B">#REF!</definedName>
    <definedName name="INPUT_SHT_Total_Possible_Inc_Mall2">#REF!</definedName>
    <definedName name="INPUT_SHT_Total_Possible_Inc_Mall3">#REF!</definedName>
    <definedName name="INPUT_SHT_Total_Possible_Inc_Mall3B">#REF!</definedName>
    <definedName name="INPUT_SHT_Total_Possible_Inc_Mall4">#REF!</definedName>
    <definedName name="INPUT_SHT_Total_Possible_Inc_Mall5">#REF!</definedName>
    <definedName name="INPUT_SHT_Total_Possible_Inc_Mall6">#REF!</definedName>
    <definedName name="INPUT_SHT_Total_Possible_Inc_Mall7">#REF!</definedName>
    <definedName name="INPUT_SHT_Total_Possible_Inc_Mall8">#REF!</definedName>
    <definedName name="INPUT_SHT_Total_Possible_Inc_Mall9">#REF!</definedName>
    <definedName name="Input_View">#REF!</definedName>
    <definedName name="InputManualInputAll">#REF!,#REF!,#REF!,#REF!,#REF!,#REF!,#REF!,#REF!,#REF!,#REF!,#REF!,#REF!,#REF!</definedName>
    <definedName name="InputSheetDialogBox">"Edit Box 4"</definedName>
    <definedName name="Insurance">#REF!</definedName>
    <definedName name="Int">#REF!</definedName>
    <definedName name="Int_Rate">#REF!</definedName>
    <definedName name="IntAnnuity">#REF!</definedName>
    <definedName name="Interc_Rev_LD_Min">#REF!</definedName>
    <definedName name="Interc_Rev_Loc_Min">#REF!</definedName>
    <definedName name="Interconnect_Cost">#REF!</definedName>
    <definedName name="Interconnect_Sharing">#REF!</definedName>
    <definedName name="InterconnectIncomeStart">#REF!</definedName>
    <definedName name="InterconnectStart">#REF!</definedName>
    <definedName name="Interest_Module.Interest_Module">#REF!</definedName>
    <definedName name="Interest_Payments">#REF!</definedName>
    <definedName name="Interest_Rate">#REF!</definedName>
    <definedName name="interest1">#REF!</definedName>
    <definedName name="interest2">#REF!</definedName>
    <definedName name="interestpas">#REF!,#REF!,#REF!,#REF!,#REF!</definedName>
    <definedName name="InterExpDIY">#REF!</definedName>
    <definedName name="Interim">#REF!</definedName>
    <definedName name="Interval">#REF!</definedName>
    <definedName name="Interval_cutoff">#REF!</definedName>
    <definedName name="IntRepayProfile">#REF!</definedName>
    <definedName name="IntroPrintArea" hidden="1">#REF!</definedName>
    <definedName name="Inv">#REF!</definedName>
    <definedName name="InvestmentRate">#REF!</definedName>
    <definedName name="INVISTA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38715.9041203704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an">#REF!</definedName>
    <definedName name="IranExch">#REF!</definedName>
    <definedName name="IranGDP">#REF!</definedName>
    <definedName name="Ireland">#REF!</definedName>
    <definedName name="IrelandGDP">#REF!</definedName>
    <definedName name="IRR">#REF!</definedName>
    <definedName name="IRR_EQUITY">#REF!</definedName>
    <definedName name="IRR_FIRM">#REF!</definedName>
    <definedName name="IS_Amort_Exp">#REF!</definedName>
    <definedName name="IS_EBITDA">#REF!</definedName>
    <definedName name="ISACC">#REF!</definedName>
    <definedName name="ISallocataion">#REF!</definedName>
    <definedName name="IsCurrency">#REF!</definedName>
    <definedName name="IsLite" hidden="1">#REF!</definedName>
    <definedName name="ismay" hidden="1">{#N/A,#N/A,FALSE,"inctrnd99"}</definedName>
    <definedName name="ISSIGCAL">#REF!</definedName>
    <definedName name="ISSIGEMK">#REF!</definedName>
    <definedName name="ISSIGISVCAL">#REF!</definedName>
    <definedName name="Italy">#REF!</definedName>
    <definedName name="Italy_NetherlandsExch">#REF!</definedName>
    <definedName name="ItalyGDP">#REF!</definedName>
    <definedName name="ITEM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TRX_Date_Sum">#REF!</definedName>
    <definedName name="iteration">#REF!</definedName>
    <definedName name="IZIN">#REF!</definedName>
    <definedName name="J">#REF!</definedName>
    <definedName name="J.01">#REF!</definedName>
    <definedName name="J.02">#REF!</definedName>
    <definedName name="J.03">#REF!</definedName>
    <definedName name="J.04">#REF!</definedName>
    <definedName name="J.05">#REF!</definedName>
    <definedName name="J.06">#REF!</definedName>
    <definedName name="J.07">#REF!</definedName>
    <definedName name="J.08">#REF!</definedName>
    <definedName name="J.09">#REF!</definedName>
    <definedName name="J.10">#REF!</definedName>
    <definedName name="J.11">#REF!</definedName>
    <definedName name="J.20">#REF!</definedName>
    <definedName name="J.30">#REF!</definedName>
    <definedName name="J_cutoff">#REF!</definedName>
    <definedName name="Jan_08">#REF!</definedName>
    <definedName name="JanSun1">DATEVALUE("1/1/"&amp;TheYear)-WEEKDAY(DATEVALUE("1/1/"&amp;TheYear))+1</definedName>
    <definedName name="Japan">#REF!</definedName>
    <definedName name="JapanExch">#REF!</definedName>
    <definedName name="JapanGDP">#REF!</definedName>
    <definedName name="Jassim" hidden="1">{#N/A,#N/A,FALSE,"inctrnd99"}</definedName>
    <definedName name="jdbytraftype">#REF!</definedName>
    <definedName name="jdmktsplitup">#REF!</definedName>
    <definedName name="jhjhj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Jo" hidden="1">{"vi1",#N/A,FALSE,"Financial Statements";"vi2",#N/A,FALSE,"Financial Statements";#N/A,#N/A,FALSE,"DCF"}</definedName>
    <definedName name="Jose" hidden="1">{"vi1",#N/A,FALSE,"Financial Statements";"vi2",#N/A,FALSE,"Financial Statements";#N/A,#N/A,FALSE,"DCF"}</definedName>
    <definedName name="jose31" hidden="1">{"vi1",#N/A,FALSE,"Financial Statements";"vi2",#N/A,FALSE,"Financial Statements";#N/A,#N/A,FALSE,"DCF"}</definedName>
    <definedName name="Jul_08">#REF!</definedName>
    <definedName name="JulSun1">DATEVALUE("7/1/"&amp;TheYear)-WEEKDAY(DATEVALUE("7/1/"&amp;TheYear))+1</definedName>
    <definedName name="Jump_to_Acetic_Anhydride">#REF!</definedName>
    <definedName name="Jump_to_acid">#REF!</definedName>
    <definedName name="Jump_to_Butyl_Acetate">#REF!</definedName>
    <definedName name="Jump_to_Cellulose_Acetate">#REF!</definedName>
    <definedName name="Jump_to_Ethyl_Acetate">#REF!</definedName>
    <definedName name="Jump_to_MCA">#REF!</definedName>
    <definedName name="Jump_to_Propyl_Acetate">#REF!</definedName>
    <definedName name="Jump_to_PTA">#REF!</definedName>
    <definedName name="Jump_to_PVOH">#REF!</definedName>
    <definedName name="Jump_to_VAM">#REF!</definedName>
    <definedName name="Jun_08">#REF!</definedName>
    <definedName name="JunSun1">DATEVALUE("6/1/"&amp;TheYear)-WEEKDAY(DATEVALUE("6/1/"&amp;TheYear))+1</definedName>
    <definedName name="JVCE">#REF!</definedName>
    <definedName name="JVIRR">#REF!</definedName>
    <definedName name="JVPayback">#REF!</definedName>
    <definedName name="JVPV">#REF!</definedName>
    <definedName name="JVYes">#REF!</definedName>
    <definedName name="k">#REF!</definedName>
    <definedName name="K.01">#REF!</definedName>
    <definedName name="K.01a">#REF!</definedName>
    <definedName name="K.01b">#REF!</definedName>
    <definedName name="K.01c">#REF!</definedName>
    <definedName name="K.02">#REF!</definedName>
    <definedName name="K.02a">#REF!</definedName>
    <definedName name="K.02b">#REF!</definedName>
    <definedName name="K.03">#REF!</definedName>
    <definedName name="K.04">#REF!</definedName>
    <definedName name="K.05">#REF!</definedName>
    <definedName name="K.06">#REF!</definedName>
    <definedName name="K.07">#REF!</definedName>
    <definedName name="K.08">#REF!</definedName>
    <definedName name="k76gpn323eld">#REF!</definedName>
    <definedName name="Kamel" hidden="1">#REF!</definedName>
    <definedName name="kareem" hidden="1">#REF!</definedName>
    <definedName name="kareem1">#REF!</definedName>
    <definedName name="Kazakhstan">#REF!</definedName>
    <definedName name="KazakhstanExch">#REF!</definedName>
    <definedName name="KazakhstanGDP">#REF!</definedName>
    <definedName name="Ke">#REF!</definedName>
    <definedName name="Kenya">#REF!</definedName>
    <definedName name="KenyaExch">#REF!</definedName>
    <definedName name="KenyaGDP">#REF!</definedName>
    <definedName name="kghkhgkhg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kh">#N/A</definedName>
    <definedName name="khaled">#N/A</definedName>
    <definedName name="khkh">#N/A</definedName>
    <definedName name="Khurais">#REF!</definedName>
    <definedName name="KIDEMTAVANI">#REF!</definedName>
    <definedName name="kkk">#REF!</definedName>
    <definedName name="kkkkkk">#REF!</definedName>
    <definedName name="KONTROL">#REF!</definedName>
    <definedName name="KOPF1">#REF!</definedName>
    <definedName name="KT_USD">#REF!</definedName>
    <definedName name="KUR">#REF!</definedName>
    <definedName name="Kuwait">#REF!</definedName>
    <definedName name="KuwaitExch">#REF!</definedName>
    <definedName name="KuwaitGDP">#REF!</definedName>
    <definedName name="kuyf">#REF!</definedName>
    <definedName name="L">#REF!</definedName>
    <definedName name="L_______EARTH_WORKS">#REF!</definedName>
    <definedName name="L_1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nd">#REF!</definedName>
    <definedName name="LandMI">#REF!</definedName>
    <definedName name="LandpMI">#REF!</definedName>
    <definedName name="LandUseList">#REF!</definedName>
    <definedName name="LandUseListOffset">IF(IsLite,OFFSET(#REF!,0,0,5,1),#REF!)</definedName>
    <definedName name="LARG2">#REF!</definedName>
    <definedName name="LARG3">#REF!</definedName>
    <definedName name="LARG4">#REF!</definedName>
    <definedName name="LARG5">#REF!</definedName>
    <definedName name="LARG6">#REF!</definedName>
    <definedName name="LARG7">#REF!</definedName>
    <definedName name="Last_Row">#N/A</definedName>
    <definedName name="lastactual">#REF!</definedName>
    <definedName name="Lastdata">#REF!</definedName>
    <definedName name="LastOpenedWorkSheet">#REF!</definedName>
    <definedName name="LastRefreshed">#REF!</definedName>
    <definedName name="LASTROW">#REF!</definedName>
    <definedName name="lavatory">#REF!</definedName>
    <definedName name="Lbr_Tp">#REF!</definedName>
    <definedName name="LC">#REF!</definedName>
    <definedName name="LCap_POL">#REF!</definedName>
    <definedName name="lcy">#REF!</definedName>
    <definedName name="LD_B_Pt_oLD">#REF!</definedName>
    <definedName name="LD_B_Pt_Re2">#REF!</definedName>
    <definedName name="LD_B_Pt_Re5">#REF!</definedName>
    <definedName name="LD_B_Pt_Reg200">#REF!</definedName>
    <definedName name="LD_B_Pt_Reg50">#REF!</definedName>
    <definedName name="LD_B_Pt_Rw5">#REF!</definedName>
    <definedName name="LD_Bus_GPM">#REF!</definedName>
    <definedName name="LD_R_Pt_oLD">#REF!</definedName>
    <definedName name="LD_R_Pt_Re2">#REF!</definedName>
    <definedName name="LD_R_Pt_Re5">#REF!</definedName>
    <definedName name="LD_R_Pt_Reg200">#REF!</definedName>
    <definedName name="LD_R_Pt_Reg50">#REF!</definedName>
    <definedName name="LD_Tariff">#REF!</definedName>
    <definedName name="LDmd_Tot">#REF!</definedName>
    <definedName name="LEASE">#REF!</definedName>
    <definedName name="lease_mat">#REF!</definedName>
    <definedName name="LeasMI">#REF!</definedName>
    <definedName name="length_3">#REF!</definedName>
    <definedName name="Lesotho">#REF!</definedName>
    <definedName name="LesothoExch">#REF!</definedName>
    <definedName name="LesothoGDP">#REF!</definedName>
    <definedName name="levels">#REF!</definedName>
    <definedName name="LF">#REF!</definedName>
    <definedName name="lfy">#REF!</definedName>
    <definedName name="LFYCOL1">#REF!</definedName>
    <definedName name="LHYCOL1">#REF!</definedName>
    <definedName name="LIABILITY">#REF!</definedName>
    <definedName name="LIB">#REF!</definedName>
    <definedName name="LIBOR">#REF!</definedName>
    <definedName name="License7">#REF!</definedName>
    <definedName name="lieu">#REF!</definedName>
    <definedName name="Life">#REF!</definedName>
    <definedName name="LifeExpectancy">#REF!</definedName>
    <definedName name="limcount" hidden="1">1</definedName>
    <definedName name="lines">#REF!</definedName>
    <definedName name="lines_oth">#REF!</definedName>
    <definedName name="LineToBeSwitched">#REF!</definedName>
    <definedName name="Linka_Nokia">#REF!</definedName>
    <definedName name="Linka_SKET_foau_skin">#REF!</definedName>
    <definedName name="List_RCP">#REF!</definedName>
    <definedName name="LL">#REF!</definedName>
    <definedName name="LL_Length">#REF!</definedName>
    <definedName name="LL_Price_Evolution">#REF!</definedName>
    <definedName name="LLLLL">#REF!</definedName>
    <definedName name="Loan">#REF!</definedName>
    <definedName name="Loan_Amount">#REF!</definedName>
    <definedName name="Loan_Amt">#REF!</definedName>
    <definedName name="Loan_Payment">#REF!</definedName>
    <definedName name="Loan_Start">#REF!</definedName>
    <definedName name="Loan_Years">#REF!</definedName>
    <definedName name="Loc_Tariff">#REF!</definedName>
    <definedName name="Local_Bus_GPM">#REF!</definedName>
    <definedName name="Local_Bus_PPM">#REF!</definedName>
    <definedName name="Local_Res_PPM">#REF!</definedName>
    <definedName name="location">#REF!</definedName>
    <definedName name="Location_Annual">#REF!</definedName>
    <definedName name="LocRate">#REF!</definedName>
    <definedName name="LONG2">#REF!</definedName>
    <definedName name="LONG3">#REF!</definedName>
    <definedName name="LONG4">#REF!</definedName>
    <definedName name="LONG5">#REF!</definedName>
    <definedName name="LONG6">#REF!</definedName>
    <definedName name="LONG7">#REF!</definedName>
    <definedName name="low">#REF!</definedName>
    <definedName name="LowValue">#REF!</definedName>
    <definedName name="lp">#REF!</definedName>
    <definedName name="LPrd_Tot">#REF!</definedName>
    <definedName name="lstGrpeDim_ORGA">#REF!</definedName>
    <definedName name="LTdebt_amort">#REF!</definedName>
    <definedName name="LTdebt_int">#REF!</definedName>
    <definedName name="LTEC">#REF!</definedName>
    <definedName name="LTECMININV">#REF!</definedName>
    <definedName name="LTECTOTAL">#REF!</definedName>
    <definedName name="lth">#REF!</definedName>
    <definedName name="Ltitle">#REF!</definedName>
    <definedName name="m">#REF!</definedName>
    <definedName name="M.01">#REF!</definedName>
    <definedName name="M.01a">#REF!</definedName>
    <definedName name="M.01b">#REF!</definedName>
    <definedName name="M.01c">#REF!</definedName>
    <definedName name="M.01d">#REF!</definedName>
    <definedName name="M.01e">#REF!</definedName>
    <definedName name="M.01f">#REF!</definedName>
    <definedName name="M.10">#REF!</definedName>
    <definedName name="M.Samy" hidden="1">{#N/A,#N/A,FALSE,"inctrnd99"}</definedName>
    <definedName name="M\" hidden="1">{#N/A,#N/A,FALSE,"inctrnd99"}</definedName>
    <definedName name="M_1">#REF!</definedName>
    <definedName name="machinedep">#REF!</definedName>
    <definedName name="Macro1">#N/A</definedName>
    <definedName name="Macro113">#N/A</definedName>
    <definedName name="Macro15">#REF!</definedName>
    <definedName name="Macro16">#REF!</definedName>
    <definedName name="Macro17">#REF!</definedName>
    <definedName name="Macro18">#REF!</definedName>
    <definedName name="Macro2">#N/A</definedName>
    <definedName name="MacroAss">#REF!</definedName>
    <definedName name="MACROS">#REF!</definedName>
    <definedName name="Malawi">#REF!</definedName>
    <definedName name="MalawiExch">#REF!</definedName>
    <definedName name="MalawiGDP">#REF!</definedName>
    <definedName name="Malaysia">#REF!</definedName>
    <definedName name="MalaysiaExch">#REF!</definedName>
    <definedName name="MalaysiaGDP">#REF!</definedName>
    <definedName name="Managers_Per_Executive">#REF!</definedName>
    <definedName name="ManagersPerExecutive_Outsourcing">#REF!</definedName>
    <definedName name="manf">#REF!</definedName>
    <definedName name="Map">#REF!</definedName>
    <definedName name="MappedWorkbookName">"SFAS_13_Classification.xls"</definedName>
    <definedName name="Mar_08">#REF!</definedName>
    <definedName name="marco" hidden="1">{#N/A,#N/A,FALSE,"Sensitivity"}</definedName>
    <definedName name="Margin">#REF!</definedName>
    <definedName name="Margin_at_SA">#REF!</definedName>
    <definedName name="MarginDecline">#REF!</definedName>
    <definedName name="MARKETING07">#REF!</definedName>
    <definedName name="MARKETING98">#REF!</definedName>
    <definedName name="MARKETINGALL">#REF!</definedName>
    <definedName name="marketshare">#REF!</definedName>
    <definedName name="markup">#REF!</definedName>
    <definedName name="MarSun1">DATEVALUE("3/1/"&amp;TheYear)-WEEKDAY(DATEVALUE("3/1/"&amp;TheYear))+1</definedName>
    <definedName name="MasterSpinner2">#REF!</definedName>
    <definedName name="Maximize">#N/A</definedName>
    <definedName name="maxocc">#REF!</definedName>
    <definedName name="May_08">#REF!</definedName>
    <definedName name="MaySun1">DATEVALUE("5/1/"&amp;TheYear)-WEEKDAY(DATEVALUE("5/1/"&amp;TheYear))+1</definedName>
    <definedName name="MBW_No_Seg1_Lines">#REF!</definedName>
    <definedName name="MBW_No_Seg2_Lines">#REF!</definedName>
    <definedName name="MBW_No_Seg3_Lines">#REF!</definedName>
    <definedName name="MBW_No_Seg4_Lines">#REF!</definedName>
    <definedName name="MBW_No_Seg5_Lines">#REF!</definedName>
    <definedName name="MBW_No_Seg6_Lines">#REF!</definedName>
    <definedName name="MBW_No_Seg7_Lines">#REF!</definedName>
    <definedName name="MBW_No_Seg8_Lines">#REF!</definedName>
    <definedName name="MBW_Total_lines">#REF!</definedName>
    <definedName name="MBW_Traf_Type">#REF!</definedName>
    <definedName name="MBW_Type">#REF!</definedName>
    <definedName name="MEast_LTA">#REF!+#REF!</definedName>
    <definedName name="Mech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med">#REF!</definedName>
    <definedName name="Medunet">#REF!</definedName>
    <definedName name="megb">#REF!</definedName>
    <definedName name="megt">#REF!</definedName>
    <definedName name="Membership_Data">#REF!</definedName>
    <definedName name="MET_Rate">#REF!</definedName>
    <definedName name="MET_RefOilRate">#REF!</definedName>
    <definedName name="Mexico">#REF!</definedName>
    <definedName name="MexicoExch">#REF!</definedName>
    <definedName name="MexicoGDP">#REF!</definedName>
    <definedName name="mgmt">#REF!</definedName>
    <definedName name="MH">#REF!</definedName>
    <definedName name="Mietleitungen">#REF!</definedName>
    <definedName name="Mine">#REF!</definedName>
    <definedName name="MINGOP">#REF!</definedName>
    <definedName name="Minimum_NPV">#REF!</definedName>
    <definedName name="MIReset">#REF!,#REF!,#REF!,#REF!,#REF!,#REF!,#REF!,#REF!,#REF!,#REF!,#REF!,#REF!,#REF!,#REF!,#REF!</definedName>
    <definedName name="Misc2MI">#REF!</definedName>
    <definedName name="Misc3MI">#REF!</definedName>
    <definedName name="MiscMI">#REF!</definedName>
    <definedName name="mktsize2data">#REF!</definedName>
    <definedName name="mktsize34">#REF!</definedName>
    <definedName name="mktsize64data">#REF!</definedName>
    <definedName name="mktsize9.6">#REF!</definedName>
    <definedName name="mm">#REF!</definedName>
    <definedName name="MMC_Cal">#REF!</definedName>
    <definedName name="MMMMM">#REF!</definedName>
    <definedName name="mmmmmm">#REF!</definedName>
    <definedName name="MN">#REF!</definedName>
    <definedName name="MoC_Margin">#REF!</definedName>
    <definedName name="modb">#REF!</definedName>
    <definedName name="model">#REF!</definedName>
    <definedName name="ModelLife">#REF!</definedName>
    <definedName name="ModelName">#REF!</definedName>
    <definedName name="modt">#REF!</definedName>
    <definedName name="Monetary_Precision">#REF!</definedName>
    <definedName name="Month">#REF!</definedName>
    <definedName name="Month_of_activity">#REF!</definedName>
    <definedName name="Month_of_exploitation">#REF!</definedName>
    <definedName name="monthly">#REF!</definedName>
    <definedName name="Monthly_BS">#REF!</definedName>
    <definedName name="Monthly_PL">#REF!</definedName>
    <definedName name="MonthlyDiff">#REF!</definedName>
    <definedName name="MonthlyRetirementIncome">#REF!</definedName>
    <definedName name="MonthNo">IF(MonthStart="JAN",1,IF(MonthStart="FEB",2,IF(MonthStart="MAR",3,IF(MonthStart="APR",4,IF(MonthStart="MAY",5,IF(MonthStart="JUN",6,IF(MonthStart="JUL",7,IF(FYMonth="AUG",8,IF(MonthStart="SEP",9,IF(MonthStart="OCT",10,IF(MonthStart="NOV",11,12)))))))))))</definedName>
    <definedName name="MonthResult">#REF!</definedName>
    <definedName name="Months">#REF!</definedName>
    <definedName name="MonthStart">"Jan"</definedName>
    <definedName name="MotherExpanded">#REF!</definedName>
    <definedName name="Motiv_Bonus">#REF!</definedName>
    <definedName name="Mozambique">#REF!</definedName>
    <definedName name="MozambiqueExch">#REF!</definedName>
    <definedName name="MozambiqueGDP">#REF!</definedName>
    <definedName name="MSA">#REF!</definedName>
    <definedName name="MSECov">#REF!</definedName>
    <definedName name="MthBud">#REF!</definedName>
    <definedName name="MthCur">#REF!</definedName>
    <definedName name="MthPrior">#REF!</definedName>
    <definedName name="Mtotal">#REF!</definedName>
    <definedName name="n">#REF!</definedName>
    <definedName name="N.01">#REF!</definedName>
    <definedName name="N.02">#REF!</definedName>
    <definedName name="n_a">#REF!</definedName>
    <definedName name="NA">"NA "</definedName>
    <definedName name="Naguib">#REF!</definedName>
    <definedName name="name">#REF!</definedName>
    <definedName name="Names">#N/A</definedName>
    <definedName name="Namibia">#REF!</definedName>
    <definedName name="NamibiaExch">#REF!</definedName>
    <definedName name="NamibiaGDP">#REF!</definedName>
    <definedName name="NavPoint">#REF!</definedName>
    <definedName name="NCFAfterInterest_1">#REF!</definedName>
    <definedName name="NCFAfterInterest_2">#REF!</definedName>
    <definedName name="NCFAfterInterest_3">#REF!</definedName>
    <definedName name="NCFAfterInterest_4">#REF!</definedName>
    <definedName name="NCFAfterInterest_5">#REF!</definedName>
    <definedName name="NCFAfterInterest_6">#REF!</definedName>
    <definedName name="NCFAfterInterest_7">#REF!</definedName>
    <definedName name="NCFAfterInterest_8">#REF!</definedName>
    <definedName name="NCFB4Interest_1">#REF!</definedName>
    <definedName name="NCFB4Interest_2">#REF!</definedName>
    <definedName name="NCFB4Interest_3">#REF!</definedName>
    <definedName name="NCFB4Interest_4">#REF!</definedName>
    <definedName name="NCFB4Interest_5">#REF!</definedName>
    <definedName name="NCFB4Interest_6">#REF!</definedName>
    <definedName name="NCFB4Interest_7">#REF!</definedName>
    <definedName name="NCFB4Interest_8">#REF!</definedName>
    <definedName name="nes">#REF!</definedName>
    <definedName name="Net_profit">#REF!</definedName>
    <definedName name="NetCashF">#REF!</definedName>
    <definedName name="NetCashF2">#REF!</definedName>
    <definedName name="netcashflow">#REF!</definedName>
    <definedName name="Netherlands">#REF!</definedName>
    <definedName name="NetherlandsGDP">#REF!</definedName>
    <definedName name="neu">#N/A</definedName>
    <definedName name="New">#REF!</definedName>
    <definedName name="new_areas">#REF!</definedName>
    <definedName name="new_units">#REF!</definedName>
    <definedName name="New_Zealand">#REF!</definedName>
    <definedName name="New_ZealandExch">#REF!</definedName>
    <definedName name="New_ZealandGDP">#REF!</definedName>
    <definedName name="NewMarginType">#REF!</definedName>
    <definedName name="newrefurb">#REF!</definedName>
    <definedName name="NI">#REF!</definedName>
    <definedName name="Nigeria">#REF!</definedName>
    <definedName name="NigeriaExch">#REF!</definedName>
    <definedName name="NigeriaGDP">#REF!</definedName>
    <definedName name="NM">"NM  "</definedName>
    <definedName name="NNNNNNN">#REF!</definedName>
    <definedName name="NO_OF_PAY">MATCH(0.01,[1]!End_Bal,-1)+1</definedName>
    <definedName name="No_Units">#REF!</definedName>
    <definedName name="noidea" hidden="1">-524804638</definedName>
    <definedName name="Noise">#REF!</definedName>
    <definedName name="None">#REF!</definedName>
    <definedName name="NORMESKAT">#REF!</definedName>
    <definedName name="North_America_LTA">#REF!</definedName>
    <definedName name="Norway">#REF!</definedName>
    <definedName name="NorwayExch">#REF!</definedName>
    <definedName name="NorwayGDP">#REF!</definedName>
    <definedName name="NoShares">#REF!</definedName>
    <definedName name="NotActive">#REF!</definedName>
    <definedName name="Notes_Mapping_Values">#REF!</definedName>
    <definedName name="NotIncluded">#REF!</definedName>
    <definedName name="Nov_08">#REF!</definedName>
    <definedName name="NovSun1">DATEVALUE("11/1/"&amp;TheYear)-WEEKDAY(DATEVALUE("11/1/"&amp;TheYear))+1</definedName>
    <definedName name="NPV">#REF!</definedName>
    <definedName name="NPVLocationDialogBox">"Edit Box 6"</definedName>
    <definedName name="NSA_Apts">#REF!</definedName>
    <definedName name="NSA_Clubs">#REF!</definedName>
    <definedName name="NSA_Creek_villas">#REF!</definedName>
    <definedName name="NSA_High_end_apts">#REF!</definedName>
    <definedName name="NSA_Offices">#REF!</definedName>
    <definedName name="NSA_Retail">#REF!</definedName>
    <definedName name="NSA_street_Apts">#REF!</definedName>
    <definedName name="Ntotal">#REF!</definedName>
    <definedName name="Num_Pmt_Per_Year">#REF!</definedName>
    <definedName name="num_rooms">#REF!</definedName>
    <definedName name="Number_of_Payments">MATCH(0.01,End_Bal,-1)+1</definedName>
    <definedName name="Numbers">#REF!</definedName>
    <definedName name="NumCBN">#REF!</definedName>
    <definedName name="NumProducts">#REF!</definedName>
    <definedName name="NumTechnologies">#REF!</definedName>
    <definedName name="NWOH">#REF!</definedName>
    <definedName name="Nylon_Prod">#REF!</definedName>
    <definedName name="o.h">#REF!</definedName>
    <definedName name="OAL.OM_Close">#REF!</definedName>
    <definedName name="OAL.OM_Currency">#REF!</definedName>
    <definedName name="OAL.OM_High">#REF!</definedName>
    <definedName name="OAL.OM_Historic">#REF!</definedName>
    <definedName name="OAL.OM_Low">#REF!</definedName>
    <definedName name="OAL.OM_Name">#REF!</definedName>
    <definedName name="OAL.OM_Open">#REF!</definedName>
    <definedName name="OAL.OM_Trans.">#REF!</definedName>
    <definedName name="OAL.OM_Value">#REF!</definedName>
    <definedName name="OAL.OM_Volume">#REF!</definedName>
    <definedName name="Objective">#REF!</definedName>
    <definedName name="OCA">#REF!</definedName>
    <definedName name="occupancy">#REF!</definedName>
    <definedName name="OCL">#REF!</definedName>
    <definedName name="Oct_08">#REF!</definedName>
    <definedName name="OctSun1">DATEVALUE("10/1/"&amp;TheYear)-WEEKDAY(DATEVALUE("10/1/"&amp;TheYear))+1</definedName>
    <definedName name="OD">#REF!</definedName>
    <definedName name="offpeak">#REF!</definedName>
    <definedName name="Offpeak_land_by_time">#REF!</definedName>
    <definedName name="Offset_Indicator_EM">#REF!</definedName>
    <definedName name="OGI">#REF!</definedName>
    <definedName name="OGI_USD">#REF!</definedName>
    <definedName name="OH">#REF!</definedName>
    <definedName name="oha">#REF!</definedName>
    <definedName name="ohc">#REF!</definedName>
    <definedName name="OI">#REF!</definedName>
    <definedName name="oik" hidden="1">{#N/A,#N/A,FALSE,"Finanzplan";#N/A,#N/A,FALSE,"Bilanz";#N/A,#N/A,FALSE,"GuV"}</definedName>
    <definedName name="oilc">#REF!</definedName>
    <definedName name="OilPEx1">#REF!</definedName>
    <definedName name="OincMI">#REF!</definedName>
    <definedName name="ojiawf" hidden="1">{#N/A,#N/A,FALSE,"Finanzplan";#N/A,#N/A,FALSE,"Bilanz";#N/A,#N/A,FALSE,"GuV"}</definedName>
    <definedName name="OLA">#REF!</definedName>
    <definedName name="Old">#REF!</definedName>
    <definedName name="Olefin_Prod">#REF!</definedName>
    <definedName name="Oman">#REF!</definedName>
    <definedName name="OmanExch">#REF!</definedName>
    <definedName name="OmanGDP">#REF!</definedName>
    <definedName name="ONE_ROW">IF([0]!Values_Entered,[1]!Header_Row+[0]!Number_of_Payments,[1]!Header_Row)</definedName>
    <definedName name="onnet">#REF!</definedName>
    <definedName name="op">#N/A</definedName>
    <definedName name="OP_DAYS_Mall1">#REF!</definedName>
    <definedName name="OP_DAYS_Mall1B">#REF!</definedName>
    <definedName name="OP_DAYS_Mall2">#REF!</definedName>
    <definedName name="OP_DAYS_Mall3">#REF!</definedName>
    <definedName name="OP_DAYS_Mall3B">#REF!</definedName>
    <definedName name="OP_DAYS_Mall4">#REF!</definedName>
    <definedName name="OP_DAYS_Mall5">#REF!</definedName>
    <definedName name="OP_DAYS_Mall6">#REF!</definedName>
    <definedName name="OP_DAYS_Mall7">#REF!</definedName>
    <definedName name="OP_DAYS_Mall8">#REF!</definedName>
    <definedName name="OP_DAYS_Mall9">#REF!</definedName>
    <definedName name="OPC">#REF!</definedName>
    <definedName name="OpCap_EVA">#REF!</definedName>
    <definedName name="Oper">#REF!</definedName>
    <definedName name="OperAss">#REF!</definedName>
    <definedName name="Operassets">#REF!</definedName>
    <definedName name="Operationcurrency">#REF!</definedName>
    <definedName name="opertion_revenue">#REF!,#REF!,#REF!</definedName>
    <definedName name="Opexp">#REF!</definedName>
    <definedName name="Oplášťovací_linka_Rosend.">#REF!</definedName>
    <definedName name="oprateb">#REF!</definedName>
    <definedName name="Option">#REF!</definedName>
    <definedName name="option_clr">#REF!</definedName>
    <definedName name="OptionChoice">#REF!</definedName>
    <definedName name="OptionIndex">#REF!</definedName>
    <definedName name="Oracle_GL_Codes">#REF!</definedName>
    <definedName name="OrderTable" hidden="1">#REF!</definedName>
    <definedName name="OT">#REF!</definedName>
    <definedName name="Other">#REF!</definedName>
    <definedName name="OtherCost">#REF!</definedName>
    <definedName name="OtherRev">#REF!</definedName>
    <definedName name="othervarcosts">#REF!</definedName>
    <definedName name="Outgoing">#REF!</definedName>
    <definedName name="OutGoingTraffic">#REF!</definedName>
    <definedName name="OutputsheetDialogBox">"Edit Box 7"</definedName>
    <definedName name="Overdraft_1">#REF!</definedName>
    <definedName name="Overdraft_2">#REF!</definedName>
    <definedName name="Overdraft_3">#REF!</definedName>
    <definedName name="Overdraft_4">#REF!</definedName>
    <definedName name="Overdraft_5">#REF!</definedName>
    <definedName name="Overdraft_6">#REF!</definedName>
    <definedName name="Overdraft_7">#REF!</definedName>
    <definedName name="Overdraft_8">#REF!</definedName>
    <definedName name="overdues">#REF!</definedName>
    <definedName name="Ownership">OFFSET(#REF!,1,0)</definedName>
    <definedName name="OZUK">#REF!</definedName>
    <definedName name="P">#REF!</definedName>
    <definedName name="P.01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10">#REF!</definedName>
    <definedName name="P.11">#REF!</definedName>
    <definedName name="P.20">#REF!</definedName>
    <definedName name="P.21">#REF!</definedName>
    <definedName name="P.30">#REF!</definedName>
    <definedName name="P.31">#REF!</definedName>
    <definedName name="P.40">#REF!</definedName>
    <definedName name="P.50">#REF!</definedName>
    <definedName name="P_1">#REF!</definedName>
    <definedName name="P_10">#REF!</definedName>
    <definedName name="P_10A">#REF!</definedName>
    <definedName name="P_11">#REF!</definedName>
    <definedName name="P_12">#REF!</definedName>
    <definedName name="P_13">#REF!</definedName>
    <definedName name="P_14">#REF!</definedName>
    <definedName name="P_15">#REF!</definedName>
    <definedName name="P_16">#REF!</definedName>
    <definedName name="P_17">#REF!</definedName>
    <definedName name="P_18">#REF!</definedName>
    <definedName name="P_19">#REF!</definedName>
    <definedName name="P_2">#REF!</definedName>
    <definedName name="P_20">#REF!</definedName>
    <definedName name="P_21">#REF!</definedName>
    <definedName name="P_21Mech_S">#REF!</definedName>
    <definedName name="P_22">#REF!</definedName>
    <definedName name="P_23">#REF!</definedName>
    <definedName name="P_24">#REF!</definedName>
    <definedName name="P_25">#REF!</definedName>
    <definedName name="P_26">#REF!</definedName>
    <definedName name="P_27">#REF!</definedName>
    <definedName name="P_28">#REF!</definedName>
    <definedName name="P_29">#REF!</definedName>
    <definedName name="P_3">#REF!</definedName>
    <definedName name="P_30">#REF!</definedName>
    <definedName name="P_31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9">#REF!</definedName>
    <definedName name="p_Depr1">#REF!</definedName>
    <definedName name="p_Depr2">#REF!</definedName>
    <definedName name="p_Depr3">#REF!</definedName>
    <definedName name="p_Depr4">#REF!</definedName>
    <definedName name="p_Depr5">#REF!</definedName>
    <definedName name="P_L_PAGE1">#REF!</definedName>
    <definedName name="P_L_PAGE2">#REF!</definedName>
    <definedName name="P_L_PAGE3">#REF!</definedName>
    <definedName name="p9tg">#REF!</definedName>
    <definedName name="Page_01">#REF!</definedName>
    <definedName name="Page_02">#REF!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08">#REF!</definedName>
    <definedName name="Page_08A">#REF!</definedName>
    <definedName name="Page_08B">#REF!</definedName>
    <definedName name="Page_09">#REF!</definedName>
    <definedName name="Page_1">#REF!</definedName>
    <definedName name="Page_10">#REF!</definedName>
    <definedName name="Page_11">#REF!</definedName>
    <definedName name="Page_12">#REF!</definedName>
    <definedName name="Page_13">#REF!</definedName>
    <definedName name="Page_14">#REF!</definedName>
    <definedName name="Page_15">#REF!</definedName>
    <definedName name="Page_16">#REF!</definedName>
    <definedName name="Page_17">#REF!</definedName>
    <definedName name="Page_18">#REF!</definedName>
    <definedName name="Page_2">#REF!</definedName>
    <definedName name="Page_3">#REF!</definedName>
    <definedName name="Page_4">#REF!</definedName>
    <definedName name="Page_5">#REF!</definedName>
    <definedName name="Page_6">#REF!</definedName>
    <definedName name="Page_8A">#REF!</definedName>
    <definedName name="Page_8B">#REF!</definedName>
    <definedName name="Page_9">#REF!</definedName>
    <definedName name="page_number">#REF!</definedName>
    <definedName name="ParaT">#REF!</definedName>
    <definedName name="ParentChild">#REF!</definedName>
    <definedName name="part1">#REF!</definedName>
    <definedName name="part2">#REF!</definedName>
    <definedName name="Paste_Debt1">#REF!</definedName>
    <definedName name="Pay_Num">#REF!</definedName>
    <definedName name="Pay_out_ratio">#REF!</definedName>
    <definedName name="Payment">#REF!</definedName>
    <definedName name="Payment_Date" localSheetId="9">DATE(YEAR([0]!Loan_Start),MONTH([0]!Loan_Start)+Payment_Number,DAY([0]!Loan_Start))</definedName>
    <definedName name="Payment_Date">DATE(YEAR(Loan_Start),MONTH(Loan_Start)+Payment_Number,DAY(Loan_Start))</definedName>
    <definedName name="payments_per_year">#REF!</definedName>
    <definedName name="PAYTYPE">#REF!</definedName>
    <definedName name="PBALSHA">#REF!</definedName>
    <definedName name="PBALSHE">#REF!</definedName>
    <definedName name="PBALSHEYR">#REF!</definedName>
    <definedName name="PBALSHYR">#REF!</definedName>
    <definedName name="pbPrinterFormat">"\\SGB24810\P0083071 on Ne03:"</definedName>
    <definedName name="pbStartPageNumber">1</definedName>
    <definedName name="pbUpdatePageNumbering">TRUE</definedName>
    <definedName name="PCASHFLO">#REF!</definedName>
    <definedName name="PCASHYR">#REF!</definedName>
    <definedName name="PContMI">#REF!</definedName>
    <definedName name="PCOV">#REF!</definedName>
    <definedName name="peak">#REF!</definedName>
    <definedName name="Peak_land_by_time">#REF!</definedName>
    <definedName name="Pensions">#REF!</definedName>
    <definedName name="Perc_Reg_of_LD">#REF!</definedName>
    <definedName name="percase">#REF!</definedName>
    <definedName name="percent_inc">#REF!</definedName>
    <definedName name="Percent_Monthly_Fee_If_SA">#REF!</definedName>
    <definedName name="PercentageAch">#REF!</definedName>
    <definedName name="PercentChangeDialogBox">"Edit Box 5"</definedName>
    <definedName name="PerfCode">#REF!</definedName>
    <definedName name="performspaces">#REF!</definedName>
    <definedName name="Period">#REF!</definedName>
    <definedName name="Period.Choice">"Drop Down 6"</definedName>
    <definedName name="Periodic_cash_flow">#REF!</definedName>
    <definedName name="Perpetual_growth">#REF!</definedName>
    <definedName name="pershare">#REF!</definedName>
    <definedName name="Personalaufwand">#REF!</definedName>
    <definedName name="Peru">#REF!</definedName>
    <definedName name="PeruExch">#REF!</definedName>
    <definedName name="PeruGDP">#REF!</definedName>
    <definedName name="PFICredit">#REF!</definedName>
    <definedName name="pgtitle">#REF!</definedName>
    <definedName name="Phase1">#REF!</definedName>
    <definedName name="Philippines">#REF!</definedName>
    <definedName name="PhillipinesExch">#REF!</definedName>
    <definedName name="PhillipinesGDP">#REF!</definedName>
    <definedName name="Phone">#REF!</definedName>
    <definedName name="physical">#REF!</definedName>
    <definedName name="PINCST">#REF!</definedName>
    <definedName name="PINCSTYR">#REF!</definedName>
    <definedName name="PivotReport">#REF!</definedName>
    <definedName name="PLACap">#REF!</definedName>
    <definedName name="PLADmd">#REF!</definedName>
    <definedName name="plandata">#REF!</definedName>
    <definedName name="PlantOperations">#REF!</definedName>
    <definedName name="PLAPrd">#REF!</definedName>
    <definedName name="PLM">#REF!</definedName>
    <definedName name="Plot_TH">#REF!</definedName>
    <definedName name="Plot_TV">#REF!</definedName>
    <definedName name="PLOT_V">#REF!</definedName>
    <definedName name="plots_TH">#REF!</definedName>
    <definedName name="PM_Item">#REF!</definedName>
    <definedName name="poi">#N/A</definedName>
    <definedName name="Poland">#REF!</definedName>
    <definedName name="PolandExch">#REF!</definedName>
    <definedName name="PolandGDP">#REF!</definedName>
    <definedName name="PolyCap_POL">#REF!</definedName>
    <definedName name="polyconb">#REF!</definedName>
    <definedName name="polycont">#REF!</definedName>
    <definedName name="PolyDmd_Tot">#REF!</definedName>
    <definedName name="Polyester_Prod">#REF!</definedName>
    <definedName name="PolyPrd_Tot">#REF!</definedName>
    <definedName name="porcelaine_household_proj">#REF!</definedName>
    <definedName name="portfi">#REF!</definedName>
    <definedName name="Portugal">#REF!</definedName>
    <definedName name="Portugal_SpainExch">#REF!</definedName>
    <definedName name="PortugalGDP">#REF!</definedName>
    <definedName name="POSTPAID_RATE_PER_MINUTE">#REF!</definedName>
    <definedName name="Postpaid_Subscribers">#REF!</definedName>
    <definedName name="Postpaid_Usage">#REF!</definedName>
    <definedName name="PP_TATREN_141">#REF!</definedName>
    <definedName name="PPEFin">#REF!</definedName>
    <definedName name="PPEYR">#REF!</definedName>
    <definedName name="pppppp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PRATIO">#REF!</definedName>
    <definedName name="PRATIOYR">#REF!</definedName>
    <definedName name="Pre_Operating_Fees">#REF!</definedName>
    <definedName name="PremiumMean">#REF!</definedName>
    <definedName name="PremiumMedian">#REF!</definedName>
    <definedName name="PremiumQ1">#REF!</definedName>
    <definedName name="PremiumQ2">#REF!</definedName>
    <definedName name="Premiums">#REF!</definedName>
    <definedName name="PREPAID_RATE_PER_MINUTE">#REF!</definedName>
    <definedName name="Prepaid_Subscribers">#REF!</definedName>
    <definedName name="Prepaid_Usage">#REF!</definedName>
    <definedName name="Preselection__Business_Customers">#REF!</definedName>
    <definedName name="Preselection__Residential_Customers">#REF!</definedName>
    <definedName name="PRICE">#REF!</definedName>
    <definedName name="pricepc">#REF!</definedName>
    <definedName name="Prices">#REF!</definedName>
    <definedName name="pricing">#REF!</definedName>
    <definedName name="PricingCase">#REF!</definedName>
    <definedName name="Princ">#REF!</definedName>
    <definedName name="Principal">#REF!</definedName>
    <definedName name="Principal_Payments">#REF!</definedName>
    <definedName name="PrincipalLoaned">#REF!</definedName>
    <definedName name="Print_Acetic_Acid_Country">#REF!</definedName>
    <definedName name="Print_Acetic_Anhydride_Country">#REF!</definedName>
    <definedName name="Print_All_Derivatives_Country">#REF!</definedName>
    <definedName name="_xlnm.Print_Area">#REF!</definedName>
    <definedName name="Print_Area_MI">#REF!</definedName>
    <definedName name="Print_Area_Reset" localSheetId="9">OFFSET(Full_Print,0,0,[0]!Last_Row)</definedName>
    <definedName name="Print_Area_Reset">OFFSET(Full_Print,0,0,Last_Row)</definedName>
    <definedName name="Print_Butyl_Acetate_Country">#REF!</definedName>
    <definedName name="Print_Cellulose_Acetate_Country">#REF!</definedName>
    <definedName name="Print_Consolidate">#REF!</definedName>
    <definedName name="Print_Ethyl_Acetate_Country">#REF!</definedName>
    <definedName name="Print_MCA_Country">#REF!</definedName>
    <definedName name="Print_Propyl_Acetate_Country">#REF!</definedName>
    <definedName name="Print_PTA_Country">#REF!</definedName>
    <definedName name="Print_PVOH_Country">#REF!</definedName>
    <definedName name="_xlnm.Print_Titles">#N/A</definedName>
    <definedName name="Print_Titles_MI">#REF!</definedName>
    <definedName name="Print_Vinyl_Acetate_Country">#REF!</definedName>
    <definedName name="PrintAll">#N/A</definedName>
    <definedName name="PrintEoYSubs">#N/A</definedName>
    <definedName name="PrintPrev">#REF!</definedName>
    <definedName name="PrintPreview">#N/A</definedName>
    <definedName name="PrintTIWSubs">#N/A</definedName>
    <definedName name="printvar">#REF!</definedName>
    <definedName name="prob">#REF!</definedName>
    <definedName name="Probability">#REF!</definedName>
    <definedName name="prod_seg">#REF!</definedName>
    <definedName name="ProdForm" hidden="1">#REF!</definedName>
    <definedName name="Product" hidden="1">#REF!</definedName>
    <definedName name="Profit_Mgn">#REF!</definedName>
    <definedName name="PROFITALL">#REF!</definedName>
    <definedName name="ProfitShare">#REF!</definedName>
    <definedName name="ProfitSharePaste">#REF!</definedName>
    <definedName name="ProjCode">#REF!</definedName>
    <definedName name="ProjDay">#REF!</definedName>
    <definedName name="Project">#REF!</definedName>
    <definedName name="Project_Type">#REF!</definedName>
    <definedName name="Project1">#REF!</definedName>
    <definedName name="Project2">#REF!</definedName>
    <definedName name="Projectend">#REF!</definedName>
    <definedName name="ProjectName">{"Project Roma"}</definedName>
    <definedName name="projectod">0</definedName>
    <definedName name="projects">#REF!</definedName>
    <definedName name="ProjectWACC">#REF!</definedName>
    <definedName name="ProjMonth">#REF!</definedName>
    <definedName name="ProjYear">#REF!</definedName>
    <definedName name="ProMI">#REF!</definedName>
    <definedName name="prop_type">#REF!</definedName>
    <definedName name="PropCapexImported">#REF!</definedName>
    <definedName name="Property_Class">#REF!</definedName>
    <definedName name="ProRataTable">#REF!</definedName>
    <definedName name="prosource">#REF!</definedName>
    <definedName name="provision">#REF!</definedName>
    <definedName name="Provisionen_indirekter_Vertrieb">#REF!</definedName>
    <definedName name="prtar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Pru_SmAcq">#REF!</definedName>
    <definedName name="Pru_Today">#REF!</definedName>
    <definedName name="PruKe">#REF!</definedName>
    <definedName name="PTA">#REF!</definedName>
    <definedName name="PTACap_Tot">#REF!</definedName>
    <definedName name="ptacashb">#REF!</definedName>
    <definedName name="ptacasht">#REF!</definedName>
    <definedName name="PTADmd_Tot">#REF!</definedName>
    <definedName name="PTAPrd_PX">#REF!</definedName>
    <definedName name="PTD">#REF!</definedName>
    <definedName name="PTTCap">#REF!</definedName>
    <definedName name="PTTDmd">#REF!</definedName>
    <definedName name="PTTPrd">#REF!</definedName>
    <definedName name="PU">#REF!</definedName>
    <definedName name="PUD">#REF!</definedName>
    <definedName name="PUL">#REF!</definedName>
    <definedName name="PurchasesPerMonth">#REF!</definedName>
    <definedName name="PXCap_Tot">#REF!</definedName>
    <definedName name="PXDmd_Tot">#REF!</definedName>
    <definedName name="PXPrd_Tot">#REF!</definedName>
    <definedName name="q">#REF!</definedName>
    <definedName name="Q.A.Inspectors">#REF!</definedName>
    <definedName name="Q_Percent">#REF!</definedName>
    <definedName name="QQQ">#REF!</definedName>
    <definedName name="qryBranchSegmentSplit">#REF!</definedName>
    <definedName name="qsas">#REF!</definedName>
    <definedName name="qsqs">#REF!</definedName>
    <definedName name="QTE">#REF!</definedName>
    <definedName name="QTY">#REF!</definedName>
    <definedName name="Qty.">#REF!</definedName>
    <definedName name="QU">#REF!</definedName>
    <definedName name="qw">#REF!</definedName>
    <definedName name="qwed">#REF!</definedName>
    <definedName name="qwefewrqfvwer" hidden="1">#REF!</definedName>
    <definedName name="qwerty">#N/A</definedName>
    <definedName name="qwqw">#REF!</definedName>
    <definedName name="R.01">#REF!</definedName>
    <definedName name="R.01a">#REF!</definedName>
    <definedName name="R.01b">#REF!</definedName>
    <definedName name="R.02">#REF!</definedName>
    <definedName name="R.02a">#REF!</definedName>
    <definedName name="R.02b">#REF!</definedName>
    <definedName name="R.05">#REF!</definedName>
    <definedName name="R.06">#REF!</definedName>
    <definedName name="R.07">#REF!</definedName>
    <definedName name="R.08">#REF!</definedName>
    <definedName name="R.10">#REF!</definedName>
    <definedName name="R.11">#REF!</definedName>
    <definedName name="raActivity">#REF!</definedName>
    <definedName name="raBSS">#REF!</definedName>
    <definedName name="raBusinessUnit">#REF!</definedName>
    <definedName name="Rabwa">#REF!</definedName>
    <definedName name="raCVPStage">#REF!</definedName>
    <definedName name="Radiostroj">#REF!</definedName>
    <definedName name="radwa">#REF!</definedName>
    <definedName name="radwagad">#REF!</definedName>
    <definedName name="RAED">#REF!</definedName>
    <definedName name="raGeography">#REF!</definedName>
    <definedName name="raj">#REF!</definedName>
    <definedName name="RAJESH">#REF!</definedName>
    <definedName name="rand">#REF!</definedName>
    <definedName name="RANGE">#REF!</definedName>
    <definedName name="raOptionType">#REF!</definedName>
    <definedName name="raProbability">#REF!</definedName>
    <definedName name="raStatus">#REF!</definedName>
    <definedName name="rate">#REF!</definedName>
    <definedName name="rate_LE">#REF!</definedName>
    <definedName name="rate2">#REF!</definedName>
    <definedName name="RatesCode">#REF!</definedName>
    <definedName name="RatesSpec">#REF!</definedName>
    <definedName name="RatesUnit">#REF!</definedName>
    <definedName name="RATIOACC">#REF!</definedName>
    <definedName name="Ratios">#REF!</definedName>
    <definedName name="RatioVCMax">#REF!</definedName>
    <definedName name="RatioVCMed">#REF!</definedName>
    <definedName name="RatioVCMin">#REF!</definedName>
    <definedName name="RatioVCQ1">#REF!</definedName>
    <definedName name="RatioVCQ3">#REF!</definedName>
    <definedName name="Rawaby">#REF!</definedName>
    <definedName name="RawMtrlCost">#REF!</definedName>
    <definedName name="RCArea" hidden="1">#REF!</definedName>
    <definedName name="rcop">#REF!</definedName>
    <definedName name="rcp">#REF!</definedName>
    <definedName name="RCPView">#REF!</definedName>
    <definedName name="RealDiscRate">#REF!</definedName>
    <definedName name="rebar">#REF!</definedName>
    <definedName name="receivable_DOH">#REF!</definedName>
    <definedName name="Recharge___SIM">#REF!</definedName>
    <definedName name="_xlnm.Recorder">#REF!</definedName>
    <definedName name="Rééval">#REF!</definedName>
    <definedName name="Ref">#REF!</definedName>
    <definedName name="RefExchRate">#REF!</definedName>
    <definedName name="Refin1_result">#REF!</definedName>
    <definedName name="Refin2_result">#REF!</definedName>
    <definedName name="Refin3_result">#REF!</definedName>
    <definedName name="Refinance">#REF!</definedName>
    <definedName name="Reg200_Bus_GPM">#REF!</definedName>
    <definedName name="Reg50_Bus_GPM">#REF!</definedName>
    <definedName name="region">#REF!</definedName>
    <definedName name="RegProfile">#REF!</definedName>
    <definedName name="Reinsurance">#REF!</definedName>
    <definedName name="rentals">#REF!</definedName>
    <definedName name="RentMI">#REF!</definedName>
    <definedName name="RentRate">#REF!</definedName>
    <definedName name="RentYTot">#REF!</definedName>
    <definedName name="ReportCreated">TRUE</definedName>
    <definedName name="Reporting_Period">#REF!</definedName>
    <definedName name="requi">#REF!</definedName>
    <definedName name="RES">#REF!</definedName>
    <definedName name="Reseller">#REF!</definedName>
    <definedName name="reserves">#REF!</definedName>
    <definedName name="resizeRCP">#REF!</definedName>
    <definedName name="Responsible">#REF!</definedName>
    <definedName name="RestPeriod_1">#REF!</definedName>
    <definedName name="RestPeriod_2">#REF!</definedName>
    <definedName name="RestPeriod_3">#REF!</definedName>
    <definedName name="RestPeriod_4">#REF!</definedName>
    <definedName name="RestPeriod_5">#REF!</definedName>
    <definedName name="RestPeriod_6">#REF!</definedName>
    <definedName name="RestPeriod_7">#REF!</definedName>
    <definedName name="RestPeriod_8">#REF!</definedName>
    <definedName name="RetirementAge">#REF!</definedName>
    <definedName name="RevSynMax">#REF!</definedName>
    <definedName name="RevSynMed">#REF!</definedName>
    <definedName name="RevSynMin">#REF!</definedName>
    <definedName name="RevSynQ1">#REF!</definedName>
    <definedName name="RevSynQ3">#REF!</definedName>
    <definedName name="režie_stř.31">#REF!</definedName>
    <definedName name="režie_stř.32">#REF!</definedName>
    <definedName name="režie_stř.33">#REF!</definedName>
    <definedName name="režie_stř.34">#REF!</definedName>
    <definedName name="režie_stř.35">#REF!</definedName>
    <definedName name="režie_stř.35_plast.">#REF!</definedName>
    <definedName name="režie_stř.36">#REF!</definedName>
    <definedName name="RF">#REF!</definedName>
    <definedName name="Rfb">#REF!</definedName>
    <definedName name="rfqwtwerg">#N/A</definedName>
    <definedName name="RHSVARCOL1">#REF!</definedName>
    <definedName name="RI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CAGR">#REF!</definedName>
    <definedName name="rnCo">#REF!</definedName>
    <definedName name="rnCompanies">#REF!</definedName>
    <definedName name="rnData">#REF!</definedName>
    <definedName name="rnDataset">#REF!</definedName>
    <definedName name="rnEBITratio">#REF!</definedName>
    <definedName name="rngAnswer">#REF!</definedName>
    <definedName name="rnIncomeData">#REF!</definedName>
    <definedName name="rnInd">#REF!</definedName>
    <definedName name="rnm3rdpartyinterestcredit">#REF!</definedName>
    <definedName name="rnm3rdpartyinterestdebit">#REF!</definedName>
    <definedName name="rnmAreaMeasure">#REF!</definedName>
    <definedName name="rnmAssetClass">OFFSET(#REF!,1,0,COUNTA(#REF!)-1,1)</definedName>
    <definedName name="rnmassociateJVCredit">#REF!</definedName>
    <definedName name="rnmassociateJVDebit">#REF!</definedName>
    <definedName name="rnmBondsCredit">#REF!</definedName>
    <definedName name="rnmBondsDebit">#REF!</definedName>
    <definedName name="rnmCapexAccounts">#REF!</definedName>
    <definedName name="rnmCapexCREDIT">#REF!</definedName>
    <definedName name="rnmCapexDEBIT">#REF!</definedName>
    <definedName name="rnmCellToLeft">#REF!</definedName>
    <definedName name="rnmCostAccountDescrb">#REF!</definedName>
    <definedName name="rnmCostAccountDescrbCapex">#REF!</definedName>
    <definedName name="rnmCostCategory">#REF!</definedName>
    <definedName name="rnmCostCategoryName">#REF!</definedName>
    <definedName name="rnmCostHeading">#REF!</definedName>
    <definedName name="rnmCostHeadingName1">#REF!</definedName>
    <definedName name="rnmCostHeadingName2">#REF!</definedName>
    <definedName name="rnmCostType">#REF!</definedName>
    <definedName name="rnmCounterParty">OFFSET(#REF!,1,0,COUNTA(#REF!)-1,1)</definedName>
    <definedName name="rnmCountry">OFFSET(#REF!,1,0,COUNTA(#REF!)-1,1)</definedName>
    <definedName name="rnmCountryRegion">OFFSET(#REF!,1,0,COUNTA(#REF!)-1,2)</definedName>
    <definedName name="rnmCurrency">OFFSET(#REF!,1,0,COUNTA(#REF!)-1,1)</definedName>
    <definedName name="rnmCurrentYear">#REF!</definedName>
    <definedName name="rnmDataExport">OFFSET(#REF!,0,0,COUNTA(#REF!),20)</definedName>
    <definedName name="rnmDetailedCost">#REF!</definedName>
    <definedName name="rnmDevelopment">OFFSET(#REF!,1,0,COUNTA(#REF!)-1,1)</definedName>
    <definedName name="rnmDevexCREDIT">#REF!</definedName>
    <definedName name="rnmDevexDEBIT">#REF!</definedName>
    <definedName name="rnmDisposalCREDIT">#REF!</definedName>
    <definedName name="rnmDisposalDEBIT">#REF!</definedName>
    <definedName name="rnmDividendCredit">#REF!</definedName>
    <definedName name="rnmDividendDebit">#REF!</definedName>
    <definedName name="rnmEntities">OFFSET(#REF!,1,0,COUNTA(#REF!)-1,1)</definedName>
    <definedName name="rnmEntryType">#REF!</definedName>
    <definedName name="rnmExportRanges">OFFSET(#REF!,1,0,COUNTA(#REF!)-1,1)</definedName>
    <definedName name="rnmFundingCREDIT">#REF!</definedName>
    <definedName name="rnmFundingDEBIT">#REF!</definedName>
    <definedName name="rnmFxRates">OFFSET(#REF!,1,0,COUNTA(#REF!)-1,19)</definedName>
    <definedName name="rnmHideassociatesJVinvestment">#REF!</definedName>
    <definedName name="rnmHideBonds">#REF!</definedName>
    <definedName name="rnmHideCapex">#REF!</definedName>
    <definedName name="rnmHideCostSales">#REF!</definedName>
    <definedName name="rnmHideDisposal">#REF!</definedName>
    <definedName name="rnmHideDrawdownCash">#REF!</definedName>
    <definedName name="rnmHideInterestIncome">#REF!</definedName>
    <definedName name="rnmHideInvestment">#REF!</definedName>
    <definedName name="rnmHideInvestmentDisposal">#REF!</definedName>
    <definedName name="rnmHideOpexDepn">#REF!</definedName>
    <definedName name="rnmHideOtherIncome">#REF!</definedName>
    <definedName name="rnmHideProvisions">#REF!</definedName>
    <definedName name="rnmHidePUDreclassInvestment">#REF!</definedName>
    <definedName name="rnmHidePUDreclassTrading">#REF!</definedName>
    <definedName name="rnmHideRecurringCoS">#REF!</definedName>
    <definedName name="rnmHideRental">#REF!</definedName>
    <definedName name="rnmHideRepaymentCash">#REF!</definedName>
    <definedName name="rnmHideReserves">#REF!</definedName>
    <definedName name="rnmHideResult">#REF!</definedName>
    <definedName name="rnmHideShareCap">#REF!</definedName>
    <definedName name="rnmHideShareportfolio">#REF!</definedName>
    <definedName name="rnmHideTax">#REF!</definedName>
    <definedName name="rnmIncomeType">#REF!</definedName>
    <definedName name="rnminput3rdpartyinterest">#REF!</definedName>
    <definedName name="rnminput3rdpartyinterestRows">#REF!</definedName>
    <definedName name="rnminputassociatesJVinvestment">#REF!</definedName>
    <definedName name="rnminputassociatesJVinvestmentRows">#REF!</definedName>
    <definedName name="rnminputBonds">#REF!</definedName>
    <definedName name="rnminputBondsRows">#REF!</definedName>
    <definedName name="rnmInputCapex">#REF!</definedName>
    <definedName name="rnmInputCapexRows">#REF!</definedName>
    <definedName name="rnmInputCostSales">#REF!</definedName>
    <definedName name="rnmInputDevex">#REF!</definedName>
    <definedName name="rnmInputDevexRows">#REF!</definedName>
    <definedName name="rnmInputDisposal">#REF!</definedName>
    <definedName name="rnminputDividend">#REF!</definedName>
    <definedName name="rnminputDividendRows">#REF!</definedName>
    <definedName name="rnmInputDrawdownCash">#REF!</definedName>
    <definedName name="rnmInputDrawdownCashRows">#REF!</definedName>
    <definedName name="rnmInputInterestIncome">#REF!</definedName>
    <definedName name="rnmInputInterestIncomeRows">#REF!</definedName>
    <definedName name="rnminputinvestment">#REF!</definedName>
    <definedName name="rnmInputInvestmentDisposal">#REF!</definedName>
    <definedName name="rnmInputInvestmentDisposalRows">#REF!</definedName>
    <definedName name="rnmInputInvestmentRows">#REF!</definedName>
    <definedName name="rnmInputOpex">#REF!</definedName>
    <definedName name="rnmInputOpexRows">#REF!</definedName>
    <definedName name="rnmInputOtherIncome">#REF!</definedName>
    <definedName name="rnmInputOtherIncomeRows">#REF!</definedName>
    <definedName name="rnmInputProvisions">#REF!</definedName>
    <definedName name="rnmInputProvisionsRows">#REF!</definedName>
    <definedName name="rnmInputPUDreclassInvestment">#REF!</definedName>
    <definedName name="rnmInputPUDreclassTrading">#REF!</definedName>
    <definedName name="rnmInputRecurringCoS">#REF!</definedName>
    <definedName name="rnmInputRecurringCoSRows">#REF!</definedName>
    <definedName name="rnmInputRental">#REF!</definedName>
    <definedName name="rnmInputRentalRows">#REF!</definedName>
    <definedName name="rnmInputRepaymentCash">#REF!</definedName>
    <definedName name="rnminputReserves">#REF!</definedName>
    <definedName name="rnminputReservesRows">#REF!</definedName>
    <definedName name="rnmInputResult">#REF!</definedName>
    <definedName name="rnmInputShareCap">#REF!</definedName>
    <definedName name="rnmInputShareCapRows">#REF!</definedName>
    <definedName name="rnminputShareportfolio">#REF!</definedName>
    <definedName name="rnminputShareportfolioRows">#REF!</definedName>
    <definedName name="rnmInputTax">#REF!</definedName>
    <definedName name="rnmInputTaxRows">#REF!</definedName>
    <definedName name="rnmInterestIncomeCredit">#REF!</definedName>
    <definedName name="rnmInterestIncomeDebit">#REF!</definedName>
    <definedName name="rnmInvestmentCredit">#REF!</definedName>
    <definedName name="rnmInvestmentDebit">#REF!</definedName>
    <definedName name="rnmInvestmentDispCredit">#REF!</definedName>
    <definedName name="rnmInvestmentDispDebit">#REF!</definedName>
    <definedName name="rnmLC">#REF!</definedName>
    <definedName name="rnmM">#REF!</definedName>
    <definedName name="rnmOpexCREDIT">#REF!</definedName>
    <definedName name="rnmOpexDEBIT">#REF!</definedName>
    <definedName name="rnmOtherIncomeCREDIT">#REF!</definedName>
    <definedName name="rnmOtherIncomeDEBIT">#REF!</definedName>
    <definedName name="rnmoutput3rdpartyinterest">#REF!</definedName>
    <definedName name="rnmoutput3rdpartyinterestRows">#REF!</definedName>
    <definedName name="rnmoutputassociatesJVinvestment">#REF!</definedName>
    <definedName name="rnmoutputassociatesJVinvestmentRows">#REF!</definedName>
    <definedName name="rnmoutputBonds">#REF!</definedName>
    <definedName name="rnmoutputBondsRows">#REF!</definedName>
    <definedName name="rnmOutputCapex">#REF!</definedName>
    <definedName name="rnmOutputCapexRows">#REF!</definedName>
    <definedName name="rnmOutputCostSales">#REF!</definedName>
    <definedName name="rnmOutputCostSalesRows">#REF!</definedName>
    <definedName name="rnmOutputDevex">#REF!</definedName>
    <definedName name="rnmOutputDevexRows">#REF!</definedName>
    <definedName name="rnmOutputDisposal">#REF!</definedName>
    <definedName name="rnmOutputDisposalRows">#REF!</definedName>
    <definedName name="rnmoutputDividend">#REF!</definedName>
    <definedName name="rnmoutputDividendRows">#REF!</definedName>
    <definedName name="rnmOutputDrawdownCash">#REF!</definedName>
    <definedName name="rnmOutputDrawdownCashRows">#REF!</definedName>
    <definedName name="rnmOutputInterestIncome">#REF!</definedName>
    <definedName name="rnmOutputInterestIncomeRows">#REF!</definedName>
    <definedName name="rnmOutputInvestment">#REF!</definedName>
    <definedName name="rnmOutputInvestmentDisposal">#REF!</definedName>
    <definedName name="rnmOutputInvestmentDisposalRows">#REF!</definedName>
    <definedName name="rnmOutputInvestmentRows">#REF!</definedName>
    <definedName name="rnmOutputOpex">#REF!</definedName>
    <definedName name="rnmOutputOpexRows">#REF!</definedName>
    <definedName name="rnmOutputOtherIncome">#REF!</definedName>
    <definedName name="rnmOutputOtherIncomeRows">#REF!</definedName>
    <definedName name="rnmOutputProvisions">#REF!</definedName>
    <definedName name="rnmOutputProvisionsRows">#REF!</definedName>
    <definedName name="rnmOutputPUDreclassInvestment">#REF!</definedName>
    <definedName name="rnmOutputPUDreclassInvestmentRows">#REF!</definedName>
    <definedName name="rnmOutputPUDreclassTrading">#REF!</definedName>
    <definedName name="rnmOutputRecurring">#REF!</definedName>
    <definedName name="rnmOutputRecurringCoS">#REF!</definedName>
    <definedName name="rnmOutputRecurringCoSRows">#REF!</definedName>
    <definedName name="rnmOutputRecurringRows">#REF!</definedName>
    <definedName name="rnmOutputRepaymentCash">#REF!</definedName>
    <definedName name="rnmOutputRepaymentCashRows">#REF!</definedName>
    <definedName name="rnmoutputReserves">#REF!</definedName>
    <definedName name="rnmoutputReservesRows">#REF!</definedName>
    <definedName name="rnmOutputShareCap">#REF!</definedName>
    <definedName name="rnmOutputShareCapRows">#REF!</definedName>
    <definedName name="rnmoutputShareportfolio">#REF!</definedName>
    <definedName name="rnmoutputShareportfolioRows">#REF!</definedName>
    <definedName name="rnmOutputTax">#REF!</definedName>
    <definedName name="rnmOutputTaxRows">#REF!</definedName>
    <definedName name="rnmPeriods">OFFSET(#REF!,1,0,COUNTA(#REF!)-1,1)</definedName>
    <definedName name="rnmProvisionCREDIT">#REF!</definedName>
    <definedName name="rnmProvisionDEBIT">#REF!</definedName>
    <definedName name="rnMRawData">#REF!</definedName>
    <definedName name="rnmRecurringIncomeCoSCredit">#REF!</definedName>
    <definedName name="rnmRecurringIncomeCoSDebit">#REF!</definedName>
    <definedName name="rnmRentalCREDIT">#REF!</definedName>
    <definedName name="rnmRentalDEBIT">#REF!</definedName>
    <definedName name="rnmReportingPoint">OFFSET(#REF!,1,0,COUNTA(#REF!)-1,1)</definedName>
    <definedName name="rnmreservesCredit">#REF!</definedName>
    <definedName name="rnmreservesDebit">#REF!</definedName>
    <definedName name="rnmScurveChart">OFFSET(#REF!,1,0,COUNTIF(#REF!,"&gt;0"),1)</definedName>
    <definedName name="rnmScurveChartData">OFFSET(#REF!,1,0,COUNTIF(#REF!,"&gt;0"),1)</definedName>
    <definedName name="rnmTaxCREDIT">#REF!</definedName>
    <definedName name="rnmTaxDEBIT">#REF!</definedName>
    <definedName name="rnmTradingCosCREDIT">#REF!</definedName>
    <definedName name="rnmXXXQAR_14">OFFSET(#REF!,1,0,COUNTA(#REF!)-1,1)</definedName>
    <definedName name="rnmXXXQAR_15">OFFSET(#REF!,1,0,COUNTA(#REF!)-1,1)</definedName>
    <definedName name="rnmXXXQAR_16">OFFSET(#REF!,1,0,COUNTA(#REF!)-1,1)</definedName>
    <definedName name="rnmXXXQAR_17">OFFSET(#REF!,1,0,COUNTA(#REF!)-1,1)</definedName>
    <definedName name="rnmXXXQAR_18">OFFSET(#REF!,1,0,COUNTA(#REF!)-1,1)</definedName>
    <definedName name="rnmXXXQAR_19">OFFSET(#REF!,1,0,COUNTA(#REF!)-1,1)</definedName>
    <definedName name="rnmXXXQAR_20">OFFSET(#REF!,1,0,COUNTA(#REF!)-1,1)</definedName>
    <definedName name="rnmXXXQAR_Apr16">OFFSET(#REF!,1,0,COUNTA(#REF!)-1,1)</definedName>
    <definedName name="rnmXXXQAR_Aug16">OFFSET(#REF!,1,0,COUNTA(#REF!)-1,1)</definedName>
    <definedName name="rnmXXXQAR_Dec16">OFFSET(#REF!,1,0,COUNTA(#REF!)-1,1)</definedName>
    <definedName name="rnmXXXQAR_Feb16">OFFSET(#REF!,1,0,COUNTA(#REF!)-1,1)</definedName>
    <definedName name="rnmXXXQAR_Jan16">OFFSET(#REF!,1,0,COUNTA(#REF!)-1,1)</definedName>
    <definedName name="rnmXXXQAR_Jul16">OFFSET(#REF!,1,0,COUNTA(#REF!)-1,1)</definedName>
    <definedName name="rnmXXXQAR_Jun16">OFFSET(#REF!,1,0,COUNTA(#REF!)-1,1)</definedName>
    <definedName name="rnmXXXQAR_Mar16">OFFSET(#REF!,1,0,COUNTA(#REF!)-1,1)</definedName>
    <definedName name="rnmXXXQAR_May16">OFFSET(#REF!,1,0,COUNTA(#REF!)-1,1)</definedName>
    <definedName name="rnmXXXQAR_Nov16">OFFSET(#REF!,1,0,COUNTA(#REF!)-1,1)</definedName>
    <definedName name="rnmXXXQAR_Oct16">OFFSET(#REF!,1,0,COUNTA(#REF!)-1,1)</definedName>
    <definedName name="rnmXXXQAR_Sep16">OFFSET(#REF!,1,0,COUNTA(#REF!)-1,1)</definedName>
    <definedName name="rnReg">#REF!</definedName>
    <definedName name="rnRegions">#REF!</definedName>
    <definedName name="ROACE">#REF!</definedName>
    <definedName name="ROI">#REF!</definedName>
    <definedName name="Rollforward">#REF!</definedName>
    <definedName name="Romania">#REF!</definedName>
    <definedName name="RomaniaExch">#REF!</definedName>
    <definedName name="RomaniaGDP">#REF!</definedName>
    <definedName name="Roof_Water_proofing">#REF!</definedName>
    <definedName name="Rosendahl">#REF!</definedName>
    <definedName name="RoW">#REF!</definedName>
    <definedName name="royalty">#REF!</definedName>
    <definedName name="rrr" hidden="1">{#N/A,#N/A,FALSE,"inctrnd99"}</definedName>
    <definedName name="rt">#N/A</definedName>
    <definedName name="rtaylkaokdslakslakslasaasasas">#REF!</definedName>
    <definedName name="Rtitle">#REF!</definedName>
    <definedName name="Run_All_Combinations">#N/A</definedName>
    <definedName name="Runoff">#REF!</definedName>
    <definedName name="Runoff\">#REF!</definedName>
    <definedName name="RUNOFF1">#REF!</definedName>
    <definedName name="RUNOFF2">#REF!</definedName>
    <definedName name="RUNOFF3">#REF!</definedName>
    <definedName name="Russia">#REF!</definedName>
    <definedName name="RussiaExch">#REF!</definedName>
    <definedName name="RussiaGDP">#REF!</definedName>
    <definedName name="RUT">#REF!</definedName>
    <definedName name="s">#REF!</definedName>
    <definedName name="S.01">#REF!</definedName>
    <definedName name="S.02">#REF!</definedName>
    <definedName name="S.03">#REF!</definedName>
    <definedName name="S.04">#REF!</definedName>
    <definedName name="S.05">#REF!</definedName>
    <definedName name="S.06">#REF!</definedName>
    <definedName name="S.10">#REF!</definedName>
    <definedName name="S.11">#REF!</definedName>
    <definedName name="S.12">#REF!</definedName>
    <definedName name="S.13">#REF!</definedName>
    <definedName name="S_AcctDes">#REF!</definedName>
    <definedName name="S_adjsalespr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ity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name">#REF!</definedName>
    <definedName name="S_numrooms">#REF!</definedName>
    <definedName name="S_oar">#REF!</definedName>
    <definedName name="S_priceper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salemoyr">#REF!</definedName>
    <definedName name="S_saleoccup">#REF!</definedName>
    <definedName name="S_state">#REF!</definedName>
    <definedName name="S_t_xn">#REF!</definedName>
    <definedName name="S_yrbuilt">#REF!</definedName>
    <definedName name="sa" hidden="1">#REF!</definedName>
    <definedName name="sad">#REF!</definedName>
    <definedName name="SAIB3M2014">0.8</definedName>
    <definedName name="SAIB3M2015">0.8%</definedName>
    <definedName name="SAIB3M2016">1.7%</definedName>
    <definedName name="SAIB6M2014">1%</definedName>
    <definedName name="SAIB6M2015">1%</definedName>
    <definedName name="SAIB6M2016">1.8%</definedName>
    <definedName name="Sales">#REF!</definedName>
    <definedName name="Sales_Cash">#REF!</definedName>
    <definedName name="Sales_price_unit">#REF!</definedName>
    <definedName name="Sales_up">#REF!</definedName>
    <definedName name="Sales_volume_units">#REF!</definedName>
    <definedName name="salesgrowth">#REF!</definedName>
    <definedName name="SalesMI">#REF!</definedName>
    <definedName name="SalesPrice">#REF!</definedName>
    <definedName name="SaleYTot">#REF!</definedName>
    <definedName name="Sals_OT_Allows">#REF!</definedName>
    <definedName name="sami" hidden="1">{#N/A,#N/A,FALSE,"Bal.Sht"}</definedName>
    <definedName name="SAPBEXdnldView" hidden="1">"6UMF9IXZLMSNE6GHC21ADEGVM"</definedName>
    <definedName name="SAPBEXrevision" hidden="1">3</definedName>
    <definedName name="SAPBEXsysID" hidden="1">"BWP"</definedName>
    <definedName name="SAPBEXwbID" hidden="1">"DWZSC66EVJ985LF3FI7XSGWTY"</definedName>
    <definedName name="SAR">#REF!</definedName>
    <definedName name="sas">#REF!</definedName>
    <definedName name="sasa" hidden="1">#REF!</definedName>
    <definedName name="Saudi_Arabia">#REF!</definedName>
    <definedName name="Saudi_ArabiaExch">#REF!</definedName>
    <definedName name="Saudi_ArabiaGDP">#REF!</definedName>
    <definedName name="Save">#N/A</definedName>
    <definedName name="SC_SHT_Est_Signed_Contracts_Mall3">#REF!</definedName>
    <definedName name="SC_SHT_Est_Signed_Contracts_Mall4">#REF!</definedName>
    <definedName name="SC_SHT_Est_Signed_Contracts_Mall5">#REF!</definedName>
    <definedName name="SC_SHT_Est_Signed_Contracts_Mall6">#REF!</definedName>
    <definedName name="SC_SHT_Est_Signed_Contracts_Mall7">#REF!</definedName>
    <definedName name="SC_SHT_Est_Signed_Contracts_Mall8">#REF!</definedName>
    <definedName name="SC_SHT_Est_Signed_Contracts_Mall9">#REF!</definedName>
    <definedName name="SC_SHT_Rental_Growth_Rate_Mall1">#REF!</definedName>
    <definedName name="SC_SHT_Rental_Growth_Rate_Mall2">#REF!</definedName>
    <definedName name="SC_SHT_Rental_Growth_Rate_Mall3">#REF!</definedName>
    <definedName name="SC_SHT_Rental_Growth_Rate_Mall4">#REF!</definedName>
    <definedName name="SC_SHT_Rental_Growth_Rate_Mall5">#REF!</definedName>
    <definedName name="SC_SHT_Rental_Growth_Rate_Mall6">#REF!</definedName>
    <definedName name="SC_SHT_Rental_Growth_Rate_Mall7">#REF!</definedName>
    <definedName name="SC_SHT_Rental_Growth_Rate_Mall8">#REF!</definedName>
    <definedName name="SC_SHT_Rental_Growth_Rate_Mall9">#REF!</definedName>
    <definedName name="SC_SHT_Repayment_Old_Debt">#REF!</definedName>
    <definedName name="Scaffolding" hidden="1">{"'Break down'!$A$4"}</definedName>
    <definedName name="Scale">#REF!</definedName>
    <definedName name="ScaleLabels">#REF!</definedName>
    <definedName name="Scales">#REF!</definedName>
    <definedName name="ScaleType">#REF!</definedName>
    <definedName name="ScaleTypes">#REF!</definedName>
    <definedName name="SCap">#REF!</definedName>
    <definedName name="SCap_POL">#REF!</definedName>
    <definedName name="sccope">#REF!</definedName>
    <definedName name="Scen">#REF!</definedName>
    <definedName name="scenario">#REF!</definedName>
    <definedName name="Sched_Pay">#REF!</definedName>
    <definedName name="Scheduled_Extra_Payments">#REF!</definedName>
    <definedName name="Scheduled_Monthly_Payment">#REF!</definedName>
    <definedName name="schooltype">#REF!</definedName>
    <definedName name="scope">#REF!</definedName>
    <definedName name="SCurveListOffset">IF(IsLite,OFFSET(#REF!,0,0,3,1),#REF!)</definedName>
    <definedName name="sddddddddddddddd" hidden="1">#REF!</definedName>
    <definedName name="sdfadsfg">#N/A</definedName>
    <definedName name="sdfg" localSheetId="9">Word</definedName>
    <definedName name="sdfg">Word</definedName>
    <definedName name="sdfs" hidden="1">#REF!</definedName>
    <definedName name="SDmd_Tot">#REF!</definedName>
    <definedName name="sdsd">#REF!</definedName>
    <definedName name="sdsds">#REF!</definedName>
    <definedName name="section">#REF!</definedName>
    <definedName name="SectionaA_E">#REF!,#REF!,#REF!,#REF!</definedName>
    <definedName name="SectionsA_D">#REF!,#REF!,#REF!</definedName>
    <definedName name="SectionsA_K">#REF!,#REF!,#REF!,#REF!,#REF!,#REF!,#REF!,#REF!</definedName>
    <definedName name="seerr" hidden="1">#REF!</definedName>
    <definedName name="segment">#REF!</definedName>
    <definedName name="Segment_1">#REF!</definedName>
    <definedName name="Segment_2">#REF!</definedName>
    <definedName name="Segment_3">#REF!</definedName>
    <definedName name="Segment_4">#REF!</definedName>
    <definedName name="Segment_5">#REF!</definedName>
    <definedName name="Segment_6">#REF!</definedName>
    <definedName name="Segment_7">#REF!</definedName>
    <definedName name="Segment_8">#REF!</definedName>
    <definedName name="sek">#REF!</definedName>
    <definedName name="Select_Report">#N/A</definedName>
    <definedName name="SellMI">#REF!</definedName>
    <definedName name="semibig">#REF!</definedName>
    <definedName name="senabc">#REF!</definedName>
    <definedName name="sencount" hidden="1">1</definedName>
    <definedName name="send">#REF!</definedName>
    <definedName name="SENS">#REF!</definedName>
    <definedName name="Sensitive">#REF!</definedName>
    <definedName name="Sensitivity_CAPEX_central">#REF!</definedName>
    <definedName name="Sensitivity_CAPEX_high">#REF!</definedName>
    <definedName name="Sensitivity_CAPEX_low">#REF!</definedName>
    <definedName name="Sensitivity_EBITDA_central">#REF!</definedName>
    <definedName name="Sensitivity_EBITDA_high">#REF!</definedName>
    <definedName name="Sensitivity_EBITDA_low">#REF!</definedName>
    <definedName name="Sensitivity_revenue_central">#REF!</definedName>
    <definedName name="Sensitivity_revenue_high">#REF!</definedName>
    <definedName name="Sensitivity_revenue_low">#REF!</definedName>
    <definedName name="Sensitivity_sub_central">#REF!</definedName>
    <definedName name="Sensitivity_sub_high">#REF!</definedName>
    <definedName name="Sensitivity_sub_low">#REF!</definedName>
    <definedName name="SENtype">#REF!</definedName>
    <definedName name="Sep_08">#REF!</definedName>
    <definedName name="service">#REF!</definedName>
    <definedName name="Service_TakeUp">#REF!</definedName>
    <definedName name="sfr">#REF!</definedName>
    <definedName name="SFSAF">#REF!</definedName>
    <definedName name="S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hare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ares">#REF!</definedName>
    <definedName name="shares_outstanding">#REF!</definedName>
    <definedName name="sheet" hidden="1">{#N/A,#N/A,FALSE,"Bal.Sht"}</definedName>
    <definedName name="sherif">#REF!</definedName>
    <definedName name="shh">#REF!</definedName>
    <definedName name="SHHHSHHS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HHSHS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hit">#REF!</definedName>
    <definedName name="Shrink">#REF!</definedName>
    <definedName name="S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HSHSH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HSHSHSH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IGOREMK">#REF!</definedName>
    <definedName name="SIGORISVCAL">#REF!</definedName>
    <definedName name="SIGORISVEMK">#REF!</definedName>
    <definedName name="SIGORNOR">#REF!</definedName>
    <definedName name="SIGTAV">#REF!</definedName>
    <definedName name="SIGTAV_USD">#REF!</definedName>
    <definedName name="SILPAP_0.12_ROLE">#REF!</definedName>
    <definedName name="Singapore">#REF!</definedName>
    <definedName name="SingaporeExch">#REF!</definedName>
    <definedName name="SingaporeGDP">#REF!</definedName>
    <definedName name="site">#REF!</definedName>
    <definedName name="siteinfob">#REF!</definedName>
    <definedName name="siteinfot">#REF!</definedName>
    <definedName name="sitelevels">#REF!</definedName>
    <definedName name="Size">#REF!</definedName>
    <definedName name="Slicer_Project">#N/A</definedName>
    <definedName name="Slicer_Project1">#N/A</definedName>
    <definedName name="Slicer_Type">#N/A</definedName>
    <definedName name="Slicer_Type1">#N/A</definedName>
    <definedName name="SLNX" hidden="1">{#N/A,#N/A,FALSE,"Finanzplan";#N/A,#N/A,FALSE,"Bilanz";#N/A,#N/A,FALSE,"GuV"}</definedName>
    <definedName name="Slovak_Republic">#REF!</definedName>
    <definedName name="Slovak_RepublicExch">#REF!</definedName>
    <definedName name="Slovak_RepublicGDP">#REF!</definedName>
    <definedName name="SmallNum">#REF!</definedName>
    <definedName name="SMmd_Tot">#REF!</definedName>
    <definedName name="SO">#REF!</definedName>
    <definedName name="soil">#REF!</definedName>
    <definedName name="soilnature">#REF!</definedName>
    <definedName name="solver_adj" hidden="1">#N/A</definedName>
    <definedName name="solver_lhs1" hidden="1">#N/A</definedName>
    <definedName name="solver_lhs2" hidden="1">#N/A</definedName>
    <definedName name="solver_lhs3" hidden="1">#N/A</definedName>
    <definedName name="solver_lhs4" hidden="1">#N/A</definedName>
    <definedName name="solver_lhs5" hidden="1">#N/A</definedName>
    <definedName name="solver_lhs6" hidden="1">#N/A</definedName>
    <definedName name="solver_lhs7" hidden="1">#N/A</definedName>
    <definedName name="solver_lhs8" hidden="1">#N/A</definedName>
    <definedName name="solver_lhs9" hidden="1">#N/A</definedName>
    <definedName name="solver_lin" hidden="1">0</definedName>
    <definedName name="solver_num" hidden="1">9</definedName>
    <definedName name="solver_opt" hidden="1">#N/A</definedName>
    <definedName name="solver_rel1" hidden="1">3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el7" hidden="1">3</definedName>
    <definedName name="solver_rel8" hidden="1">3</definedName>
    <definedName name="solver_rel9" hidden="1">3</definedName>
    <definedName name="solver_rhs1" hidden="1">0</definedName>
    <definedName name="solver_rhs2" hidden="1">0</definedName>
    <definedName name="solver_rhs3" hidden="1">0</definedName>
    <definedName name="solver_rhs4" hidden="1">0</definedName>
    <definedName name="solver_rhs5" hidden="1">0</definedName>
    <definedName name="solver_rhs6" hidden="1">0</definedName>
    <definedName name="solver_rhs7" hidden="1">0</definedName>
    <definedName name="solver_rhs8" hidden="1">0</definedName>
    <definedName name="solver_rhs9" hidden="1">0</definedName>
    <definedName name="solver_typ" hidden="1">2</definedName>
    <definedName name="solver_val" hidden="1">0</definedName>
    <definedName name="Sonderauswertung">#REF!</definedName>
    <definedName name="Sonstiger_Materialaufwand">#REF!</definedName>
    <definedName name="Sonstiger_Verwaltungsaufwand">#REF!</definedName>
    <definedName name="SOPmaskgroup">#REF!</definedName>
    <definedName name="SOPmaskgroupS">#REF!</definedName>
    <definedName name="SOPmasksize">#REF!</definedName>
    <definedName name="SOPsortrange">#REF!</definedName>
    <definedName name="SOPtstart">#REF!</definedName>
    <definedName name="Sortierreihenfolge_1">#REF!</definedName>
    <definedName name="SOSYAR">#REF!</definedName>
    <definedName name="SOtherCap">#REF!</definedName>
    <definedName name="SOtherDmd">#REF!</definedName>
    <definedName name="SOtherPrd_POL">#REF!</definedName>
    <definedName name="SOtherPrd_Rcy">#REF!</definedName>
    <definedName name="SOtherPrd_Tot">#REF!</definedName>
    <definedName name="South_Africa">#REF!</definedName>
    <definedName name="South_AfricaExch">#REF!</definedName>
    <definedName name="South_AfricaGDP">#REF!</definedName>
    <definedName name="South_Korea">#REF!</definedName>
    <definedName name="south_KoreaExch">#REF!</definedName>
    <definedName name="South_KoreaGDP">#REF!</definedName>
    <definedName name="Spa_Day_Spa">#REF!</definedName>
    <definedName name="Spa_Hotel">#REF!</definedName>
    <definedName name="Spa_Leisure_Cent_Mbrship">#REF!</definedName>
    <definedName name="Spa_Residential">#REF!</definedName>
    <definedName name="Spa_Retail">#REF!</definedName>
    <definedName name="Spa_Revenue_Summary">#REF!</definedName>
    <definedName name="Spa_Room_Utilisation">#REF!</definedName>
    <definedName name="Spa_Spa_Membership">#REF!</definedName>
    <definedName name="Spa_User_Summary">#REF!</definedName>
    <definedName name="Spain">#REF!</definedName>
    <definedName name="SpainGDP">#REF!</definedName>
    <definedName name="SpecialPrice" hidden="1">#REF!</definedName>
    <definedName name="Spinner2">#REF!</definedName>
    <definedName name="SpinnerMaster">#REF!</definedName>
    <definedName name="SpinnerOptimal">#REF!</definedName>
    <definedName name="SpinnerOptimalPaste">#REF!</definedName>
    <definedName name="Splétačka__Cortinovis">#REF!</definedName>
    <definedName name="spottermix">#REF!</definedName>
    <definedName name="SPrd_POL">#REF!</definedName>
    <definedName name="SPrd_Rcy">#REF!</definedName>
    <definedName name="SPrd_Tot">#REF!</definedName>
    <definedName name="SRC">#REF!</definedName>
    <definedName name="srf">#REF!</definedName>
    <definedName name="SS">#REF!</definedName>
    <definedName name="SshowAll">#REF!,#REF!</definedName>
    <definedName name="St_1">#REF!</definedName>
    <definedName name="St_2">#REF!</definedName>
    <definedName name="St_3">#REF!</definedName>
    <definedName name="St_4">#REF!</definedName>
    <definedName name="St_5">#REF!</definedName>
    <definedName name="St_6">#REF!</definedName>
    <definedName name="St_7">#REF!</definedName>
    <definedName name="St_8">#REF!</definedName>
    <definedName name="Stab_NOI">#REF!</definedName>
    <definedName name="Stab_Year">#REF!</definedName>
    <definedName name="Stabilized_Occ">#REF!</definedName>
    <definedName name="Stáčečka_Frisch_S_Z">#REF!</definedName>
    <definedName name="staffing">#REF!</definedName>
    <definedName name="StageCF_StageList">#REF!</definedName>
    <definedName name="Stake">#REF!</definedName>
    <definedName name="Standard">#REF!</definedName>
    <definedName name="Start_date">#REF!</definedName>
    <definedName name="start1">#REF!</definedName>
    <definedName name="start2">#REF!</definedName>
    <definedName name="start3">#REF!</definedName>
    <definedName name="start4">#REF!</definedName>
    <definedName name="start41">#REF!</definedName>
    <definedName name="start5">#REF!</definedName>
    <definedName name="StartCell">#REF!</definedName>
    <definedName name="StartDate">#REF!</definedName>
    <definedName name="StartDate_1">#REF!</definedName>
    <definedName name="StartDate_2">#REF!</definedName>
    <definedName name="StartDate_3">#REF!</definedName>
    <definedName name="StartDate_4">#REF!</definedName>
    <definedName name="StartDate_5">#REF!</definedName>
    <definedName name="StartDate_6">#REF!</definedName>
    <definedName name="StartDate_7">#REF!</definedName>
    <definedName name="StartDate_8">#REF!</definedName>
    <definedName name="StartPosition">#REF!</definedName>
    <definedName name="StartYear">#REF!</definedName>
    <definedName name="stat1">#REF!</definedName>
    <definedName name="stat10">#REF!</definedName>
    <definedName name="stat10a">#REF!</definedName>
    <definedName name="stat11">#REF!</definedName>
    <definedName name="stat11a">#REF!</definedName>
    <definedName name="stat12">#REF!</definedName>
    <definedName name="stat12a">#REF!</definedName>
    <definedName name="stat13">#REF!</definedName>
    <definedName name="stat13a">#REF!</definedName>
    <definedName name="stat14">#REF!</definedName>
    <definedName name="stat14a">#REF!</definedName>
    <definedName name="stat15">#REF!</definedName>
    <definedName name="stat15a">#REF!</definedName>
    <definedName name="stat16">#REF!</definedName>
    <definedName name="stat16a">#REF!</definedName>
    <definedName name="stat17">#REF!</definedName>
    <definedName name="stat17a">#REF!</definedName>
    <definedName name="stat18">#REF!</definedName>
    <definedName name="stat18a">#REF!</definedName>
    <definedName name="stat19">#REF!</definedName>
    <definedName name="stat19a">#REF!</definedName>
    <definedName name="stat1a">#REF!</definedName>
    <definedName name="stat2">#REF!</definedName>
    <definedName name="stat20">#REF!</definedName>
    <definedName name="stat20a">#REF!</definedName>
    <definedName name="stat21">#REF!</definedName>
    <definedName name="stat21a">#REF!</definedName>
    <definedName name="stat22">#REF!</definedName>
    <definedName name="stat22a">#REF!</definedName>
    <definedName name="stat23">#REF!</definedName>
    <definedName name="stat23a">#REF!</definedName>
    <definedName name="stat24">#REF!</definedName>
    <definedName name="stat24a">#REF!</definedName>
    <definedName name="stat25">#REF!</definedName>
    <definedName name="stat25a">#REF!</definedName>
    <definedName name="stat26">#REF!</definedName>
    <definedName name="stat26a">#REF!</definedName>
    <definedName name="stat27">#REF!</definedName>
    <definedName name="stat27a">#REF!</definedName>
    <definedName name="stat28">#REF!</definedName>
    <definedName name="stat28a">#REF!</definedName>
    <definedName name="stat29">#REF!</definedName>
    <definedName name="stat29a">#REF!</definedName>
    <definedName name="stat2a">#REF!</definedName>
    <definedName name="stat3">#REF!</definedName>
    <definedName name="stat30">#REF!</definedName>
    <definedName name="stat30a">#REF!</definedName>
    <definedName name="stat31">#REF!</definedName>
    <definedName name="stat31a">#REF!</definedName>
    <definedName name="stat32">#REF!</definedName>
    <definedName name="stat32a">#REF!</definedName>
    <definedName name="stat33">#REF!</definedName>
    <definedName name="stat33a">#REF!</definedName>
    <definedName name="stat3a">#REF!</definedName>
    <definedName name="stat4">#REF!</definedName>
    <definedName name="stat48">#REF!</definedName>
    <definedName name="stat48a">#REF!</definedName>
    <definedName name="stat49">#REF!</definedName>
    <definedName name="stat49a">#REF!</definedName>
    <definedName name="stat4a">#REF!</definedName>
    <definedName name="stat5">#REF!</definedName>
    <definedName name="stat50">#REF!</definedName>
    <definedName name="stat50a">#REF!</definedName>
    <definedName name="stat51">#REF!</definedName>
    <definedName name="stat51a">#REF!</definedName>
    <definedName name="stat52">#REF!</definedName>
    <definedName name="stat52a">#REF!</definedName>
    <definedName name="stat53">#REF!</definedName>
    <definedName name="stat53a">#REF!</definedName>
    <definedName name="stat54">#REF!</definedName>
    <definedName name="stat54a">#REF!</definedName>
    <definedName name="stat55">#REF!</definedName>
    <definedName name="stat55a">#REF!</definedName>
    <definedName name="stat56">#REF!</definedName>
    <definedName name="stat56a">#REF!</definedName>
    <definedName name="stat57">#REF!</definedName>
    <definedName name="stat57a">#REF!</definedName>
    <definedName name="stat58">#REF!</definedName>
    <definedName name="stat58a">#REF!</definedName>
    <definedName name="stat59">#REF!</definedName>
    <definedName name="stat59a">#REF!</definedName>
    <definedName name="stat5a">#REF!</definedName>
    <definedName name="stat6">#REF!</definedName>
    <definedName name="stat60">#REF!</definedName>
    <definedName name="stat60a">#REF!</definedName>
    <definedName name="stat61">#REF!</definedName>
    <definedName name="stat61a">#REF!</definedName>
    <definedName name="stat62">#REF!</definedName>
    <definedName name="stat62a">#REF!</definedName>
    <definedName name="stat63">#REF!</definedName>
    <definedName name="stat63a">#REF!</definedName>
    <definedName name="stat64">#REF!</definedName>
    <definedName name="stat64a">#REF!</definedName>
    <definedName name="stat65">#REF!</definedName>
    <definedName name="stat65a">#REF!</definedName>
    <definedName name="stat66">#REF!</definedName>
    <definedName name="stat66a">#REF!</definedName>
    <definedName name="stat67">#REF!</definedName>
    <definedName name="stat67a">#REF!</definedName>
    <definedName name="stat68">#REF!</definedName>
    <definedName name="stat68a">#REF!</definedName>
    <definedName name="stat69">#REF!</definedName>
    <definedName name="stat69a">#REF!</definedName>
    <definedName name="stat6a">#REF!</definedName>
    <definedName name="stat7">#REF!</definedName>
    <definedName name="stat70">#REF!</definedName>
    <definedName name="stat70a">#REF!</definedName>
    <definedName name="stat71">#REF!</definedName>
    <definedName name="stat71a">#REF!</definedName>
    <definedName name="stat72">#REF!</definedName>
    <definedName name="stat72a">#REF!</definedName>
    <definedName name="stat73">#REF!</definedName>
    <definedName name="stat73a">#REF!</definedName>
    <definedName name="stat74">#REF!</definedName>
    <definedName name="stat74a">#REF!</definedName>
    <definedName name="stat75">#REF!</definedName>
    <definedName name="stat75a">#REF!</definedName>
    <definedName name="stat76">#REF!</definedName>
    <definedName name="stat76a">#REF!</definedName>
    <definedName name="stat77">#REF!</definedName>
    <definedName name="stat77a">#REF!</definedName>
    <definedName name="stat78">#REF!</definedName>
    <definedName name="stat78a">#REF!</definedName>
    <definedName name="stat79">#REF!</definedName>
    <definedName name="stat79a">#REF!</definedName>
    <definedName name="stat7a">#REF!</definedName>
    <definedName name="stat8">#REF!</definedName>
    <definedName name="stat80">#REF!</definedName>
    <definedName name="stat80a">#REF!</definedName>
    <definedName name="stat81">#REF!</definedName>
    <definedName name="stat81a">#REF!</definedName>
    <definedName name="stat8a">#REF!</definedName>
    <definedName name="stat9">#REF!</definedName>
    <definedName name="stat9a">#REF!</definedName>
    <definedName name="State">#REF!</definedName>
    <definedName name="Statistics">#REF!</definedName>
    <definedName name="statprime">#REF!</definedName>
    <definedName name="statprime2">#REF!</definedName>
    <definedName name="Status">#REF!</definedName>
    <definedName name="STdebt_amort">#REF!</definedName>
    <definedName name="STdebt_int">#REF!</definedName>
    <definedName name="steelbar">#REF!</definedName>
    <definedName name="STOP">IF([0]!Values_Entered,[1]!Header_Row+[0]!Number_of_Payments,[1]!Header_Row)</definedName>
    <definedName name="StoreTest">#REF!</definedName>
    <definedName name="str">#REF!</definedName>
    <definedName name="Strat_Overheads">#REF!</definedName>
    <definedName name="Strategic">#REF!</definedName>
    <definedName name="Stříkolis_Bu_63">#REF!</definedName>
    <definedName name="Structure">#REF!</definedName>
    <definedName name="Subregion">#REF!</definedName>
    <definedName name="sum">#REF!</definedName>
    <definedName name="Summary">#REF!</definedName>
    <definedName name="Summary_1">#REF!</definedName>
    <definedName name="Summary_2">#REF!</definedName>
    <definedName name="Summary_3">#REF!</definedName>
    <definedName name="Summary_4">#REF!</definedName>
    <definedName name="Summary_5">#REF!</definedName>
    <definedName name="Summary_6">#REF!</definedName>
    <definedName name="Summary_7">#REF!</definedName>
    <definedName name="Summary_8">#REF!</definedName>
    <definedName name="Summary0">#REF!</definedName>
    <definedName name="Summary1">#REF!</definedName>
    <definedName name="Summary2_1">#REF!</definedName>
    <definedName name="Summary2_2">#REF!</definedName>
    <definedName name="Summary2_3">#REF!</definedName>
    <definedName name="Summary2_4">#REF!</definedName>
    <definedName name="Summary2_5">#REF!</definedName>
    <definedName name="Summary2_6">#REF!</definedName>
    <definedName name="Summary2_7">#REF!</definedName>
    <definedName name="Summary2_8">#REF!</definedName>
    <definedName name="Summary3_1">#REF!</definedName>
    <definedName name="Summary3_2">#REF!</definedName>
    <definedName name="Summary3_3">#REF!</definedName>
    <definedName name="Summary3_4">#REF!</definedName>
    <definedName name="Summary3_5">#REF!</definedName>
    <definedName name="Summary3_6">#REF!</definedName>
    <definedName name="Summary3_7">#REF!</definedName>
    <definedName name="Summary3_8">#REF!</definedName>
    <definedName name="Summary4_1">#REF!</definedName>
    <definedName name="Summary4_2">#REF!</definedName>
    <definedName name="Summary4_3">#REF!</definedName>
    <definedName name="Summary4_4">#REF!</definedName>
    <definedName name="Summary4_5">#REF!</definedName>
    <definedName name="Summary4_6">#REF!</definedName>
    <definedName name="Summary4_7">#REF!</definedName>
    <definedName name="Summary4_8">#REF!</definedName>
    <definedName name="Summary5_1">#REF!</definedName>
    <definedName name="Summary5_2">#REF!</definedName>
    <definedName name="Summary5_3">#REF!</definedName>
    <definedName name="Summary5_4">#REF!</definedName>
    <definedName name="Summary5_5">#REF!</definedName>
    <definedName name="Summary5_6">#REF!</definedName>
    <definedName name="Summary5_7">#REF!</definedName>
    <definedName name="Summary5_8">#REF!</definedName>
    <definedName name="SummaryTable">#REF!</definedName>
    <definedName name="Summe_Voice">#REF!</definedName>
    <definedName name="SumYieldShow">#REF!,#REF!,#REF!</definedName>
    <definedName name="SupportPerExecutive">#REF!</definedName>
    <definedName name="SupportPerManager">#REF!</definedName>
    <definedName name="SupportPerSalesman">#REF!</definedName>
    <definedName name="SvgsByRetirement">#REF!</definedName>
    <definedName name="SvgsforLife">#REF!</definedName>
    <definedName name="SvgsPerDay">#REF!</definedName>
    <definedName name="SvgsPerMonth">#REF!</definedName>
    <definedName name="SvgsPerYear">#REF!</definedName>
    <definedName name="sw_acc_perc_loc">#REF!</definedName>
    <definedName name="Sweden">#REF!</definedName>
    <definedName name="SwedenExch">#REF!</definedName>
    <definedName name="SwedenGDP">#REF!</definedName>
    <definedName name="switch">#REF!</definedName>
    <definedName name="Switch_Combimux_Cost">#REF!</definedName>
    <definedName name="Switch_Combimux_minutes">#REF!</definedName>
    <definedName name="Switch_data_cost">#REF!</definedName>
    <definedName name="Switch_Data_CPE_cost">#REF!</definedName>
    <definedName name="Switch_data_CPE_Ports">#REF!</definedName>
    <definedName name="Switch_data_ports">#REF!</definedName>
    <definedName name="Switch_Maint">#REF!</definedName>
    <definedName name="Switch_NMC_Cost">#REF!</definedName>
    <definedName name="Switch_voice_no_channels">#REF!</definedName>
    <definedName name="Switch_Voice_p_Ch">#REF!</definedName>
    <definedName name="switch1">#REF!</definedName>
    <definedName name="Switzerland">#REF!</definedName>
    <definedName name="SwitzerlandExch">#REF!</definedName>
    <definedName name="SwitzerlandGDP">#REF!</definedName>
    <definedName name="Syn">#REF!</definedName>
    <definedName name="SynMax">#REF!</definedName>
    <definedName name="SynMed">#REF!</definedName>
    <definedName name="SynMin">#REF!</definedName>
    <definedName name="SynQ1">#REF!</definedName>
    <definedName name="SynQ3">#REF!</definedName>
    <definedName name="T">#REF!</definedName>
    <definedName name="T.01">#REF!</definedName>
    <definedName name="T.02">#REF!</definedName>
    <definedName name="T.03">#REF!</definedName>
    <definedName name="T.04">#REF!</definedName>
    <definedName name="Table">#REF!</definedName>
    <definedName name="Table_Demand_Growth">#REF!</definedName>
    <definedName name="Table_Exec_Summ">#REF!</definedName>
    <definedName name="Table_FB_BuildUp">#REF!</definedName>
    <definedName name="Table_Forecast_Segm_and_Occ">#REF!</definedName>
    <definedName name="Table_Leisure_Center">#REF!</definedName>
    <definedName name="Table_Meeting_BuildUp">#REF!</definedName>
    <definedName name="Table_Occ_and_Rate_Forecast">#REF!</definedName>
    <definedName name="Table_Retail_Sale">#REF!</definedName>
    <definedName name="Table_Spa_BuildUp">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0">#REF!</definedName>
    <definedName name="Taiwan">#REF!</definedName>
    <definedName name="TaiwanExch">#REF!</definedName>
    <definedName name="TaiwanGDP">#REF!</definedName>
    <definedName name="TAL__1_einbeziehen__0_außer_Acht_lassen">#REF!</definedName>
    <definedName name="Tanzania">#REF!</definedName>
    <definedName name="TanzaniaExch">#REF!</definedName>
    <definedName name="TanzaniaGDP">#REF!</definedName>
    <definedName name="tapinput">#REF!</definedName>
    <definedName name="TarCurr">#REF!</definedName>
    <definedName name="targ">#REF!</definedName>
    <definedName name="Target">#REF!</definedName>
    <definedName name="TargetEbus">#REF!</definedName>
    <definedName name="TargetGIS">#REF!</definedName>
    <definedName name="TargetHWSI">#REF!</definedName>
    <definedName name="TargetMAMAS">#REF!</definedName>
    <definedName name="TargetSecurity">#REF!</definedName>
    <definedName name="TargetTeam">#REF!</definedName>
    <definedName name="TargetTGMT">#REF!</definedName>
    <definedName name="tariff">#REF!</definedName>
    <definedName name="TariffUt">#REF!</definedName>
    <definedName name="TarrifCurrency">#REF!</definedName>
    <definedName name="TarrifRealNom">#REF!</definedName>
    <definedName name="tax">#REF!</definedName>
    <definedName name="Tax_rate">#REF!</definedName>
    <definedName name="Taxable">#REF!</definedName>
    <definedName name="Taxation">#REF!</definedName>
    <definedName name="TaxDeprec">#REF!</definedName>
    <definedName name="TB_Oracle">#REF!</definedName>
    <definedName name="TBALSHA">#REF!</definedName>
    <definedName name="TBALSHE">#REF!</definedName>
    <definedName name="TBALSHEYR">#REF!</definedName>
    <definedName name="TBALSHYR">#REF!</definedName>
    <definedName name="tbl_ProdInfo" hidden="1">#REF!</definedName>
    <definedName name="TCASHFLO">#REF!</definedName>
    <definedName name="TCASHYR">#REF!</definedName>
    <definedName name="TCOV">#REF!</definedName>
    <definedName name="teachingareas">#REF!</definedName>
    <definedName name="Telephone">#REF!</definedName>
    <definedName name="temp" hidden="1">{"'Break down'!$A$4"}</definedName>
    <definedName name="TemplatePrintArea">#REF!</definedName>
    <definedName name="tenderss">#REF!</definedName>
    <definedName name="Terminberechnung">IF(#REF!="","",IF(TEXT(#REF!+(#REF!-#REF!),"ttt")="So",#REF!+(#REF!-#REF!)+1,IF(TEXT(#REF!+(#REF!-#REF!),"ttt")="Sa",#REF!+(#REF!-#REF!)+2,#REF!+(#REF!-#REF!))))</definedName>
    <definedName name="terrace_area">#REF!</definedName>
    <definedName name="test">#REF!</definedName>
    <definedName name="TEST0">#REF!</definedName>
    <definedName name="TESTHKEY">#REF!</definedName>
    <definedName name="TESTKEYS">#REF!</definedName>
    <definedName name="TESTVKEY">#REF!</definedName>
    <definedName name="texformbr">#REF!</definedName>
    <definedName name="texformbr1">#REF!</definedName>
    <definedName name="TextRefCopy1">#REF!</definedName>
    <definedName name="TextRefCopy10">#REF!</definedName>
    <definedName name="TextRefCopy11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6">#REF!</definedName>
    <definedName name="TextRefCopy28">#REF!</definedName>
    <definedName name="TextRefCopy29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2">#REF!</definedName>
    <definedName name="TextRefCopy57">#REF!</definedName>
    <definedName name="TextRefCopyRangeCount" hidden="1">1</definedName>
    <definedName name="textToday">#REF!</definedName>
    <definedName name="Thailand">#REF!</definedName>
    <definedName name="ThailandExch">#REF!</definedName>
    <definedName name="ThailandGDP">#REF!</definedName>
    <definedName name="thesisctrl">#REF!</definedName>
    <definedName name="TheYear">#REF!</definedName>
    <definedName name="ti" hidden="1">{#N/A,#N/A,FALSE,"inctrnd99"}</definedName>
    <definedName name="TIA">#REF!</definedName>
    <definedName name="TimeSeries">#N/A</definedName>
    <definedName name="TimeWarn">#REF!</definedName>
    <definedName name="timing">#REF!</definedName>
    <definedName name="TINCST">#REF!</definedName>
    <definedName name="TINCSTYR">#REF!</definedName>
    <definedName name="Tinvst">#REF!</definedName>
    <definedName name="tmp" hidden="1">{"'Break down'!$A$4"}</definedName>
    <definedName name="tofixed">#REF!</definedName>
    <definedName name="tomobile">#REF!</definedName>
    <definedName name="Toolbar">#N/A</definedName>
    <definedName name="Top">#REF!</definedName>
    <definedName name="TopNote">#REF!</definedName>
    <definedName name="Total_Cost">#REF!</definedName>
    <definedName name="Total_Data_Customers">#REF!</definedName>
    <definedName name="Total_fixed">#REF!</definedName>
    <definedName name="Total_Interconnect_Expense">#REF!</definedName>
    <definedName name="Total_Interest">#REF!</definedName>
    <definedName name="Total_Large_Company_Voice_Customers">#REF!</definedName>
    <definedName name="Total_Medium_Company_Voice_Customers">#REF!</definedName>
    <definedName name="Total_Pay">#REF!</definedName>
    <definedName name="Total_Residential_Voice_Customers">#REF!</definedName>
    <definedName name="total_rooms">#REF!</definedName>
    <definedName name="Total_Sales">#REF!</definedName>
    <definedName name="Total_Seg1_MBW">#REF!</definedName>
    <definedName name="Total_Seg2_MBW">#REF!</definedName>
    <definedName name="Total_Seg3_MBW">#REF!</definedName>
    <definedName name="Total_Seg4_MBW">#REF!</definedName>
    <definedName name="Total_Seg5_MBW">#REF!</definedName>
    <definedName name="Total_Seg6_MBW">#REF!</definedName>
    <definedName name="Total_Seg7_MBW">#REF!</definedName>
    <definedName name="Total_Seg8_MBW">#REF!</definedName>
    <definedName name="Total_Small_Company_Voice_Customers">#REF!</definedName>
    <definedName name="Total_variable">#REF!</definedName>
    <definedName name="Total_Voice_Mkt">#REF!</definedName>
    <definedName name="TotalCeiling">#REF!</definedName>
    <definedName name="TotalForecasts">#REF!</definedName>
    <definedName name="TotalInvestmentValue">#REF!</definedName>
    <definedName name="TotalNoNodes">#REF!</definedName>
    <definedName name="tpab">#REF!</definedName>
    <definedName name="tpat">#REF!</definedName>
    <definedName name="Trac">#REF!</definedName>
    <definedName name="TrafficForecastExportArea">#REF!</definedName>
    <definedName name="TrafType">#REF!</definedName>
    <definedName name="TransAss">#REF!</definedName>
    <definedName name="Transcase">#REF!</definedName>
    <definedName name="TRATIO">#REF!</definedName>
    <definedName name="TRATIOYR">#REF!</definedName>
    <definedName name="TRBRange">OFFSET(#REF!,1,0,COUNTA(#REF!),6)</definedName>
    <definedName name="Trinidad">#REF!</definedName>
    <definedName name="TrinidadExch">#REF!</definedName>
    <definedName name="TrinidadGDP">#REF!</definedName>
    <definedName name="trjyfrjyf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TrYear">#REF!</definedName>
    <definedName name="tuedtue">#N/A</definedName>
    <definedName name="Turkey">#REF!</definedName>
    <definedName name="TurkeyExch">#REF!</definedName>
    <definedName name="TurkeyGDP">#REF!</definedName>
    <definedName name="Turkmenistan">#REF!</definedName>
    <definedName name="TurkmenistanExch">#REF!</definedName>
    <definedName name="TurkmenistanGDP">#REF!</definedName>
    <definedName name="TW">#REF!</definedName>
    <definedName name="TW_Data">#REF!</definedName>
    <definedName name="Type">#REF!</definedName>
    <definedName name="typeofsen">#REF!</definedName>
    <definedName name="types">#REF!</definedName>
    <definedName name="U">#REF!</definedName>
    <definedName name="UAE">#REF!</definedName>
    <definedName name="UAEExch">#REF!</definedName>
    <definedName name="UAEGDP">#REF!</definedName>
    <definedName name="UK">#REF!</definedName>
    <definedName name="UKExch">#REF!</definedName>
    <definedName name="UKGDP">#REF!</definedName>
    <definedName name="UKI">#REF!</definedName>
    <definedName name="Ukraine">#REF!</definedName>
    <definedName name="UkraineExch">#REF!</definedName>
    <definedName name="UkraineGDP">#REF!</definedName>
    <definedName name="Unfreeze">#N/A</definedName>
    <definedName name="unit">#REF!</definedName>
    <definedName name="Unit_contrib_margin">#REF!</definedName>
    <definedName name="unite">#REF!</definedName>
    <definedName name="Units">#REF!</definedName>
    <definedName name="UnitsLabel">#REF!</definedName>
    <definedName name="universe">#REF!</definedName>
    <definedName name="univerzál__Al_lis__ved.">#REF!</definedName>
    <definedName name="Update_This">#REF!</definedName>
    <definedName name="updated">#REF!</definedName>
    <definedName name="us">#REF!</definedName>
    <definedName name="USA">#REF!</definedName>
    <definedName name="USAGDP">#REF!</definedName>
    <definedName name="UsageStart">#REF!</definedName>
    <definedName name="UseHist">#REF!</definedName>
    <definedName name="UseInputDiff">#REF!</definedName>
    <definedName name="UseYard">#REF!</definedName>
    <definedName name="USLE">#REF!</definedName>
    <definedName name="Utilz">#REF!</definedName>
    <definedName name="uytuytuyt">#REF!</definedName>
    <definedName name="V">#REF!</definedName>
    <definedName name="Vacation" hidden="1">{#N/A,#N/A,FALSE,"Summary04";#N/A,#N/A,FALSE,"CCP Group";#N/A,#N/A,FALSE,"Jubail Group Rev2";#N/A,#N/A,FALSE,"CML Group"}</definedName>
    <definedName name="Valesco">#REF!</definedName>
    <definedName name="Valeur_globale_après_réévaluations">#REF!</definedName>
    <definedName name="VALID_FORMATS">#REF!</definedName>
    <definedName name="Valorisation_des_Fonds_Propres_avant_recapitalisation">#REF!</definedName>
    <definedName name="Valuation_date">#REF!</definedName>
    <definedName name="Value_Added_Service_as_a___of_Service_Rev.">#REF!</definedName>
    <definedName name="Value_Added_Services">#REF!</definedName>
    <definedName name="value_date">#REF!</definedName>
    <definedName name="ValueAtRetirement">#REF!</definedName>
    <definedName name="Values_Entered">IF(Loan_Amount*Interest_Rate*Loan_Years*Loan_Start&gt;0,1,0)</definedName>
    <definedName name="VarbyMnth">#REF!</definedName>
    <definedName name="VARDESCR">#REF!</definedName>
    <definedName name="Variable_cost_unit">#REF!</definedName>
    <definedName name="Variable_costs_unit">#REF!</definedName>
    <definedName name="Variable_Unit_Cost">#REF!</definedName>
    <definedName name="VariableConvCosts">#REF!</definedName>
    <definedName name="Variance">#REF!</definedName>
    <definedName name="VarianceCycle">#REF!</definedName>
    <definedName name="VAS_Revenue_Per_Minute">#REF!</definedName>
    <definedName name="VCC_at_BoC_Margin">#REF!</definedName>
    <definedName name="VCC_at_Frct_Margin">#REF!</definedName>
    <definedName name="VCC_at_Margin_at_SA">#REF!</definedName>
    <definedName name="VenezeulaExch">#REF!</definedName>
    <definedName name="Venezuela">#REF!</definedName>
    <definedName name="VenezuelaGDP">#REF!</definedName>
    <definedName name="Ventilation">#REF!</definedName>
    <definedName name="VERDIL1">#REF!</definedName>
    <definedName name="VERDIL1_USD">#REF!</definedName>
    <definedName name="VERDIL2">#REF!</definedName>
    <definedName name="VERDIL2_USD">#REF!</definedName>
    <definedName name="VERDIL3">#REF!</definedName>
    <definedName name="VERDIL3_USD">#REF!</definedName>
    <definedName name="VERDIL4">#REF!</definedName>
    <definedName name="VERDIL4_USD">#REF!</definedName>
    <definedName name="VERDIL5">#REF!</definedName>
    <definedName name="VERDIL5_USD">#REF!</definedName>
    <definedName name="VERDIL6">#REF!</definedName>
    <definedName name="VERDIL6_USD">#REF!</definedName>
    <definedName name="VEROR1">#REF!</definedName>
    <definedName name="VEROR1_USD">#REF!</definedName>
    <definedName name="VEROR2">#REF!</definedName>
    <definedName name="VEROR2_USD">#REF!</definedName>
    <definedName name="VEROR3">#REF!</definedName>
    <definedName name="VEROR3_USD">#REF!</definedName>
    <definedName name="VEROR4">#REF!</definedName>
    <definedName name="VEROR4_USD">#REF!</definedName>
    <definedName name="VEROR5">#REF!</definedName>
    <definedName name="VEROR5_USD">#REF!</definedName>
    <definedName name="VEROR6">#REF!</definedName>
    <definedName name="VEROR6_USD">#REF!</definedName>
    <definedName name="Version">#REF!</definedName>
    <definedName name="vH">#REF!</definedName>
    <definedName name="vI">#REF!</definedName>
    <definedName name="Vietnam">#REF!</definedName>
    <definedName name="VietnamExch">#REF!</definedName>
    <definedName name="VietnamGDP">#REF!</definedName>
    <definedName name="visrow_auth">#REF!</definedName>
    <definedName name="visrow_construct">#REF!</definedName>
    <definedName name="visrow_fina">#REF!</definedName>
    <definedName name="visrow_land">#REF!</definedName>
    <definedName name="visrow_landp">#REF!</definedName>
    <definedName name="visrow_leas">#REF!</definedName>
    <definedName name="visrow_misc">#REF!</definedName>
    <definedName name="visrow_misc2">#REF!</definedName>
    <definedName name="visrow_misc3">#REF!</definedName>
    <definedName name="visrow_OInc">#REF!</definedName>
    <definedName name="visrow_pro">#REF!</definedName>
    <definedName name="visrow_rent">#REF!</definedName>
    <definedName name="visrow_sales">#REF!</definedName>
    <definedName name="visrow_sell">#REF!</definedName>
    <definedName name="vJ">#REF!</definedName>
    <definedName name="VLOOKUP">#REF!</definedName>
    <definedName name="Voice">#REF!</definedName>
    <definedName name="Voice_Monthly_Rental_Fee">#REF!</definedName>
    <definedName name="Voice_New_Con_Fee">#REF!</definedName>
    <definedName name="volume">#REF!</definedName>
    <definedName name="vrm.co" hidden="1">{#N/A,#N/A,TRUE,"DCF Summary";#N/A,#N/A,TRUE,"Casema";#N/A,#N/A,TRUE,"UK";#N/A,#N/A,TRUE,"RCF";#N/A,#N/A,TRUE,"Intercable CZ";#N/A,#N/A,TRUE,"Interkabel P";#N/A,#N/A,TRUE,"LBO-Total";#N/A,#N/A,TRUE,"LBO-Casema"}</definedName>
    <definedName name="VV">#REF!</definedName>
    <definedName name="VVXsv">#REF!</definedName>
    <definedName name="VXZVZdvZ">#REF!</definedName>
    <definedName name="W">#REF!</definedName>
    <definedName name="W.10">#REF!</definedName>
    <definedName name="W.20">#REF!</definedName>
    <definedName name="W.30">#REF!</definedName>
    <definedName name="W.40">#REF!</definedName>
    <definedName name="W.50">#REF!</definedName>
    <definedName name="W.60">#REF!</definedName>
    <definedName name="W.61">#REF!</definedName>
    <definedName name="W.70">#REF!</definedName>
    <definedName name="W.71">#REF!</definedName>
    <definedName name="W.72">#REF!</definedName>
    <definedName name="WACC">#REF!</definedName>
    <definedName name="WAGE__COST">#REF!</definedName>
    <definedName name="water">#REF!</definedName>
    <definedName name="waterlevel">#REF!</definedName>
    <definedName name="watertable">#REF!</definedName>
    <definedName name="wc04apr">#REF!-#REF!</definedName>
    <definedName name="wc04aug">#REF!-#REF!</definedName>
    <definedName name="wc04dec">#REF!-#REF!</definedName>
    <definedName name="wc04feb">#REF!-#REF!</definedName>
    <definedName name="wc04jan">#REF!-#REF!</definedName>
    <definedName name="wc04jul">#REF!-#REF!</definedName>
    <definedName name="wc04jun">#REF!-#REF!</definedName>
    <definedName name="wc04mar">#REF!-#REF!</definedName>
    <definedName name="wc04may">#REF!-#REF!</definedName>
    <definedName name="wc04nov">#REF!-#REF!</definedName>
    <definedName name="wc04oct">#REF!-#REF!</definedName>
    <definedName name="wc04sep">#REF!-#REF!</definedName>
    <definedName name="wc05apr">#REF!-#REF!</definedName>
    <definedName name="wc05aug">#REF!-#REF!</definedName>
    <definedName name="wc05dec">#REF!-#REF!</definedName>
    <definedName name="wc05feb">#REF!-#REF!</definedName>
    <definedName name="wc05jan">#REF!-#REF!</definedName>
    <definedName name="wc05jul">#REF!-#REF!</definedName>
    <definedName name="wc05jun">#REF!-#REF!</definedName>
    <definedName name="wc05mar">#REF!-#REF!</definedName>
    <definedName name="wc05may">#REF!-#REF!</definedName>
    <definedName name="wc05nov">#REF!-#REF!</definedName>
    <definedName name="wc05oct">#REF!-#REF!</definedName>
    <definedName name="wc05sep">#REF!-#REF!</definedName>
    <definedName name="wcplan05">#REF!-#REF!</definedName>
    <definedName name="wcplan05apr">#REF!-#REF!</definedName>
    <definedName name="wcplan05aug">#REF!-#REF!</definedName>
    <definedName name="wcplan05dec">#REF!-#REF!</definedName>
    <definedName name="wcplan05feb">#REF!-#REF!</definedName>
    <definedName name="wcplan05jan">#REF!-#REF!</definedName>
    <definedName name="wcplan05jul">#REF!-#REF!</definedName>
    <definedName name="wcplan05jun">#REF!-#REF!</definedName>
    <definedName name="wcplan05mar">#REF!-#REF!</definedName>
    <definedName name="wcplan05may">#REF!-#REF!</definedName>
    <definedName name="wcplan05nov">#REF!-#REF!</definedName>
    <definedName name="wcplan05oct">#REF!-#REF!</definedName>
    <definedName name="wcplan05sep">#REF!-#REF!</definedName>
    <definedName name="Web">#REF!</definedName>
    <definedName name="WeekStart">DATE(FYYear,1, -4) - WEEKDAY(DATE(FYYear, 1, 2)) +(WEEKNUM(DateSelected)) * 7</definedName>
    <definedName name="wen">#N/A</definedName>
    <definedName name="werveqrvcerfqver" hidden="1">#REF!</definedName>
    <definedName name="west_ctr_num">#REF!</definedName>
    <definedName name="wevcfewvc" hidden="1">#REF!</definedName>
    <definedName name="WinCal0">#REF!</definedName>
    <definedName name="WinCalendar_Calendar_1">#REF!</definedName>
    <definedName name="WinCalendar_Calendar_4">#REF!</definedName>
    <definedName name="WIP_Total_Open_Bal">#REF!</definedName>
    <definedName name="Wool_Prod">#REF!</definedName>
    <definedName name="workdegree">#REF!</definedName>
    <definedName name="WORKINGSALL">#REF!</definedName>
    <definedName name="world">#REF!+#REF!+#REF!</definedName>
    <definedName name="wr" hidden="1">{#N/A,#N/A,FALSE,"Summary";#N/A,#N/A,FALSE,"CF";#N/A,#N/A,FALSE,"P&amp;L";#N/A,#N/A,FALSE,"BS";#N/A,#N/A,FALSE,"Returns";#N/A,#N/A,FALSE,"Assumptions";#N/A,#N/A,FALSE,"Analysis"}</definedName>
    <definedName name="wr.1" hidden="1">{#N/A,#N/A,FALSE,"Summary";#N/A,#N/A,FALSE,"CF";#N/A,#N/A,FALSE,"P&amp;L";#N/A,#N/A,FALSE,"BS";#N/A,#N/A,FALSE,"Returns";#N/A,#N/A,FALSE,"Assumptions";#N/A,#N/A,FALSE,"Analysis"}</definedName>
    <definedName name="wr.2" hidden="1">{"vi1",#N/A,FALSE,"Financial Statements";"vi2",#N/A,FALSE,"Financial Statements";#N/A,#N/A,FALSE,"DCF"}</definedName>
    <definedName name="wr.999" hidden="1">{#N/A,#N/A,FALSE,"Summary";#N/A,#N/A,FALSE,"CF";#N/A,#N/A,FALSE,"P&amp;L";"summary",#N/A,FALSE,"Returns";#N/A,#N/A,FALSE,"BS";"summary",#N/A,FALSE,"Analysis";#N/A,#N/A,FALSE,"Assumptions"}</definedName>
    <definedName name="wr.dcf.o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a" hidden="1">{#N/A,#N/A,FALSE,"Finanzplan";#N/A,#N/A,FALSE,"Bilanz";#N/A,#N/A,FALSE,"GuV"}</definedName>
    <definedName name="wrn.Acc._.Balance." hidden="1">{#N/A,#N/A,FALSE,"Bal.Sht"}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{#N/A,#N/A,FALSE,"Pro-forma claim";#N/A,#N/A,FALSE,"Summary sheet";#N/A,#N/A,FALSE,"SITE INSTRUCTIONS";#N/A,#N/A,FALSE,"DAY WORKS CIVILS";#N/A,#N/A,FALSE,"DAY WORKS STEEL"}</definedName>
    <definedName name="wrn.Assumptions." hidden="1">{#N/A,#N/A,TRUE,"I.ASS";#N/A,#N/A,TRUE,"O.PNL";#N/A,#N/A,TRUE,"O.BS";#N/A,#N/A,TRUE,"O.CF";#N/A,#N/A,TRUE,"O.RE"}</definedName>
    <definedName name="wrn.balance._.sheert2." hidden="1">{#N/A,#N/A,FALSE,"Bal.Sht"}</definedName>
    <definedName name="wrn.Balance._.Sheet." hidden="1">{#N/A,#N/A,FALSE,"Bal.Sht"}</definedName>
    <definedName name="wrn.Budget._.2004._.AprilDec." hidden="1">{#N/A,#N/A,FALSE,"Summary04";#N/A,#N/A,FALSE,"CCP Group";#N/A,#N/A,FALSE,"Jubail Group Rev2";#N/A,#N/A,FALSE,"CML Group"}</definedName>
    <definedName name="wrn.Chandana." hidden="1">{#N/A,#N/A,FALSE,"VCR"}</definedName>
    <definedName name="wrn.co1" hidden="1">{#N/A,#N/A,TRUE,"DCF Summary";#N/A,#N/A,TRUE,"Casema";#N/A,#N/A,TRUE,"UK";#N/A,#N/A,TRUE,"RCF";#N/A,#N/A,TRUE,"Intercable CZ";#N/A,#N/A,TRUE,"Interkabel P";#N/A,#N/A,TRUE,"LBO-Total";#N/A,#N/A,TRUE,"LBO-Casema"}</definedName>
    <definedName name="wrn.com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1" hidden="1">{#N/A,#N/A,FALSE,"DCF Summary";#N/A,#N/A,FALSE,"Casema";#N/A,#N/A,FALSE,"Casema NoTel";#N/A,#N/A,FALSE,"UK";#N/A,#N/A,FALSE,"RCF";#N/A,#N/A,FALSE,"Intercable CZ";#N/A,#N/A,FALSE,"Interkabel P"}</definedName>
    <definedName name="wrn.dcfort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INCOME._.STATEMENT." hidden="1">{#N/A,#N/A,FALSE,"inctrnd99"}</definedName>
    <definedName name="wrn.Iran._.Corn." hidden="1">{#N/A,#N/A,TRUE,"Assumptions";#N/A,#N/A,TRUE,"Corn Stock Valu.";#N/A,#N/A,TRUE,"Corn Stock";#N/A,#N/A,TRUE," Corn-Profit Calc Mnthly";#N/A,#N/A,TRUE,"Corn Ratios Mnthly";#N/A,#N/A,TRUE,"Corn Cash Risk";#N/A,#N/A,TRUE,"Assumptions";#N/A,#N/A,TRUE,"Corn Profit Calc Yrly";#N/A,#N/A,TRUE,"Corn Ratios Yrly"}</definedName>
    <definedName name="wrn.Monatsabschluß." hidden="1">{#N/A,#N/A,FALSE,"Finanzplan";#N/A,#N/A,FALSE,"Bilanz";#N/A,#N/A,FALSE,"GuV"}</definedName>
    <definedName name="wrn.prbuy" hidden="1">{#N/A,"DR",FALSE,"increm pf";#N/A,"MAMSI",FALSE,"increm pf";#N/A,"MAXI",FALSE,"increm pf";#N/A,"PCAM",FALSE,"increm pf";#N/A,"PHSV",FALSE,"increm pf";#N/A,"SIE",FALSE,"increm pf"}</definedName>
    <definedName name="wrn.Print." hidden="1">{"vi1",#N/A,FALSE,"Financial Statements";"vi2",#N/A,FALSE,"Financial Statements";#N/A,#N/A,FALSE,"DCF"}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_.the._.transactions._.sheets." hidden="1">{#N/A,#N/A,FALSE,"Eastern";#N/A,#N/A,FALSE,"Western"}</definedName>
    <definedName name="wrn.prtn" hidden="1">{"vi1",#N/A,FALSE,"Financial Statements";"vi2",#N/A,FALSE,"Financial Statements";#N/A,#N/A,FALSE,"DCF"}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s" hidden="1">{#N/A,#N/A,FALSE,"Summary";#N/A,#N/A,FALSE,"CF";#N/A,#N/A,FALSE,"P&amp;L";"summary",#N/A,FALSE,"Returns";#N/A,#N/A,FALSE,"BS";"summary",#N/A,FALSE,"Analysis";#N/A,#N/A,FALSE,"Assumptions"}</definedName>
    <definedName name="wrn.SB_PRES." hidden="1">{#N/A,#N/A,TRUE,"Sheet16"}</definedName>
    <definedName name="wrn.sbr" hidden="1">{#N/A,#N/A,TRUE,"Sheet16"}</definedName>
    <definedName name="wrn.Sensitivity." hidden="1">{#N/A,#N/A,FALSE,"Sensitivity"}</definedName>
    <definedName name="wrn.summary." hidden="1">{#N/A,#N/A,FALSE,"Summary";#N/A,#N/A,FALSE,"CF";#N/A,#N/A,FALSE,"P&amp;L";"summary",#N/A,FALSE,"Returns";#N/A,#N/A,FALSE,"BS";"summary",#N/A,FALSE,"Analysis";#N/A,#N/A,FALSE,"Assumptions"}</definedName>
    <definedName name="wrn.Sun._.Flower._.Iran." hidden="1">{#N/A,#N/A,TRUE,"Assumptions";#N/A,#N/A,TRUE,"Sun Flower Stock ";#N/A,#N/A,TRUE,"Sun Flower Stock Valu.";#N/A,#N/A,TRUE,"Sun Flower-Profit Calc Mnthly";#N/A,#N/A,TRUE,"Sun Flower Ratios Mnthly";#N/A,#N/A,TRUE,"Sun Flower Cash Risk";#N/A,#N/A,TRUE,"Sun Flower Profit Calc Yrly";#N/A,#N/A,TRUE,"Sun FlowerRatios Yrly"}</definedName>
    <definedName name="wrnf.l.." hidden="1">{#N/A,#N/A,FALSE,"Summary";#N/A,#N/A,FALSE,"CF";#N/A,#N/A,FALSE,"P&amp;L";#N/A,#N/A,FALSE,"BS";#N/A,#N/A,FALSE,"Returns";#N/A,#N/A,FALSE,"Assumptions";#N/A,#N/A,FALSE,"Analysis"}</definedName>
    <definedName name="wrvtvett" hidden="1">{#N/A,#N/A,FALSE,"Summary04";#N/A,#N/A,FALSE,"CCP Group";#N/A,#N/A,FALSE,"Jubail Group Rev2";#N/A,#N/A,FALSE,"CML Group"}</definedName>
    <definedName name="wup">#REF!</definedName>
    <definedName name="wupyr">#REF!</definedName>
    <definedName name="wvftvwed" hidden="1">{#N/A,#N/A,FALSE,"Summary04";#N/A,#N/A,FALSE,"CCP Group";#N/A,#N/A,FALSE,"Jubail Group Rev2";#N/A,#N/A,FALSE,"CML Group"}</definedName>
    <definedName name="www" hidden="1">{#N/A,#N/A,FALSE,"inctrnd99"}</definedName>
    <definedName name="X">#REF!</definedName>
    <definedName name="xls." hidden="1">{"'Break down'!$A$4"}</definedName>
    <definedName name="XMargin">#REF!</definedName>
    <definedName name="xrate">#REF!</definedName>
    <definedName name="xRng_0259fd338f6246cc958e51c06b07a417">#REF!</definedName>
    <definedName name="xRng_05a5fc714fde4f59989a614344300e60">#REF!</definedName>
    <definedName name="xRng_08e5981cddc94e6092ff357246cdcc94">#REF!</definedName>
    <definedName name="xRng_09adf7159a1a40ff9e184b634950be48">#REF!</definedName>
    <definedName name="xRng_0b9331d17e134743b16dc69e6e642c7f">#REF!</definedName>
    <definedName name="xRng_110b4bc54d5745529c2ea00224d4e811">#REF!</definedName>
    <definedName name="xRng_18861af820f74708bbb13aef9b0fd30a">#REF!</definedName>
    <definedName name="xRng_19cdef5562af45f6b39960d2da3e7ae7">#REF!</definedName>
    <definedName name="xRng_1c0db655f82f4f0ea037deb00cfe40c7">#REF!</definedName>
    <definedName name="xRng_2174dba296604091a26234ed83ff6673">#REF!</definedName>
    <definedName name="xRng_25757b51dc584ec199589057b8cb60cc">#REF!</definedName>
    <definedName name="xRng_264e29f7e8cf4901950b11244ab6f70f">#REF!</definedName>
    <definedName name="xRng_2cc6acb9329a49ceb002aab8dbb7621d">#REF!</definedName>
    <definedName name="xRng_2e76eff010134745a01dca4bab11a815">#REF!</definedName>
    <definedName name="xRng_2ed74cf9d7614f5b8cc3c56698d0573e">#REF!</definedName>
    <definedName name="xRng_2fb8dbd179ba433f833c24e1ee664d7e">#REF!</definedName>
    <definedName name="xRng_3949bc88f0f9447ebc0af9a376fbb1b5">#REF!</definedName>
    <definedName name="xRng_3fb6d06d92884f6e84dbd1addabb75af">#REF!</definedName>
    <definedName name="xRng_422452f405154ff3b9605b4bfb94eb88">#REF!</definedName>
    <definedName name="xRng_4af659c6c4cf4fc5addece0ea894c1fc">#REF!</definedName>
    <definedName name="xRng_4ec28396b0794611b4edcb26b0032f68">#REF!</definedName>
    <definedName name="xRng_507c88931b3b4d3fa45048643e1f3d5f">#REF!</definedName>
    <definedName name="xRng_5276b9fbe4264c8eb1df31c2d9c69216">#REF!</definedName>
    <definedName name="xRng_550c04cac8a646d586435e4eda426b62">#REF!</definedName>
    <definedName name="xRng_57fbd6d2982340d3afbbe58879140135">#REF!</definedName>
    <definedName name="xRng_5c5b6314a0044995ad402826a95ccbb4">#REF!</definedName>
    <definedName name="xRng_5c887b9a6b2140769268641a40e05aa9">#REF!</definedName>
    <definedName name="xRng_5ef0da5c4a1f43ac89a547ff546f74e1">#REF!</definedName>
    <definedName name="xRng_5efa4ef15a134869968ab6860add037d">#REF!</definedName>
    <definedName name="xRng_60523dba40db4bdb9af8c575dc22b400">#REF!</definedName>
    <definedName name="xRng_679f8415626e4e3bbd248387fbfc47e3">#REF!</definedName>
    <definedName name="xRng_69e0f138d9df401db7b359f26baa3c9f">#REF!</definedName>
    <definedName name="xRng_6d1417d5838d468f8a2240ac78d1619c">#REF!</definedName>
    <definedName name="xRng_7d99b3f6947244b1950a1f6ede36a3cd">#REF!</definedName>
    <definedName name="xRng_7e913afa0b2043678eaf7c63344db016">#REF!</definedName>
    <definedName name="xRng_821fc4b8270a40a080325e10585b9156">#REF!</definedName>
    <definedName name="xRng_8257b0f166ed444f9c86ee2cd5803a2d">#REF!</definedName>
    <definedName name="xRng_835a02d0c51f4cd4b58c351ecaeeb57b">#REF!</definedName>
    <definedName name="xRng_8ab5bedf9b334eafb466f9d54a6f6323">#REF!</definedName>
    <definedName name="xRng_8afa7606eb0a496ca64f63e42c0dc073">#REF!</definedName>
    <definedName name="xRng_8d4d3cf61730459da7fce4a8d31585d8">#REF!</definedName>
    <definedName name="xRng_8d8d69044b4a4c64822eaa08cc847bcf">#REF!</definedName>
    <definedName name="xRng_90fe86c2a60a4b4b9918ce4ecde82132">#REF!</definedName>
    <definedName name="xRng_969d23b4fe374d539140e2b1615c58e7">#REF!</definedName>
    <definedName name="xRng_97dd672957b14214af360bf13b50d1bd">#REF!</definedName>
    <definedName name="xRng_9b6aafdb37ee4991bfc50be786b3f830">#REF!</definedName>
    <definedName name="xRng_9efb06ad93f64a958dc0d9a5cd7896a1">#REF!</definedName>
    <definedName name="xRng_9f4c0283387c46beb31f2f6e6c7a481e">#REF!</definedName>
    <definedName name="xRng_a47e01dc8daa4f8798718730c1cfce3c">#REF!</definedName>
    <definedName name="xRng_a678233405194c238a4e7acf78046cfc">#REF!</definedName>
    <definedName name="xRng_a6acabfe5edf462598d39c94b0157b0e">#REF!</definedName>
    <definedName name="xRng_acc97643ff8a41969f61ca52a39a9d63">#REF!</definedName>
    <definedName name="xRng_b53298f656234eb4b0ea1cace52185a7">#REF!</definedName>
    <definedName name="xRng_b7ed43bf11fb4e5f8031bb2353bc8f17">#REF!</definedName>
    <definedName name="xRng_c1042c275c2b4f1096438b39474ab153">#REF!</definedName>
    <definedName name="xRng_cf1bae5330ee4d40b8d5939e7bce3fbb">#REF!</definedName>
    <definedName name="xRng_d55cdb6951b149c388bf2844034118d3">#REF!</definedName>
    <definedName name="xRng_d8392439f9b34c368ff0de09fc3abb20">#REF!</definedName>
    <definedName name="xRng_dad7c8fd226548da8936e1dbe070236f">#REF!</definedName>
    <definedName name="xRng_e7ff72b2169b4116bdace5dff38c8a1f">#REF!</definedName>
    <definedName name="xRng_ea07485bb9e94535ad0c153686ef5b63">#REF!</definedName>
    <definedName name="xRng_f3b4b249de5a49d5b776c9c2d9b4a92c">#REF!</definedName>
    <definedName name="xRng_f55611b0806f45b693652ea5e39103c1">#REF!</definedName>
    <definedName name="xRng_fdbc01e103b548999e980dd3cd811832">#REF!</definedName>
    <definedName name="XX">#REF!</definedName>
    <definedName name="XXX">#REF!</definedName>
    <definedName name="XXXX">#REF!</definedName>
    <definedName name="xz">#REF!</definedName>
    <definedName name="y">#REF!</definedName>
    <definedName name="Year">#REF!</definedName>
    <definedName name="Year_Blt.">#REF!</definedName>
    <definedName name="Year2">#REF!</definedName>
    <definedName name="yearend">#REF!</definedName>
    <definedName name="yearLE">#REF!</definedName>
    <definedName name="Yearly_Pymt">#REF!</definedName>
    <definedName name="YearMonthAlgorithm_1">#REF!</definedName>
    <definedName name="YearMonthAlgorithm_2">#REF!</definedName>
    <definedName name="YearMonthAlgorithm_3">#REF!</definedName>
    <definedName name="YearMonthAlgorithm_4">#REF!</definedName>
    <definedName name="YearMonthAlgorithm_5">#REF!</definedName>
    <definedName name="YearMonthAlgorithm_6">#REF!</definedName>
    <definedName name="YearMonthAlgorithm_7">#REF!</definedName>
    <definedName name="YearMonthAlgorithm_8">#REF!</definedName>
    <definedName name="Years">#REF!</definedName>
    <definedName name="YearStart">2016</definedName>
    <definedName name="YEMEK">#REF!</definedName>
    <definedName name="Yes">#REF!</definedName>
    <definedName name="YieldShow">#REF!</definedName>
    <definedName name="yo" hidden="1">{#N/A,#N/A,FALSE,"Sensitivity"}</definedName>
    <definedName name="YOL">#REF!</definedName>
    <definedName name="yr_built">#REF!</definedName>
    <definedName name="yr_ren">#REF!</definedName>
    <definedName name="Yr1Margin">#REF!</definedName>
    <definedName name="yrs_rem">#REF!</definedName>
    <definedName name="Yseries" localSheetId="9">OFFSET(Xseries,0,1)</definedName>
    <definedName name="Yseries">OFFSET(Xseries,0,1)</definedName>
    <definedName name="ytd_local_IS">#REF!</definedName>
    <definedName name="ytd_us_IS">#REF!</definedName>
    <definedName name="YTDBud">#REF!</definedName>
    <definedName name="YTDCur">#REF!</definedName>
    <definedName name="YTDNI2005">#REF!</definedName>
    <definedName name="YTDni2006">#REF!</definedName>
    <definedName name="YTDniI2005">#REF!</definedName>
    <definedName name="YTDPrior">#REF!</definedName>
    <definedName name="yy">#N/A</definedName>
    <definedName name="yyy" hidden="1">{#N/A,#N/A,FALSE,"Bal.Sht"}</definedName>
    <definedName name="z">#REF!</definedName>
    <definedName name="zaghlol">#REF!</definedName>
    <definedName name="Zambia">#REF!</definedName>
    <definedName name="ZambiaExch">#REF!</definedName>
    <definedName name="ZambiaGDP">#REF!</definedName>
    <definedName name="zdiscount">#REF!</definedName>
    <definedName name="ZETABON__174">#REF!</definedName>
    <definedName name="ZETABON__180">#REF!</definedName>
    <definedName name="ZETABON_š._106">#REF!</definedName>
    <definedName name="Zimbabwe">#REF!</definedName>
    <definedName name="ZimbabweExch">#REF!</definedName>
    <definedName name="ZimbabweGDP">#REF!</definedName>
    <definedName name="zip">#REF!</definedName>
    <definedName name="zone2">#REF!</definedName>
    <definedName name="zvb.">#REF!</definedName>
    <definedName name="ZXC">#REF!</definedName>
    <definedName name="zyear">#REF!</definedName>
    <definedName name="ZZ">#REF!</definedName>
    <definedName name="ZZChart1_Date">OFFSET(#REF!,0,0,1,#REF!)</definedName>
    <definedName name="ZZChart1_DEquity">OFFSET(#REF!,0,0,1,#REF!)</definedName>
    <definedName name="ZZChart1_L1">OFFSET(#REF!,0,0,1,#REF!)</definedName>
    <definedName name="ZZChart1_L2">OFFSET(#REF!,0,0,1,#REF!)</definedName>
    <definedName name="ZZChart1_L3">OFFSET(#REF!,0,0,1,#REF!)</definedName>
    <definedName name="ZZChart1_L4">OFFSET(#REF!,0,0,1,#REF!)</definedName>
    <definedName name="ZZChart1_LOEquity">OFFSET(#REF!,0,0,1,#REF!)</definedName>
    <definedName name="ZZChart2_CNCF">OFFSET(#REF!,0,0,1,#REF!)</definedName>
    <definedName name="ZZChart2_NCF">OFFSET(#REF!,0,0,1,#REF!)</definedName>
    <definedName name="ZZChart2_OD">OFFSET(#REF!,0,0,1,#REF!)</definedName>
    <definedName name="ZZChart3_CNCF">OFFSET(#REF!,0,0,#REF!,1)</definedName>
    <definedName name="ZZChart3_Date">OFFSET(#REF!,0,0,#REF!,1)</definedName>
    <definedName name="ZZChart3_NCF">OFFSET(#REF!,0,0,#REF!,1)</definedName>
    <definedName name="ZZChart3a_1">OFFSET(#REF!,0,0,#REF!,1)</definedName>
    <definedName name="ZZChart3a_2">OFFSET(#REF!,0,0,#REF!,1)</definedName>
    <definedName name="ZZChart3a_3">OFFSET(#REF!,0,0,#REF!,1)</definedName>
    <definedName name="ZZChart3a_4">OFFSET(#REF!,0,0,#REF!,1)</definedName>
    <definedName name="ZZChart3a_5">OFFSET(#REF!,0,0,#REF!,1)</definedName>
    <definedName name="ZZChart3a_6">OFFSET(#REF!,0,0,#REF!,1)</definedName>
    <definedName name="ZZChart3a_7">OFFSET(#REF!,0,0,#REF!,1)</definedName>
    <definedName name="ZZChart3a_8">OFFSET(#REF!,0,0,#REF!,1)</definedName>
    <definedName name="ZZChart4_DECF">OFFSET(#REF!,0,0,1,#REF!)</definedName>
    <definedName name="ZZChart4_LOCF">OFFSET(#REF!,0,0,1,#REF!)</definedName>
    <definedName name="ZZZZZZZZZZZZZZ" hidden="1">#REF!</definedName>
    <definedName name="ءء">#REF!</definedName>
    <definedName name="ا7">#REF!</definedName>
    <definedName name="ابيض.سفاجا2سم">#REF!</definedName>
    <definedName name="إجمالى.سعر.الخامات">#REF!</definedName>
    <definedName name="إجمالى.سعر.خامات">#REF!</definedName>
    <definedName name="اجمالى.مصنعيات">#REF!</definedName>
    <definedName name="اجمالى.معدات">#REF!</definedName>
    <definedName name="إجمالى.مقاولى.باطن">#REF!</definedName>
    <definedName name="احمر.غردقة2سم">#REF!</definedName>
    <definedName name="اختبارات.تربة">#REF!</definedName>
    <definedName name="اختباركثافة">#REF!</definedName>
    <definedName name="اخضر.تينوس2سم">#REF!</definedName>
    <definedName name="أخضر.هندى2سم">#REF!</definedName>
    <definedName name="أديبوند">#REF!</definedName>
    <definedName name="أرضيات.مرتفعة">#REF!</definedName>
    <definedName name="إستانلس.ستيل">#REF!</definedName>
    <definedName name="اسقف.شرائح">#REF!</definedName>
    <definedName name="أسقف.مضادة.للبكتريا">#REF!</definedName>
    <definedName name="أسمنت.أبيض">#REF!</definedName>
    <definedName name="أسمنت.عادى">#REF!</definedName>
    <definedName name="اسمنت.عادي">#REF!</definedName>
    <definedName name="اضافات.بياض">#REF!</definedName>
    <definedName name="إضافات.منع.تسرب.مياه">#REF!</definedName>
    <definedName name="إنترلوك">#REF!</definedName>
    <definedName name="انسو.فليم4مم">#REF!</definedName>
    <definedName name="إيجازول.سيكا">#REF!</definedName>
    <definedName name="ب19">#REF!</definedName>
    <definedName name="باك.فلر">#REF!</definedName>
    <definedName name="باكر.رود20مم">#REF!</definedName>
    <definedName name="بامب">#REF!</definedName>
    <definedName name="بب">#REF!</definedName>
    <definedName name="بردورة.عجالي">#REF!</definedName>
    <definedName name="بردورة.متوسطة.حمراء">#REF!</definedName>
    <definedName name="بردورة50\30\8">#REF!</definedName>
    <definedName name="برلاتو2سم">#REF!</definedName>
    <definedName name="بسكويت">#REF!</definedName>
    <definedName name="بكر.رود">#REF!</definedName>
    <definedName name="بلاط.أسطح">#REF!</definedName>
    <definedName name="بلاط.موزايكو20\20">#REF!</definedName>
    <definedName name="بور40\40">#REF!</definedName>
    <definedName name="بورتورو2سم">#REF!</definedName>
    <definedName name="بورسلين.لامع">#REF!</definedName>
    <definedName name="بورسلين.مط">#REF!</definedName>
    <definedName name="بورسلين.واجهات">#REF!</definedName>
    <definedName name="بولسترين.ازرق">#REF!</definedName>
    <definedName name="بولى.ايثيلين300">#REF!</definedName>
    <definedName name="بولىايثيلين250">#REF!</definedName>
    <definedName name="بولىإيثيلين300">#REF!</definedName>
    <definedName name="بيتومين.بارد">#REF!</definedName>
    <definedName name="بيتومين.ساخن">#REF!</definedName>
    <definedName name="بيرلايت">#REF!</definedName>
    <definedName name="تشوين.مبانى.م2">#REF!</definedName>
    <definedName name="تشوين.مبانى.م3">#REF!</definedName>
    <definedName name="تورش.سيل4مم">#REF!</definedName>
    <definedName name="تورشسيل4مم">#REF!</definedName>
    <definedName name="ث2842">#REF!</definedName>
    <definedName name="ثث">#REF!</definedName>
    <definedName name="ج.أحمر.أسوان2سم">#REF!</definedName>
    <definedName name="ج.أحمر.أسوان4سم">#REF!</definedName>
    <definedName name="جاك.همر">#REF!</definedName>
    <definedName name="جبس">#REF!</definedName>
    <definedName name="جج">#REF!</definedName>
    <definedName name="جر.اسود.اسوان2سم">#REF!</definedName>
    <definedName name="جرانيت.ابيض.سفاجا2سم">#REF!</definedName>
    <definedName name="جرانيت.ابيض.سفاجا4سم">#REF!</definedName>
    <definedName name="جلالة2سم">#REF!</definedName>
    <definedName name="جلالة4سم">#REF!</definedName>
    <definedName name="ح.خ.م.أ">#REF!</definedName>
    <definedName name="ح.خ.م.أ15">#REF!</definedName>
    <definedName name="ح.خ.م.أسقف">#REF!</definedName>
    <definedName name="ح.خ.م.أعمدة">#REF!</definedName>
    <definedName name="ح.خ.م.ح">#REF!</definedName>
    <definedName name="ح.خ.م.سلالم">#REF!</definedName>
    <definedName name="حجر.هاشمى">#REF!</definedName>
    <definedName name="حديد.تسليح">#REF!</definedName>
    <definedName name="خ.بازلتية.300">#REF!</definedName>
    <definedName name="خ.ع.150.مقاوم">#REF!</definedName>
    <definedName name="خ.ع.180">#REF!</definedName>
    <definedName name="خ.ع.250.مقاوم">#REF!</definedName>
    <definedName name="خ.ع180">#REF!</definedName>
    <definedName name="خ.ع180كجم\سم2">#REF!</definedName>
    <definedName name="خ.ع250">#REF!</definedName>
    <definedName name="خ.ع300كجم\سم2">#REF!</definedName>
    <definedName name="خ.عادية.300">#REF!</definedName>
    <definedName name="خ.م.مقاوم">#REF!</definedName>
    <definedName name="خ.م150">#REF!</definedName>
    <definedName name="خ.م275">#REF!</definedName>
    <definedName name="خ.م300">#REF!</definedName>
    <definedName name="خ.م350">#REF!</definedName>
    <definedName name="خرسانة.180">#REF!</definedName>
    <definedName name="خرسانة.300">#REF!</definedName>
    <definedName name="خرسانة.بازلتية300">#REF!</definedName>
    <definedName name="خشب.موسكى">#REF!</definedName>
    <definedName name="دد">#REF!</definedName>
    <definedName name="دكاكة">#REF!</definedName>
    <definedName name="دهان.إيبوكسى">#REF!</definedName>
    <definedName name="رمل.بياض">#REF!</definedName>
    <definedName name="رمل.خرسانة">#REF!</definedName>
    <definedName name="رمل.ردم">#REF!</definedName>
    <definedName name="زلط.ردم">#REF!</definedName>
    <definedName name="زلط.مخصوص">#REF!</definedName>
    <definedName name="زوايا.نهاية.بياض">#REF!</definedName>
    <definedName name="سث">#REF!</definedName>
    <definedName name="سربجنتى2سم">#REF!</definedName>
    <definedName name="سس">#REF!</definedName>
    <definedName name="سسس" hidden="1">#REF!</definedName>
    <definedName name="سعر">#REF!</definedName>
    <definedName name="سعر2">#REF!</definedName>
    <definedName name="سقالات">#REF!</definedName>
    <definedName name="سلك.رباط">#REF!</definedName>
    <definedName name="سلك.شبك">#REF!</definedName>
    <definedName name="سلك10سم">#REF!</definedName>
    <definedName name="سلك20سم">#REF!</definedName>
    <definedName name="سن2">#REF!</definedName>
    <definedName name="سنة">#REF!</definedName>
    <definedName name="سنة2">#REF!</definedName>
    <definedName name="سيراميك.جايل">#REF!</definedName>
    <definedName name="سيراميك.كليوباترا20\30">#REF!</definedName>
    <definedName name="سيراميك.واجهات">#REF!</definedName>
    <definedName name="سيراميك\20\20">#REF!</definedName>
    <definedName name="سيراميك20\20">#REF!</definedName>
    <definedName name="سيراميك30\30">#REF!</definedName>
    <definedName name="سيراميك40">#REF!</definedName>
    <definedName name="سيراميك40\40">#REF!</definedName>
    <definedName name="سيس" hidden="1">#REF!</definedName>
    <definedName name="سيكا.برايمر3">#REF!</definedName>
    <definedName name="سيكا.فلكس1ايه">#REF!</definedName>
    <definedName name="سيكا.فلور261">#REF!</definedName>
    <definedName name="سيكابرايمر94">#REF!</definedName>
    <definedName name="سيكاجارد">#REF!</definedName>
    <definedName name="سيكاديور">#REF!</definedName>
    <definedName name="سيكافلور261">#REF!</definedName>
    <definedName name="سيكافلور94">#REF!</definedName>
    <definedName name="ش40">#REF!</definedName>
    <definedName name="شطف40\40">#REF!</definedName>
    <definedName name="شلاييب">#REF!</definedName>
    <definedName name="ص.خ.ع.10">#REF!</definedName>
    <definedName name="ص.خ.ع.15">#REF!</definedName>
    <definedName name="ص.خ.ع.أ.ش">#REF!</definedName>
    <definedName name="ص.خ.م.أ">#REF!</definedName>
    <definedName name="ص.خ.م.أسقف">#REF!</definedName>
    <definedName name="ص.خ.م.أعمدة">#REF!</definedName>
    <definedName name="ص.خ.م.ح">#REF!</definedName>
    <definedName name="ص.خ.م.سلالم">#REF!</definedName>
    <definedName name="صفحة_23">#REF!</definedName>
    <definedName name="صلايب">#REF!</definedName>
    <definedName name="صوف.صخرى">#REF!</definedName>
    <definedName name="ضبب" hidden="1">#REF!</definedName>
    <definedName name="ضض">#REF!</definedName>
    <definedName name="طبقةعازلة4مم">#REF!</definedName>
    <definedName name="طط">#REF!</definedName>
    <definedName name="طفلى.مثقب25\12\6">#REF!</definedName>
    <definedName name="طفلى.مصمت25\12\6">#REF!</definedName>
    <definedName name="طوب.أسمنتى.مصمت">#REF!</definedName>
    <definedName name="طوب.زجاجى">#REF!</definedName>
    <definedName name="طوب.زجاجى.ابيض">#REF!</definedName>
    <definedName name="طوب.زجاجي10">#REF!</definedName>
    <definedName name="طوب.مفرغ20\25\40">#REF!</definedName>
    <definedName name="طوب.مفرغ20\40\12">#REF!</definedName>
    <definedName name="ظظ">#REF!</definedName>
    <definedName name="ظل">#REF!</definedName>
    <definedName name="ظهر.حية.ستانلس">#REF!</definedName>
    <definedName name="ظهر.حية.ستانلستيل">#REF!</definedName>
    <definedName name="ع.خ.خ.م.أعمدة">#REF!</definedName>
    <definedName name="ع.خ.خ.م.سلالم">#REF!</definedName>
    <definedName name="ع.خشبية">#REF!</definedName>
    <definedName name="ع2">#REF!</definedName>
    <definedName name="عدة.أعمدة">#REF!</definedName>
    <definedName name="عدة.خشبية">#REF!</definedName>
    <definedName name="عمالة">#REF!</definedName>
    <definedName name="ف2">#REF!</definedName>
    <definedName name="فف">#REF!</definedName>
    <definedName name="فلتو.حسنة">#REF!</definedName>
    <definedName name="فلتو.حسنة.قائمة">#REF!</definedName>
    <definedName name="فوم">#REF!</definedName>
    <definedName name="فوم.ابيض">#REF!</definedName>
    <definedName name="فينيل.أنتىستاتيك">#REF!</definedName>
    <definedName name="فينيل.مستورد2مم">#REF!</definedName>
    <definedName name="قطع.بلاستيك">#REF!</definedName>
    <definedName name="كانة20\4">#REF!</definedName>
    <definedName name="كسر.طوب">#REF!</definedName>
    <definedName name="كلبسات">#REF!</definedName>
    <definedName name="كور">#REF!</definedName>
    <definedName name="كونتر.22مم">#REF!</definedName>
    <definedName name="كونتر22مم">#REF!</definedName>
    <definedName name="كونتر3مم">#REF!</definedName>
    <definedName name="ل44">#REF!</definedName>
    <definedName name="لف">#REF!</definedName>
    <definedName name="لودر">#REF!</definedName>
    <definedName name="م.بياض.تخشين">#REF!</definedName>
    <definedName name="م.ت.فوم">#REF!</definedName>
    <definedName name="م.ع.1.1">#REF!</definedName>
    <definedName name="م.ع.2.3">#REF!</definedName>
    <definedName name="م.ع.و.ب.س">#REF!</definedName>
    <definedName name="م.ل.أ.2">#REF!</definedName>
    <definedName name="م.مبانى.حرارى.واجهات">#REF!</definedName>
    <definedName name="م.مبانى.م2">#REF!</definedName>
    <definedName name="م.مبانى.م3">#REF!</definedName>
    <definedName name="مادة.سقية">#REF!</definedName>
    <definedName name="مادة.منع.النفاذية">#REF!</definedName>
    <definedName name="ماكينة.غلق">#REF!</definedName>
    <definedName name="مبض">#REF!</definedName>
    <definedName name="مسامير.بورمة">#REF!</definedName>
    <definedName name="مسمار.بورمة">#REF!</definedName>
    <definedName name="مصربريك.40\20\25">#REF!</definedName>
    <definedName name="مصلد">#REF!</definedName>
    <definedName name="مقصات">#REF!</definedName>
    <definedName name="مم">#REF!</definedName>
    <definedName name="منع.نفاذية.المياة">#REF!</definedName>
    <definedName name="مولات">#REF!</definedName>
    <definedName name="مونة.ذاتية">#REF!</definedName>
    <definedName name="مونة.ذاتية.التسوية">#REF!</definedName>
    <definedName name="مياة.معالجة">#REF!</definedName>
    <definedName name="مياه">#REF!</definedName>
    <definedName name="ن.خ.ع.أ.ش">#REF!</definedName>
    <definedName name="ن.خ.م.أ">#REF!</definedName>
    <definedName name="ن.خ.م.أسقف">#REF!</definedName>
    <definedName name="ن.خ.م.أعمدة">#REF!</definedName>
    <definedName name="ن.خ.م.ح">#REF!</definedName>
    <definedName name="ن.خ.م.سلالم">#REF!</definedName>
    <definedName name="هراس">#REF!</definedName>
    <definedName name="هزاز.خ">#REF!</definedName>
    <definedName name="هزاز.خرسانة">#REF!</definedName>
    <definedName name="هواية.ألومنيوم">#REF!</definedName>
    <definedName name="وزرة.فينيل.مستورد">#REF!</definedName>
    <definedName name="ؤؤ">#REF!</definedName>
    <definedName name="ووتر.ستوب">#REF!</definedName>
    <definedName name="ؤيبيبيبي">#REF!</definedName>
    <definedName name="ىىنىىى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12" i="13" l="1"/>
  <c r="M312" i="13"/>
  <c r="L312" i="13"/>
  <c r="K312" i="13"/>
  <c r="J312" i="13"/>
  <c r="O311" i="13"/>
  <c r="M311" i="13"/>
  <c r="L311" i="13"/>
  <c r="K311" i="13"/>
  <c r="Q311" i="13" s="1"/>
  <c r="J311" i="13"/>
  <c r="O310" i="13"/>
  <c r="M310" i="13"/>
  <c r="L310" i="13"/>
  <c r="K310" i="13"/>
  <c r="J310" i="13"/>
  <c r="O309" i="13"/>
  <c r="M309" i="13"/>
  <c r="L309" i="13"/>
  <c r="K309" i="13"/>
  <c r="Q309" i="13" s="1"/>
  <c r="J309" i="13"/>
  <c r="O308" i="13"/>
  <c r="M308" i="13"/>
  <c r="L308" i="13"/>
  <c r="K308" i="13"/>
  <c r="Q308" i="13" s="1"/>
  <c r="J308" i="13"/>
  <c r="O307" i="13"/>
  <c r="M307" i="13"/>
  <c r="L307" i="13"/>
  <c r="K307" i="13"/>
  <c r="J307" i="13"/>
  <c r="O306" i="13"/>
  <c r="M306" i="13"/>
  <c r="L306" i="13"/>
  <c r="K306" i="13"/>
  <c r="Q306" i="13" s="1"/>
  <c r="J306" i="13"/>
  <c r="O305" i="13"/>
  <c r="M305" i="13"/>
  <c r="L305" i="13"/>
  <c r="K305" i="13"/>
  <c r="Q305" i="13" s="1"/>
  <c r="J305" i="13"/>
  <c r="O304" i="13"/>
  <c r="M304" i="13"/>
  <c r="L304" i="13"/>
  <c r="K304" i="13"/>
  <c r="Q304" i="13" s="1"/>
  <c r="J304" i="13"/>
  <c r="O303" i="13"/>
  <c r="M303" i="13"/>
  <c r="L303" i="13"/>
  <c r="K303" i="13"/>
  <c r="J303" i="13"/>
  <c r="O302" i="13"/>
  <c r="M302" i="13"/>
  <c r="L302" i="13"/>
  <c r="K302" i="13"/>
  <c r="J302" i="13"/>
  <c r="O301" i="13"/>
  <c r="M301" i="13"/>
  <c r="L301" i="13"/>
  <c r="K301" i="13"/>
  <c r="J301" i="13"/>
  <c r="O300" i="13"/>
  <c r="M300" i="13"/>
  <c r="L300" i="13"/>
  <c r="K300" i="13"/>
  <c r="J300" i="13"/>
  <c r="O299" i="13"/>
  <c r="M299" i="13"/>
  <c r="L299" i="13"/>
  <c r="K299" i="13"/>
  <c r="Q299" i="13" s="1"/>
  <c r="R299" i="13" s="1"/>
  <c r="J299" i="13"/>
  <c r="O298" i="13"/>
  <c r="M298" i="13"/>
  <c r="L298" i="13"/>
  <c r="K298" i="13"/>
  <c r="P298" i="13" s="1"/>
  <c r="J298" i="13"/>
  <c r="O297" i="13"/>
  <c r="M297" i="13"/>
  <c r="L297" i="13"/>
  <c r="K297" i="13"/>
  <c r="Q297" i="13" s="1"/>
  <c r="J297" i="13"/>
  <c r="O296" i="13"/>
  <c r="M296" i="13"/>
  <c r="L296" i="13"/>
  <c r="K296" i="13"/>
  <c r="Q296" i="13" s="1"/>
  <c r="J296" i="13"/>
  <c r="O295" i="13"/>
  <c r="M295" i="13"/>
  <c r="L295" i="13"/>
  <c r="K295" i="13"/>
  <c r="Q295" i="13" s="1"/>
  <c r="J295" i="13"/>
  <c r="O294" i="13"/>
  <c r="M294" i="13"/>
  <c r="L294" i="13"/>
  <c r="K294" i="13"/>
  <c r="J294" i="13"/>
  <c r="O293" i="13"/>
  <c r="M293" i="13"/>
  <c r="L293" i="13"/>
  <c r="K293" i="13"/>
  <c r="J293" i="13"/>
  <c r="O292" i="13"/>
  <c r="M292" i="13"/>
  <c r="L292" i="13"/>
  <c r="K292" i="13"/>
  <c r="J292" i="13"/>
  <c r="O291" i="13"/>
  <c r="M291" i="13"/>
  <c r="L291" i="13"/>
  <c r="K291" i="13"/>
  <c r="Q291" i="13" s="1"/>
  <c r="J291" i="13"/>
  <c r="O290" i="13"/>
  <c r="M290" i="13"/>
  <c r="L290" i="13"/>
  <c r="K290" i="13"/>
  <c r="Q290" i="13" s="1"/>
  <c r="J290" i="13"/>
  <c r="O289" i="13"/>
  <c r="M289" i="13"/>
  <c r="L289" i="13"/>
  <c r="K289" i="13"/>
  <c r="J289" i="13"/>
  <c r="O288" i="13"/>
  <c r="M288" i="13"/>
  <c r="L288" i="13"/>
  <c r="K288" i="13"/>
  <c r="Q288" i="13" s="1"/>
  <c r="R288" i="13" s="1"/>
  <c r="J288" i="13"/>
  <c r="O287" i="13"/>
  <c r="M287" i="13"/>
  <c r="L287" i="13"/>
  <c r="K287" i="13"/>
  <c r="Q287" i="13" s="1"/>
  <c r="J287" i="13"/>
  <c r="O286" i="13"/>
  <c r="M286" i="13"/>
  <c r="L286" i="13"/>
  <c r="K286" i="13"/>
  <c r="J286" i="13"/>
  <c r="O285" i="13"/>
  <c r="M285" i="13"/>
  <c r="L285" i="13"/>
  <c r="K285" i="13"/>
  <c r="J285" i="13"/>
  <c r="O284" i="13"/>
  <c r="M284" i="13"/>
  <c r="L284" i="13"/>
  <c r="K284" i="13"/>
  <c r="Q284" i="13" s="1"/>
  <c r="J284" i="13"/>
  <c r="O283" i="13"/>
  <c r="M283" i="13"/>
  <c r="L283" i="13"/>
  <c r="K283" i="13"/>
  <c r="Q283" i="13" s="1"/>
  <c r="J283" i="13"/>
  <c r="O282" i="13"/>
  <c r="M282" i="13"/>
  <c r="L282" i="13"/>
  <c r="K282" i="13"/>
  <c r="J282" i="13"/>
  <c r="O281" i="13"/>
  <c r="M281" i="13"/>
  <c r="L281" i="13"/>
  <c r="K281" i="13"/>
  <c r="J281" i="13"/>
  <c r="O280" i="13"/>
  <c r="M280" i="13"/>
  <c r="L280" i="13"/>
  <c r="K280" i="13"/>
  <c r="J280" i="13"/>
  <c r="O279" i="13"/>
  <c r="M279" i="13"/>
  <c r="L279" i="13"/>
  <c r="K279" i="13"/>
  <c r="J279" i="13"/>
  <c r="O278" i="13"/>
  <c r="M278" i="13"/>
  <c r="L278" i="13"/>
  <c r="K278" i="13"/>
  <c r="Q278" i="13" s="1"/>
  <c r="R278" i="13" s="1"/>
  <c r="J278" i="13"/>
  <c r="O277" i="13"/>
  <c r="M277" i="13"/>
  <c r="L277" i="13"/>
  <c r="K277" i="13"/>
  <c r="Q277" i="13" s="1"/>
  <c r="R277" i="13" s="1"/>
  <c r="J277" i="13"/>
  <c r="O276" i="13"/>
  <c r="M276" i="13"/>
  <c r="L276" i="13"/>
  <c r="K276" i="13"/>
  <c r="Q276" i="13" s="1"/>
  <c r="R276" i="13" s="1"/>
  <c r="J276" i="13"/>
  <c r="O275" i="13"/>
  <c r="M275" i="13"/>
  <c r="L275" i="13"/>
  <c r="K275" i="13"/>
  <c r="Q275" i="13" s="1"/>
  <c r="R275" i="13" s="1"/>
  <c r="J275" i="13"/>
  <c r="O274" i="13"/>
  <c r="M274" i="13"/>
  <c r="L274" i="13"/>
  <c r="K274" i="13"/>
  <c r="J274" i="13"/>
  <c r="O273" i="13"/>
  <c r="M273" i="13"/>
  <c r="L273" i="13"/>
  <c r="K273" i="13"/>
  <c r="Q273" i="13" s="1"/>
  <c r="R273" i="13" s="1"/>
  <c r="J273" i="13"/>
  <c r="O272" i="13"/>
  <c r="M272" i="13"/>
  <c r="L272" i="13"/>
  <c r="K272" i="13"/>
  <c r="J272" i="13"/>
  <c r="O271" i="13"/>
  <c r="M271" i="13"/>
  <c r="L271" i="13"/>
  <c r="K271" i="13"/>
  <c r="Q271" i="13" s="1"/>
  <c r="R271" i="13" s="1"/>
  <c r="J271" i="13"/>
  <c r="O270" i="13"/>
  <c r="M270" i="13"/>
  <c r="L270" i="13"/>
  <c r="K270" i="13"/>
  <c r="J270" i="13"/>
  <c r="O269" i="13"/>
  <c r="M269" i="13"/>
  <c r="L269" i="13"/>
  <c r="K269" i="13"/>
  <c r="Q269" i="13" s="1"/>
  <c r="J269" i="13"/>
  <c r="O268" i="13"/>
  <c r="M268" i="13"/>
  <c r="L268" i="13"/>
  <c r="K268" i="13"/>
  <c r="Q268" i="13" s="1"/>
  <c r="J268" i="13"/>
  <c r="O267" i="13"/>
  <c r="M267" i="13"/>
  <c r="L267" i="13"/>
  <c r="K267" i="13"/>
  <c r="Q267" i="13" s="1"/>
  <c r="J267" i="13"/>
  <c r="O266" i="13"/>
  <c r="M266" i="13"/>
  <c r="L266" i="13"/>
  <c r="K266" i="13"/>
  <c r="Q266" i="13" s="1"/>
  <c r="J266" i="13"/>
  <c r="O265" i="13"/>
  <c r="M265" i="13"/>
  <c r="L265" i="13"/>
  <c r="K265" i="13"/>
  <c r="J265" i="13"/>
  <c r="O264" i="13"/>
  <c r="M264" i="13"/>
  <c r="L264" i="13"/>
  <c r="K264" i="13"/>
  <c r="P264" i="13" s="1"/>
  <c r="J264" i="13"/>
  <c r="O263" i="13"/>
  <c r="M263" i="13"/>
  <c r="L263" i="13"/>
  <c r="K263" i="13"/>
  <c r="J263" i="13"/>
  <c r="O262" i="13"/>
  <c r="M262" i="13"/>
  <c r="L262" i="13"/>
  <c r="K262" i="13"/>
  <c r="Q262" i="13" s="1"/>
  <c r="R262" i="13" s="1"/>
  <c r="J262" i="13"/>
  <c r="O261" i="13"/>
  <c r="M261" i="13"/>
  <c r="L261" i="13"/>
  <c r="K261" i="13"/>
  <c r="J261" i="13"/>
  <c r="O260" i="13"/>
  <c r="M260" i="13"/>
  <c r="L260" i="13"/>
  <c r="K260" i="13"/>
  <c r="P260" i="13" s="1"/>
  <c r="J260" i="13"/>
  <c r="O259" i="13"/>
  <c r="M259" i="13"/>
  <c r="L259" i="13"/>
  <c r="K259" i="13"/>
  <c r="Q259" i="13" s="1"/>
  <c r="R259" i="13" s="1"/>
  <c r="J259" i="13"/>
  <c r="O258" i="13"/>
  <c r="M258" i="13"/>
  <c r="L258" i="13"/>
  <c r="K258" i="13"/>
  <c r="P258" i="13" s="1"/>
  <c r="J258" i="13"/>
  <c r="O257" i="13"/>
  <c r="M257" i="13"/>
  <c r="L257" i="13"/>
  <c r="K257" i="13"/>
  <c r="Q257" i="13" s="1"/>
  <c r="R257" i="13" s="1"/>
  <c r="J257" i="13"/>
  <c r="O256" i="13"/>
  <c r="M256" i="13"/>
  <c r="L256" i="13"/>
  <c r="K256" i="13"/>
  <c r="Q256" i="13" s="1"/>
  <c r="R256" i="13" s="1"/>
  <c r="J256" i="13"/>
  <c r="O255" i="13"/>
  <c r="M255" i="13"/>
  <c r="L255" i="13"/>
  <c r="K255" i="13"/>
  <c r="Q255" i="13" s="1"/>
  <c r="R255" i="13" s="1"/>
  <c r="J255" i="13"/>
  <c r="O254" i="13"/>
  <c r="M254" i="13"/>
  <c r="L254" i="13"/>
  <c r="K254" i="13"/>
  <c r="J254" i="13"/>
  <c r="O253" i="13"/>
  <c r="M253" i="13"/>
  <c r="L253" i="13"/>
  <c r="K253" i="13"/>
  <c r="Q253" i="13" s="1"/>
  <c r="R253" i="13" s="1"/>
  <c r="J253" i="13"/>
  <c r="O252" i="13"/>
  <c r="M252" i="13"/>
  <c r="L252" i="13"/>
  <c r="K252" i="13"/>
  <c r="J252" i="13"/>
  <c r="O251" i="13"/>
  <c r="M251" i="13"/>
  <c r="L251" i="13"/>
  <c r="K251" i="13"/>
  <c r="P251" i="13" s="1"/>
  <c r="J251" i="13"/>
  <c r="O250" i="13"/>
  <c r="M250" i="13"/>
  <c r="L250" i="13"/>
  <c r="K250" i="13"/>
  <c r="Q250" i="13" s="1"/>
  <c r="R250" i="13" s="1"/>
  <c r="J250" i="13"/>
  <c r="O249" i="13"/>
  <c r="M249" i="13"/>
  <c r="L249" i="13"/>
  <c r="K249" i="13"/>
  <c r="J249" i="13"/>
  <c r="O248" i="13"/>
  <c r="M248" i="13"/>
  <c r="L248" i="13"/>
  <c r="K248" i="13"/>
  <c r="Q248" i="13" s="1"/>
  <c r="R248" i="13" s="1"/>
  <c r="J248" i="13"/>
  <c r="O247" i="13"/>
  <c r="M247" i="13"/>
  <c r="L247" i="13"/>
  <c r="K247" i="13"/>
  <c r="Q247" i="13" s="1"/>
  <c r="R247" i="13" s="1"/>
  <c r="J247" i="13"/>
  <c r="O246" i="13"/>
  <c r="M246" i="13"/>
  <c r="L246" i="13"/>
  <c r="K246" i="13"/>
  <c r="Q246" i="13" s="1"/>
  <c r="R246" i="13" s="1"/>
  <c r="J246" i="13"/>
  <c r="O245" i="13"/>
  <c r="M245" i="13"/>
  <c r="L245" i="13"/>
  <c r="K245" i="13"/>
  <c r="J245" i="13"/>
  <c r="O244" i="13"/>
  <c r="M244" i="13"/>
  <c r="L244" i="13"/>
  <c r="K244" i="13"/>
  <c r="P244" i="13" s="1"/>
  <c r="J244" i="13"/>
  <c r="O243" i="13"/>
  <c r="M243" i="13"/>
  <c r="L243" i="13"/>
  <c r="K243" i="13"/>
  <c r="J243" i="13"/>
  <c r="O242" i="13"/>
  <c r="M242" i="13"/>
  <c r="L242" i="13"/>
  <c r="K242" i="13"/>
  <c r="P242" i="13" s="1"/>
  <c r="J242" i="13"/>
  <c r="O241" i="13"/>
  <c r="M241" i="13"/>
  <c r="L241" i="13"/>
  <c r="K241" i="13"/>
  <c r="Q241" i="13" s="1"/>
  <c r="R241" i="13" s="1"/>
  <c r="J241" i="13"/>
  <c r="O240" i="13"/>
  <c r="M240" i="13"/>
  <c r="L240" i="13"/>
  <c r="K240" i="13"/>
  <c r="P240" i="13" s="1"/>
  <c r="J240" i="13"/>
  <c r="O239" i="13"/>
  <c r="M239" i="13"/>
  <c r="L239" i="13"/>
  <c r="K239" i="13"/>
  <c r="Q239" i="13" s="1"/>
  <c r="R239" i="13" s="1"/>
  <c r="J239" i="13"/>
  <c r="O238" i="13"/>
  <c r="M238" i="13"/>
  <c r="L238" i="13"/>
  <c r="K238" i="13"/>
  <c r="Q238" i="13" s="1"/>
  <c r="R238" i="13" s="1"/>
  <c r="J238" i="13"/>
  <c r="O237" i="13"/>
  <c r="M237" i="13"/>
  <c r="L237" i="13"/>
  <c r="K237" i="13"/>
  <c r="P237" i="13" s="1"/>
  <c r="J237" i="13"/>
  <c r="O236" i="13"/>
  <c r="M236" i="13"/>
  <c r="L236" i="13"/>
  <c r="K236" i="13"/>
  <c r="P236" i="13" s="1"/>
  <c r="J236" i="13"/>
  <c r="O235" i="13"/>
  <c r="M235" i="13"/>
  <c r="L235" i="13"/>
  <c r="K235" i="13"/>
  <c r="Q235" i="13" s="1"/>
  <c r="R235" i="13" s="1"/>
  <c r="J235" i="13"/>
  <c r="O234" i="13"/>
  <c r="M234" i="13"/>
  <c r="L234" i="13"/>
  <c r="K234" i="13"/>
  <c r="Q234" i="13" s="1"/>
  <c r="R234" i="13" s="1"/>
  <c r="J234" i="13"/>
  <c r="O233" i="13"/>
  <c r="M233" i="13"/>
  <c r="L233" i="13"/>
  <c r="K233" i="13"/>
  <c r="Q233" i="13" s="1"/>
  <c r="R233" i="13" s="1"/>
  <c r="J233" i="13"/>
  <c r="O232" i="13"/>
  <c r="M232" i="13"/>
  <c r="L232" i="13"/>
  <c r="K232" i="13"/>
  <c r="J232" i="13"/>
  <c r="O231" i="13"/>
  <c r="M231" i="13"/>
  <c r="L231" i="13"/>
  <c r="K231" i="13"/>
  <c r="P231" i="13" s="1"/>
  <c r="J231" i="13"/>
  <c r="O230" i="13"/>
  <c r="M230" i="13"/>
  <c r="L230" i="13"/>
  <c r="K230" i="13"/>
  <c r="P230" i="13" s="1"/>
  <c r="J230" i="13"/>
  <c r="O229" i="13"/>
  <c r="M229" i="13"/>
  <c r="L229" i="13"/>
  <c r="K229" i="13"/>
  <c r="Q229" i="13" s="1"/>
  <c r="R229" i="13" s="1"/>
  <c r="J229" i="13"/>
  <c r="O228" i="13"/>
  <c r="M228" i="13"/>
  <c r="L228" i="13"/>
  <c r="K228" i="13"/>
  <c r="P228" i="13" s="1"/>
  <c r="J228" i="13"/>
  <c r="O227" i="13"/>
  <c r="M227" i="13"/>
  <c r="L227" i="13"/>
  <c r="K227" i="13"/>
  <c r="Q227" i="13" s="1"/>
  <c r="R227" i="13" s="1"/>
  <c r="J227" i="13"/>
  <c r="O226" i="13"/>
  <c r="M226" i="13"/>
  <c r="L226" i="13"/>
  <c r="K226" i="13"/>
  <c r="Q226" i="13" s="1"/>
  <c r="R226" i="13" s="1"/>
  <c r="J226" i="13"/>
  <c r="O225" i="13"/>
  <c r="M225" i="13"/>
  <c r="L225" i="13"/>
  <c r="K225" i="13"/>
  <c r="J225" i="13"/>
  <c r="O224" i="13"/>
  <c r="M224" i="13"/>
  <c r="L224" i="13"/>
  <c r="K224" i="13"/>
  <c r="Q224" i="13" s="1"/>
  <c r="R224" i="13" s="1"/>
  <c r="J224" i="13"/>
  <c r="O223" i="13"/>
  <c r="M223" i="13"/>
  <c r="L223" i="13"/>
  <c r="K223" i="13"/>
  <c r="J223" i="13"/>
  <c r="O222" i="13"/>
  <c r="M222" i="13"/>
  <c r="L222" i="13"/>
  <c r="K222" i="13"/>
  <c r="Q222" i="13" s="1"/>
  <c r="R222" i="13" s="1"/>
  <c r="J222" i="13"/>
  <c r="O221" i="13"/>
  <c r="M221" i="13"/>
  <c r="L221" i="13"/>
  <c r="K221" i="13"/>
  <c r="J221" i="13"/>
  <c r="O220" i="13"/>
  <c r="M220" i="13"/>
  <c r="L220" i="13"/>
  <c r="K220" i="13"/>
  <c r="Q220" i="13" s="1"/>
  <c r="J220" i="13"/>
  <c r="O219" i="13"/>
  <c r="M219" i="13"/>
  <c r="L219" i="13"/>
  <c r="K219" i="13"/>
  <c r="Q219" i="13" s="1"/>
  <c r="R219" i="13" s="1"/>
  <c r="J219" i="13"/>
  <c r="O218" i="13"/>
  <c r="M218" i="13"/>
  <c r="L218" i="13"/>
  <c r="K218" i="13"/>
  <c r="Q218" i="13" s="1"/>
  <c r="R218" i="13" s="1"/>
  <c r="J218" i="13"/>
  <c r="O217" i="13"/>
  <c r="M217" i="13"/>
  <c r="L217" i="13"/>
  <c r="K217" i="13"/>
  <c r="Q217" i="13" s="1"/>
  <c r="J217" i="13"/>
  <c r="O216" i="13"/>
  <c r="M216" i="13"/>
  <c r="L216" i="13"/>
  <c r="K216" i="13"/>
  <c r="J216" i="13"/>
  <c r="O215" i="13"/>
  <c r="M215" i="13"/>
  <c r="L215" i="13"/>
  <c r="K215" i="13"/>
  <c r="Q215" i="13" s="1"/>
  <c r="R215" i="13" s="1"/>
  <c r="J215" i="13"/>
  <c r="O214" i="13"/>
  <c r="M214" i="13"/>
  <c r="L214" i="13"/>
  <c r="K214" i="13"/>
  <c r="J214" i="13"/>
  <c r="O213" i="13"/>
  <c r="M213" i="13"/>
  <c r="L213" i="13"/>
  <c r="K213" i="13"/>
  <c r="Q213" i="13" s="1"/>
  <c r="R213" i="13" s="1"/>
  <c r="J213" i="13"/>
  <c r="O212" i="13"/>
  <c r="M212" i="13"/>
  <c r="L212" i="13"/>
  <c r="K212" i="13"/>
  <c r="J212" i="13"/>
  <c r="O211" i="13"/>
  <c r="M211" i="13"/>
  <c r="L211" i="13"/>
  <c r="K211" i="13"/>
  <c r="P211" i="13" s="1"/>
  <c r="J211" i="13"/>
  <c r="O210" i="13"/>
  <c r="M210" i="13"/>
  <c r="L210" i="13"/>
  <c r="K210" i="13"/>
  <c r="P210" i="13" s="1"/>
  <c r="J210" i="13"/>
  <c r="O209" i="13"/>
  <c r="M209" i="13"/>
  <c r="L209" i="13"/>
  <c r="K209" i="13"/>
  <c r="P209" i="13" s="1"/>
  <c r="J209" i="13"/>
  <c r="O208" i="13"/>
  <c r="M208" i="13"/>
  <c r="L208" i="13"/>
  <c r="K208" i="13"/>
  <c r="P208" i="13" s="1"/>
  <c r="J208" i="13"/>
  <c r="O207" i="13"/>
  <c r="M207" i="13"/>
  <c r="L207" i="13"/>
  <c r="K207" i="13"/>
  <c r="Q207" i="13" s="1"/>
  <c r="R207" i="13" s="1"/>
  <c r="J207" i="13"/>
  <c r="O206" i="13"/>
  <c r="M206" i="13"/>
  <c r="L206" i="13"/>
  <c r="K206" i="13"/>
  <c r="Q206" i="13" s="1"/>
  <c r="R206" i="13" s="1"/>
  <c r="J206" i="13"/>
  <c r="O205" i="13"/>
  <c r="M205" i="13"/>
  <c r="L205" i="13"/>
  <c r="K205" i="13"/>
  <c r="J205" i="13"/>
  <c r="O204" i="13"/>
  <c r="M204" i="13"/>
  <c r="L204" i="13"/>
  <c r="K204" i="13"/>
  <c r="Q204" i="13" s="1"/>
  <c r="R204" i="13" s="1"/>
  <c r="J204" i="13"/>
  <c r="O203" i="13"/>
  <c r="M203" i="13"/>
  <c r="L203" i="13"/>
  <c r="K203" i="13"/>
  <c r="J203" i="13"/>
  <c r="O202" i="13"/>
  <c r="M202" i="13"/>
  <c r="L202" i="13"/>
  <c r="K202" i="13"/>
  <c r="P202" i="13" s="1"/>
  <c r="J202" i="13"/>
  <c r="O201" i="13"/>
  <c r="M201" i="13"/>
  <c r="L201" i="13"/>
  <c r="K201" i="13"/>
  <c r="Q201" i="13" s="1"/>
  <c r="R201" i="13" s="1"/>
  <c r="J201" i="13"/>
  <c r="O200" i="13"/>
  <c r="M200" i="13"/>
  <c r="L200" i="13"/>
  <c r="K200" i="13"/>
  <c r="P200" i="13" s="1"/>
  <c r="J200" i="13"/>
  <c r="O199" i="13"/>
  <c r="M199" i="13"/>
  <c r="L199" i="13"/>
  <c r="K199" i="13"/>
  <c r="Q199" i="13" s="1"/>
  <c r="R199" i="13" s="1"/>
  <c r="J199" i="13"/>
  <c r="O198" i="13"/>
  <c r="M198" i="13"/>
  <c r="L198" i="13"/>
  <c r="K198" i="13"/>
  <c r="Q198" i="13" s="1"/>
  <c r="R198" i="13" s="1"/>
  <c r="J198" i="13"/>
  <c r="O197" i="13"/>
  <c r="M197" i="13"/>
  <c r="L197" i="13"/>
  <c r="K197" i="13"/>
  <c r="Q197" i="13" s="1"/>
  <c r="R197" i="13" s="1"/>
  <c r="J197" i="13"/>
  <c r="O196" i="13"/>
  <c r="M196" i="13"/>
  <c r="L196" i="13"/>
  <c r="K196" i="13"/>
  <c r="J196" i="13"/>
  <c r="O195" i="13"/>
  <c r="M195" i="13"/>
  <c r="L195" i="13"/>
  <c r="K195" i="13"/>
  <c r="P195" i="13" s="1"/>
  <c r="J195" i="13"/>
  <c r="O194" i="13"/>
  <c r="M194" i="13"/>
  <c r="L194" i="13"/>
  <c r="K194" i="13"/>
  <c r="J194" i="13"/>
  <c r="O193" i="13"/>
  <c r="M193" i="13"/>
  <c r="L193" i="13"/>
  <c r="K193" i="13"/>
  <c r="Q193" i="13" s="1"/>
  <c r="R193" i="13" s="1"/>
  <c r="J193" i="13"/>
  <c r="O192" i="13"/>
  <c r="M192" i="13"/>
  <c r="L192" i="13"/>
  <c r="K192" i="13"/>
  <c r="Q192" i="13" s="1"/>
  <c r="R192" i="13" s="1"/>
  <c r="J192" i="13"/>
  <c r="O191" i="13"/>
  <c r="M191" i="13"/>
  <c r="L191" i="13"/>
  <c r="K191" i="13"/>
  <c r="P191" i="13" s="1"/>
  <c r="J191" i="13"/>
  <c r="O190" i="13"/>
  <c r="M190" i="13"/>
  <c r="L190" i="13"/>
  <c r="K190" i="13"/>
  <c r="Q190" i="13" s="1"/>
  <c r="R190" i="13" s="1"/>
  <c r="J190" i="13"/>
  <c r="O189" i="13"/>
  <c r="M189" i="13"/>
  <c r="L189" i="13"/>
  <c r="K189" i="13"/>
  <c r="Q189" i="13" s="1"/>
  <c r="R189" i="13" s="1"/>
  <c r="J189" i="13"/>
  <c r="O188" i="13"/>
  <c r="M188" i="13"/>
  <c r="L188" i="13"/>
  <c r="K188" i="13"/>
  <c r="P188" i="13" s="1"/>
  <c r="J188" i="13"/>
  <c r="O187" i="13"/>
  <c r="M187" i="13"/>
  <c r="L187" i="13"/>
  <c r="K187" i="13"/>
  <c r="P187" i="13" s="1"/>
  <c r="J187" i="13"/>
  <c r="O186" i="13"/>
  <c r="M186" i="13"/>
  <c r="L186" i="13"/>
  <c r="K186" i="13"/>
  <c r="P186" i="13" s="1"/>
  <c r="J186" i="13"/>
  <c r="O185" i="13"/>
  <c r="M185" i="13"/>
  <c r="L185" i="13"/>
  <c r="K185" i="13"/>
  <c r="Q185" i="13" s="1"/>
  <c r="R185" i="13" s="1"/>
  <c r="J185" i="13"/>
  <c r="O184" i="13"/>
  <c r="M184" i="13"/>
  <c r="L184" i="13"/>
  <c r="K184" i="13"/>
  <c r="P184" i="13" s="1"/>
  <c r="J184" i="13"/>
  <c r="O183" i="13"/>
  <c r="M183" i="13"/>
  <c r="L183" i="13"/>
  <c r="K183" i="13"/>
  <c r="J183" i="13"/>
  <c r="O182" i="13"/>
  <c r="M182" i="13"/>
  <c r="L182" i="13"/>
  <c r="K182" i="13"/>
  <c r="P182" i="13" s="1"/>
  <c r="J182" i="13"/>
  <c r="O181" i="13"/>
  <c r="M181" i="13"/>
  <c r="L181" i="13"/>
  <c r="K181" i="13"/>
  <c r="P181" i="13" s="1"/>
  <c r="J181" i="13"/>
  <c r="O180" i="13"/>
  <c r="M180" i="13"/>
  <c r="L180" i="13"/>
  <c r="K180" i="13"/>
  <c r="Q180" i="13" s="1"/>
  <c r="R180" i="13" s="1"/>
  <c r="J180" i="13"/>
  <c r="O179" i="13"/>
  <c r="M179" i="13"/>
  <c r="L179" i="13"/>
  <c r="K179" i="13"/>
  <c r="P179" i="13" s="1"/>
  <c r="J179" i="13"/>
  <c r="O178" i="13"/>
  <c r="M178" i="13"/>
  <c r="L178" i="13"/>
  <c r="K178" i="13"/>
  <c r="P178" i="13" s="1"/>
  <c r="J178" i="13"/>
  <c r="O177" i="13"/>
  <c r="M177" i="13"/>
  <c r="L177" i="13"/>
  <c r="K177" i="13"/>
  <c r="Q177" i="13" s="1"/>
  <c r="R177" i="13" s="1"/>
  <c r="J177" i="13"/>
  <c r="O176" i="13"/>
  <c r="M176" i="13"/>
  <c r="L176" i="13"/>
  <c r="K176" i="13"/>
  <c r="J176" i="13"/>
  <c r="O175" i="13"/>
  <c r="M175" i="13"/>
  <c r="L175" i="13"/>
  <c r="K175" i="13"/>
  <c r="Q175" i="13" s="1"/>
  <c r="J175" i="13"/>
  <c r="O174" i="13"/>
  <c r="M174" i="13"/>
  <c r="L174" i="13"/>
  <c r="K174" i="13"/>
  <c r="J174" i="13"/>
  <c r="O173" i="13"/>
  <c r="M173" i="13"/>
  <c r="L173" i="13"/>
  <c r="K173" i="13"/>
  <c r="Q173" i="13" s="1"/>
  <c r="R173" i="13" s="1"/>
  <c r="J173" i="13"/>
  <c r="O172" i="13"/>
  <c r="M172" i="13"/>
  <c r="L172" i="13"/>
  <c r="K172" i="13"/>
  <c r="J172" i="13"/>
  <c r="O171" i="13"/>
  <c r="M171" i="13"/>
  <c r="L171" i="13"/>
  <c r="K171" i="13"/>
  <c r="P171" i="13" s="1"/>
  <c r="J171" i="13"/>
  <c r="O170" i="13"/>
  <c r="M170" i="13"/>
  <c r="L170" i="13"/>
  <c r="K170" i="13"/>
  <c r="Q170" i="13" s="1"/>
  <c r="R170" i="13" s="1"/>
  <c r="J170" i="13"/>
  <c r="O169" i="13"/>
  <c r="M169" i="13"/>
  <c r="L169" i="13"/>
  <c r="K169" i="13"/>
  <c r="Q169" i="13" s="1"/>
  <c r="R169" i="13" s="1"/>
  <c r="J169" i="13"/>
  <c r="O168" i="13"/>
  <c r="M168" i="13"/>
  <c r="L168" i="13"/>
  <c r="K168" i="13"/>
  <c r="Q168" i="13" s="1"/>
  <c r="R168" i="13" s="1"/>
  <c r="J168" i="13"/>
  <c r="O167" i="13"/>
  <c r="M167" i="13"/>
  <c r="L167" i="13"/>
  <c r="K167" i="13"/>
  <c r="J167" i="13"/>
  <c r="O166" i="13"/>
  <c r="M166" i="13"/>
  <c r="L166" i="13"/>
  <c r="K166" i="13"/>
  <c r="P166" i="13" s="1"/>
  <c r="J166" i="13"/>
  <c r="O165" i="13"/>
  <c r="M165" i="13"/>
  <c r="L165" i="13"/>
  <c r="K165" i="13"/>
  <c r="J165" i="13"/>
  <c r="O164" i="13"/>
  <c r="M164" i="13"/>
  <c r="L164" i="13"/>
  <c r="K164" i="13"/>
  <c r="Q164" i="13" s="1"/>
  <c r="R164" i="13" s="1"/>
  <c r="J164" i="13"/>
  <c r="O163" i="13"/>
  <c r="M163" i="13"/>
  <c r="L163" i="13"/>
  <c r="K163" i="13"/>
  <c r="J163" i="13"/>
  <c r="O162" i="13"/>
  <c r="M162" i="13"/>
  <c r="L162" i="13"/>
  <c r="K162" i="13"/>
  <c r="P162" i="13" s="1"/>
  <c r="J162" i="13"/>
  <c r="O161" i="13"/>
  <c r="M161" i="13"/>
  <c r="L161" i="13"/>
  <c r="K161" i="13"/>
  <c r="P161" i="13" s="1"/>
  <c r="J161" i="13"/>
  <c r="O160" i="13"/>
  <c r="M160" i="13"/>
  <c r="L160" i="13"/>
  <c r="K160" i="13"/>
  <c r="P160" i="13" s="1"/>
  <c r="J160" i="13"/>
  <c r="O159" i="13"/>
  <c r="M159" i="13"/>
  <c r="L159" i="13"/>
  <c r="K159" i="13"/>
  <c r="P159" i="13" s="1"/>
  <c r="J159" i="13"/>
  <c r="O158" i="13"/>
  <c r="M158" i="13"/>
  <c r="L158" i="13"/>
  <c r="K158" i="13"/>
  <c r="Q158" i="13" s="1"/>
  <c r="R158" i="13" s="1"/>
  <c r="J158" i="13"/>
  <c r="O157" i="13"/>
  <c r="M157" i="13"/>
  <c r="L157" i="13"/>
  <c r="K157" i="13"/>
  <c r="Q157" i="13" s="1"/>
  <c r="R157" i="13" s="1"/>
  <c r="J157" i="13"/>
  <c r="O156" i="13"/>
  <c r="M156" i="13"/>
  <c r="L156" i="13"/>
  <c r="K156" i="13"/>
  <c r="J156" i="13"/>
  <c r="O155" i="13"/>
  <c r="M155" i="13"/>
  <c r="L155" i="13"/>
  <c r="K155" i="13"/>
  <c r="Q155" i="13" s="1"/>
  <c r="R155" i="13" s="1"/>
  <c r="J155" i="13"/>
  <c r="O154" i="13"/>
  <c r="M154" i="13"/>
  <c r="L154" i="13"/>
  <c r="K154" i="13"/>
  <c r="J154" i="13"/>
  <c r="O153" i="13"/>
  <c r="M153" i="13"/>
  <c r="L153" i="13"/>
  <c r="K153" i="13"/>
  <c r="P153" i="13" s="1"/>
  <c r="J153" i="13"/>
  <c r="O152" i="13"/>
  <c r="M152" i="13"/>
  <c r="L152" i="13"/>
  <c r="K152" i="13"/>
  <c r="Q152" i="13" s="1"/>
  <c r="R152" i="13" s="1"/>
  <c r="J152" i="13"/>
  <c r="O151" i="13"/>
  <c r="M151" i="13"/>
  <c r="L151" i="13"/>
  <c r="K151" i="13"/>
  <c r="P151" i="13" s="1"/>
  <c r="J151" i="13"/>
  <c r="O150" i="13"/>
  <c r="M150" i="13"/>
  <c r="L150" i="13"/>
  <c r="K150" i="13"/>
  <c r="Q150" i="13" s="1"/>
  <c r="R150" i="13" s="1"/>
  <c r="J150" i="13"/>
  <c r="O149" i="13"/>
  <c r="M149" i="13"/>
  <c r="L149" i="13"/>
  <c r="K149" i="13"/>
  <c r="Q149" i="13" s="1"/>
  <c r="R149" i="13" s="1"/>
  <c r="J149" i="13"/>
  <c r="O148" i="13"/>
  <c r="M148" i="13"/>
  <c r="L148" i="13"/>
  <c r="K148" i="13"/>
  <c r="Q148" i="13" s="1"/>
  <c r="R148" i="13" s="1"/>
  <c r="J148" i="13"/>
  <c r="O147" i="13"/>
  <c r="M147" i="13"/>
  <c r="L147" i="13"/>
  <c r="K147" i="13"/>
  <c r="J147" i="13"/>
  <c r="O146" i="13"/>
  <c r="M146" i="13"/>
  <c r="L146" i="13"/>
  <c r="K146" i="13"/>
  <c r="P146" i="13" s="1"/>
  <c r="J146" i="13"/>
  <c r="O145" i="13"/>
  <c r="M145" i="13"/>
  <c r="L145" i="13"/>
  <c r="K145" i="13"/>
  <c r="J145" i="13"/>
  <c r="O144" i="13"/>
  <c r="M144" i="13"/>
  <c r="L144" i="13"/>
  <c r="K144" i="13"/>
  <c r="Q144" i="13" s="1"/>
  <c r="R144" i="13" s="1"/>
  <c r="J144" i="13"/>
  <c r="O143" i="13"/>
  <c r="M143" i="13"/>
  <c r="L143" i="13"/>
  <c r="K143" i="13"/>
  <c r="Q143" i="13" s="1"/>
  <c r="R143" i="13" s="1"/>
  <c r="J143" i="13"/>
  <c r="O142" i="13"/>
  <c r="M142" i="13"/>
  <c r="L142" i="13"/>
  <c r="K142" i="13"/>
  <c r="P142" i="13" s="1"/>
  <c r="J142" i="13"/>
  <c r="O141" i="13"/>
  <c r="M141" i="13"/>
  <c r="L141" i="13"/>
  <c r="K141" i="13"/>
  <c r="Q141" i="13" s="1"/>
  <c r="R141" i="13" s="1"/>
  <c r="J141" i="13"/>
  <c r="O140" i="13"/>
  <c r="M140" i="13"/>
  <c r="L140" i="13"/>
  <c r="K140" i="13"/>
  <c r="Q140" i="13" s="1"/>
  <c r="R140" i="13" s="1"/>
  <c r="J140" i="13"/>
  <c r="O139" i="13"/>
  <c r="M139" i="13"/>
  <c r="L139" i="13"/>
  <c r="K139" i="13"/>
  <c r="P139" i="13" s="1"/>
  <c r="J139" i="13"/>
  <c r="O138" i="13"/>
  <c r="M138" i="13"/>
  <c r="L138" i="13"/>
  <c r="K138" i="13"/>
  <c r="P138" i="13" s="1"/>
  <c r="J138" i="13"/>
  <c r="O137" i="13"/>
  <c r="M137" i="13"/>
  <c r="L137" i="13"/>
  <c r="K137" i="13"/>
  <c r="Q137" i="13" s="1"/>
  <c r="R137" i="13" s="1"/>
  <c r="J137" i="13"/>
  <c r="O136" i="13"/>
  <c r="M136" i="13"/>
  <c r="L136" i="13"/>
  <c r="K136" i="13"/>
  <c r="Q136" i="13" s="1"/>
  <c r="R136" i="13" s="1"/>
  <c r="J136" i="13"/>
  <c r="O135" i="13"/>
  <c r="M135" i="13"/>
  <c r="L135" i="13"/>
  <c r="K135" i="13"/>
  <c r="P135" i="13" s="1"/>
  <c r="J135" i="13"/>
  <c r="O134" i="13"/>
  <c r="M134" i="13"/>
  <c r="L134" i="13"/>
  <c r="K134" i="13"/>
  <c r="J134" i="13"/>
  <c r="O133" i="13"/>
  <c r="M133" i="13"/>
  <c r="L133" i="13"/>
  <c r="K133" i="13"/>
  <c r="P133" i="13" s="1"/>
  <c r="J133" i="13"/>
  <c r="O132" i="13"/>
  <c r="M132" i="13"/>
  <c r="L132" i="13"/>
  <c r="K132" i="13"/>
  <c r="P132" i="13" s="1"/>
  <c r="J132" i="13"/>
  <c r="O131" i="13"/>
  <c r="M131" i="13"/>
  <c r="L131" i="13"/>
  <c r="K131" i="13"/>
  <c r="Q131" i="13" s="1"/>
  <c r="R131" i="13" s="1"/>
  <c r="J131" i="13"/>
  <c r="O130" i="13"/>
  <c r="M130" i="13"/>
  <c r="L130" i="13"/>
  <c r="K130" i="13"/>
  <c r="Q130" i="13" s="1"/>
  <c r="J130" i="13"/>
  <c r="O129" i="13"/>
  <c r="M129" i="13"/>
  <c r="L129" i="13"/>
  <c r="K129" i="13"/>
  <c r="Q129" i="13" s="1"/>
  <c r="R129" i="13" s="1"/>
  <c r="J129" i="13"/>
  <c r="O128" i="13"/>
  <c r="M128" i="13"/>
  <c r="L128" i="13"/>
  <c r="K128" i="13"/>
  <c r="Q128" i="13" s="1"/>
  <c r="R128" i="13" s="1"/>
  <c r="J128" i="13"/>
  <c r="O127" i="13"/>
  <c r="M127" i="13"/>
  <c r="L127" i="13"/>
  <c r="K127" i="13"/>
  <c r="J127" i="13"/>
  <c r="O126" i="13"/>
  <c r="M126" i="13"/>
  <c r="L126" i="13"/>
  <c r="K126" i="13"/>
  <c r="P126" i="13" s="1"/>
  <c r="J126" i="13"/>
  <c r="O125" i="13"/>
  <c r="M125" i="13"/>
  <c r="L125" i="13"/>
  <c r="K125" i="13"/>
  <c r="J125" i="13"/>
  <c r="O124" i="13"/>
  <c r="M124" i="13"/>
  <c r="L124" i="13"/>
  <c r="K124" i="13"/>
  <c r="Q124" i="13" s="1"/>
  <c r="R124" i="13" s="1"/>
  <c r="J124" i="13"/>
  <c r="O123" i="13"/>
  <c r="M123" i="13"/>
  <c r="L123" i="13"/>
  <c r="K123" i="13"/>
  <c r="J123" i="13"/>
  <c r="O122" i="13"/>
  <c r="M122" i="13"/>
  <c r="L122" i="13"/>
  <c r="K122" i="13"/>
  <c r="Q122" i="13" s="1"/>
  <c r="R122" i="13" s="1"/>
  <c r="J122" i="13"/>
  <c r="O121" i="13"/>
  <c r="M121" i="13"/>
  <c r="L121" i="13"/>
  <c r="K121" i="13"/>
  <c r="P121" i="13" s="1"/>
  <c r="J121" i="13"/>
  <c r="O120" i="13"/>
  <c r="M120" i="13"/>
  <c r="L120" i="13"/>
  <c r="K120" i="13"/>
  <c r="Q120" i="13" s="1"/>
  <c r="R120" i="13" s="1"/>
  <c r="J120" i="13"/>
  <c r="O119" i="13"/>
  <c r="M119" i="13"/>
  <c r="L119" i="13"/>
  <c r="K119" i="13"/>
  <c r="P119" i="13" s="1"/>
  <c r="J119" i="13"/>
  <c r="O118" i="13"/>
  <c r="M118" i="13"/>
  <c r="L118" i="13"/>
  <c r="K118" i="13"/>
  <c r="J118" i="13"/>
  <c r="O117" i="13"/>
  <c r="M117" i="13"/>
  <c r="L117" i="13"/>
  <c r="K117" i="13"/>
  <c r="Q117" i="13" s="1"/>
  <c r="R117" i="13" s="1"/>
  <c r="J117" i="13"/>
  <c r="O116" i="13"/>
  <c r="M116" i="13"/>
  <c r="L116" i="13"/>
  <c r="K116" i="13"/>
  <c r="J116" i="13"/>
  <c r="O115" i="13"/>
  <c r="M115" i="13"/>
  <c r="L115" i="13"/>
  <c r="K115" i="13"/>
  <c r="Q115" i="13" s="1"/>
  <c r="R115" i="13" s="1"/>
  <c r="J115" i="13"/>
  <c r="O114" i="13"/>
  <c r="M114" i="13"/>
  <c r="L114" i="13"/>
  <c r="K114" i="13"/>
  <c r="J114" i="13"/>
  <c r="O113" i="13"/>
  <c r="M113" i="13"/>
  <c r="L113" i="13"/>
  <c r="K113" i="13"/>
  <c r="P113" i="13" s="1"/>
  <c r="J113" i="13"/>
  <c r="O112" i="13"/>
  <c r="M112" i="13"/>
  <c r="L112" i="13"/>
  <c r="K112" i="13"/>
  <c r="Q112" i="13" s="1"/>
  <c r="R112" i="13" s="1"/>
  <c r="J112" i="13"/>
  <c r="O111" i="13"/>
  <c r="M111" i="13"/>
  <c r="L111" i="13"/>
  <c r="K111" i="13"/>
  <c r="P111" i="13" s="1"/>
  <c r="J111" i="13"/>
  <c r="O110" i="13"/>
  <c r="M110" i="13"/>
  <c r="L110" i="13"/>
  <c r="K110" i="13"/>
  <c r="Q110" i="13" s="1"/>
  <c r="R110" i="13" s="1"/>
  <c r="J110" i="13"/>
  <c r="O109" i="13"/>
  <c r="M109" i="13"/>
  <c r="L109" i="13"/>
  <c r="K109" i="13"/>
  <c r="Q109" i="13" s="1"/>
  <c r="R109" i="13" s="1"/>
  <c r="J109" i="13"/>
  <c r="O108" i="13"/>
  <c r="M108" i="13"/>
  <c r="L108" i="13"/>
  <c r="K108" i="13"/>
  <c r="P108" i="13" s="1"/>
  <c r="J108" i="13"/>
  <c r="O107" i="13"/>
  <c r="M107" i="13"/>
  <c r="L107" i="13"/>
  <c r="K107" i="13"/>
  <c r="J107" i="13"/>
  <c r="O106" i="13"/>
  <c r="M106" i="13"/>
  <c r="L106" i="13"/>
  <c r="K106" i="13"/>
  <c r="P106" i="13" s="1"/>
  <c r="J106" i="13"/>
  <c r="O105" i="13"/>
  <c r="M105" i="13"/>
  <c r="L105" i="13"/>
  <c r="K105" i="13"/>
  <c r="J105" i="13"/>
  <c r="O104" i="13"/>
  <c r="M104" i="13"/>
  <c r="L104" i="13"/>
  <c r="K104" i="13"/>
  <c r="P104" i="13" s="1"/>
  <c r="J104" i="13"/>
  <c r="O103" i="13"/>
  <c r="M103" i="13"/>
  <c r="L103" i="13"/>
  <c r="K103" i="13"/>
  <c r="Q103" i="13" s="1"/>
  <c r="R103" i="13" s="1"/>
  <c r="J103" i="13"/>
  <c r="O102" i="13"/>
  <c r="M102" i="13"/>
  <c r="L102" i="13"/>
  <c r="K102" i="13"/>
  <c r="P102" i="13" s="1"/>
  <c r="J102" i="13"/>
  <c r="O101" i="13"/>
  <c r="M101" i="13"/>
  <c r="L101" i="13"/>
  <c r="K101" i="13"/>
  <c r="Q101" i="13" s="1"/>
  <c r="R101" i="13" s="1"/>
  <c r="J101" i="13"/>
  <c r="O100" i="13"/>
  <c r="M100" i="13"/>
  <c r="L100" i="13"/>
  <c r="K100" i="13"/>
  <c r="Q100" i="13" s="1"/>
  <c r="R100" i="13" s="1"/>
  <c r="J100" i="13"/>
  <c r="O99" i="13"/>
  <c r="M99" i="13"/>
  <c r="L99" i="13"/>
  <c r="K99" i="13"/>
  <c r="Q99" i="13" s="1"/>
  <c r="R99" i="13" s="1"/>
  <c r="J99" i="13"/>
  <c r="O98" i="13"/>
  <c r="M98" i="13"/>
  <c r="L98" i="13"/>
  <c r="K98" i="13"/>
  <c r="J98" i="13"/>
  <c r="O97" i="13"/>
  <c r="M97" i="13"/>
  <c r="L97" i="13"/>
  <c r="K97" i="13"/>
  <c r="P97" i="13" s="1"/>
  <c r="J97" i="13"/>
  <c r="O96" i="13"/>
  <c r="M96" i="13"/>
  <c r="L96" i="13"/>
  <c r="K96" i="13"/>
  <c r="J96" i="13"/>
  <c r="O95" i="13"/>
  <c r="M95" i="13"/>
  <c r="L95" i="13"/>
  <c r="K95" i="13"/>
  <c r="Q95" i="13" s="1"/>
  <c r="R95" i="13" s="1"/>
  <c r="J95" i="13"/>
  <c r="O94" i="13"/>
  <c r="M94" i="13"/>
  <c r="L94" i="13"/>
  <c r="K94" i="13"/>
  <c r="Q94" i="13" s="1"/>
  <c r="R94" i="13" s="1"/>
  <c r="J94" i="13"/>
  <c r="O93" i="13"/>
  <c r="M93" i="13"/>
  <c r="L93" i="13"/>
  <c r="K93" i="13"/>
  <c r="P93" i="13" s="1"/>
  <c r="J93" i="13"/>
  <c r="O92" i="13"/>
  <c r="M92" i="13"/>
  <c r="L92" i="13"/>
  <c r="K92" i="13"/>
  <c r="Q92" i="13" s="1"/>
  <c r="R92" i="13" s="1"/>
  <c r="J92" i="13"/>
  <c r="O91" i="13"/>
  <c r="M91" i="13"/>
  <c r="L91" i="13"/>
  <c r="K91" i="13"/>
  <c r="Q91" i="13" s="1"/>
  <c r="R91" i="13" s="1"/>
  <c r="J91" i="13"/>
  <c r="O90" i="13"/>
  <c r="M90" i="13"/>
  <c r="L90" i="13"/>
  <c r="K90" i="13"/>
  <c r="P90" i="13" s="1"/>
  <c r="J90" i="13"/>
  <c r="O89" i="13"/>
  <c r="M89" i="13"/>
  <c r="L89" i="13"/>
  <c r="K89" i="13"/>
  <c r="P89" i="13" s="1"/>
  <c r="J89" i="13"/>
  <c r="O88" i="13"/>
  <c r="M88" i="13"/>
  <c r="L88" i="13"/>
  <c r="K88" i="13"/>
  <c r="Q88" i="13" s="1"/>
  <c r="R88" i="13" s="1"/>
  <c r="J88" i="13"/>
  <c r="O87" i="13"/>
  <c r="M87" i="13"/>
  <c r="L87" i="13"/>
  <c r="K87" i="13"/>
  <c r="Q87" i="13" s="1"/>
  <c r="R87" i="13" s="1"/>
  <c r="J87" i="13"/>
  <c r="O86" i="13"/>
  <c r="M86" i="13"/>
  <c r="L86" i="13"/>
  <c r="K86" i="13"/>
  <c r="Q86" i="13" s="1"/>
  <c r="R86" i="13" s="1"/>
  <c r="J86" i="13"/>
  <c r="O85" i="13"/>
  <c r="M85" i="13"/>
  <c r="L85" i="13"/>
  <c r="K85" i="13"/>
  <c r="J85" i="13"/>
  <c r="O84" i="13"/>
  <c r="M84" i="13"/>
  <c r="L84" i="13"/>
  <c r="K84" i="13"/>
  <c r="P84" i="13" s="1"/>
  <c r="J84" i="13"/>
  <c r="O83" i="13"/>
  <c r="M83" i="13"/>
  <c r="L83" i="13"/>
  <c r="K83" i="13"/>
  <c r="P83" i="13" s="1"/>
  <c r="J83" i="13"/>
  <c r="O82" i="13"/>
  <c r="M82" i="13"/>
  <c r="L82" i="13"/>
  <c r="K82" i="13"/>
  <c r="Q82" i="13" s="1"/>
  <c r="R82" i="13" s="1"/>
  <c r="J82" i="13"/>
  <c r="O81" i="13"/>
  <c r="M81" i="13"/>
  <c r="L81" i="13"/>
  <c r="K81" i="13"/>
  <c r="Q81" i="13" s="1"/>
  <c r="J81" i="13"/>
  <c r="O80" i="13"/>
  <c r="M80" i="13"/>
  <c r="L80" i="13"/>
  <c r="K80" i="13"/>
  <c r="P80" i="13" s="1"/>
  <c r="J80" i="13"/>
  <c r="O79" i="13"/>
  <c r="M79" i="13"/>
  <c r="L79" i="13"/>
  <c r="K79" i="13"/>
  <c r="Q79" i="13" s="1"/>
  <c r="R79" i="13" s="1"/>
  <c r="J79" i="13"/>
  <c r="O78" i="13"/>
  <c r="M78" i="13"/>
  <c r="L78" i="13"/>
  <c r="K78" i="13"/>
  <c r="J78" i="13"/>
  <c r="O77" i="13"/>
  <c r="M77" i="13"/>
  <c r="L77" i="13"/>
  <c r="K77" i="13"/>
  <c r="Q77" i="13" s="1"/>
  <c r="R77" i="13" s="1"/>
  <c r="J77" i="13"/>
  <c r="O76" i="13"/>
  <c r="M76" i="13"/>
  <c r="L76" i="13"/>
  <c r="K76" i="13"/>
  <c r="J76" i="13"/>
  <c r="O75" i="13"/>
  <c r="M75" i="13"/>
  <c r="L75" i="13"/>
  <c r="K75" i="13"/>
  <c r="P75" i="13" s="1"/>
  <c r="J75" i="13"/>
  <c r="O74" i="13"/>
  <c r="M74" i="13"/>
  <c r="L74" i="13"/>
  <c r="K74" i="13"/>
  <c r="Q74" i="13" s="1"/>
  <c r="R74" i="13" s="1"/>
  <c r="J74" i="13"/>
  <c r="O73" i="13"/>
  <c r="M73" i="13"/>
  <c r="L73" i="13"/>
  <c r="K73" i="13"/>
  <c r="Q73" i="13" s="1"/>
  <c r="R73" i="13" s="1"/>
  <c r="J73" i="13"/>
  <c r="O72" i="13"/>
  <c r="M72" i="13"/>
  <c r="L72" i="13"/>
  <c r="K72" i="13"/>
  <c r="Q72" i="13" s="1"/>
  <c r="R72" i="13" s="1"/>
  <c r="J72" i="13"/>
  <c r="O71" i="13"/>
  <c r="M71" i="13"/>
  <c r="L71" i="13"/>
  <c r="K71" i="13"/>
  <c r="Q71" i="13" s="1"/>
  <c r="R71" i="13" s="1"/>
  <c r="J71" i="13"/>
  <c r="O70" i="13"/>
  <c r="M70" i="13"/>
  <c r="L70" i="13"/>
  <c r="K70" i="13"/>
  <c r="Q70" i="13" s="1"/>
  <c r="R70" i="13" s="1"/>
  <c r="J70" i="13"/>
  <c r="O69" i="13"/>
  <c r="M69" i="13"/>
  <c r="L69" i="13"/>
  <c r="K69" i="13"/>
  <c r="J69" i="13"/>
  <c r="O68" i="13"/>
  <c r="M68" i="13"/>
  <c r="L68" i="13"/>
  <c r="K68" i="13"/>
  <c r="Q68" i="13" s="1"/>
  <c r="R68" i="13" s="1"/>
  <c r="J68" i="13"/>
  <c r="O67" i="13"/>
  <c r="M67" i="13"/>
  <c r="L67" i="13"/>
  <c r="K67" i="13"/>
  <c r="J67" i="13"/>
  <c r="O66" i="13"/>
  <c r="M66" i="13"/>
  <c r="L66" i="13"/>
  <c r="K66" i="13"/>
  <c r="Q66" i="13" s="1"/>
  <c r="R66" i="13" s="1"/>
  <c r="J66" i="13"/>
  <c r="O65" i="13"/>
  <c r="M65" i="13"/>
  <c r="L65" i="13"/>
  <c r="K65" i="13"/>
  <c r="Q65" i="13" s="1"/>
  <c r="R65" i="13" s="1"/>
  <c r="J65" i="13"/>
  <c r="O64" i="13"/>
  <c r="M64" i="13"/>
  <c r="L64" i="13"/>
  <c r="K64" i="13"/>
  <c r="P64" i="13" s="1"/>
  <c r="J64" i="13"/>
  <c r="O63" i="13"/>
  <c r="M63" i="13"/>
  <c r="L63" i="13"/>
  <c r="K63" i="13"/>
  <c r="Q63" i="13" s="1"/>
  <c r="R63" i="13" s="1"/>
  <c r="J63" i="13"/>
  <c r="O62" i="13"/>
  <c r="M62" i="13"/>
  <c r="L62" i="13"/>
  <c r="K62" i="13"/>
  <c r="P62" i="13" s="1"/>
  <c r="J62" i="13"/>
  <c r="O61" i="13"/>
  <c r="M61" i="13"/>
  <c r="L61" i="13"/>
  <c r="K61" i="13"/>
  <c r="Q61" i="13" s="1"/>
  <c r="R61" i="13" s="1"/>
  <c r="J61" i="13"/>
  <c r="O60" i="13"/>
  <c r="M60" i="13"/>
  <c r="L60" i="13"/>
  <c r="K60" i="13"/>
  <c r="Q60" i="13" s="1"/>
  <c r="R60" i="13" s="1"/>
  <c r="J60" i="13"/>
  <c r="O59" i="13"/>
  <c r="M59" i="13"/>
  <c r="L59" i="13"/>
  <c r="K59" i="13"/>
  <c r="Q59" i="13" s="1"/>
  <c r="R59" i="13" s="1"/>
  <c r="J59" i="13"/>
  <c r="O58" i="13"/>
  <c r="M58" i="13"/>
  <c r="L58" i="13"/>
  <c r="K58" i="13"/>
  <c r="J58" i="13"/>
  <c r="O57" i="13"/>
  <c r="M57" i="13"/>
  <c r="L57" i="13"/>
  <c r="K57" i="13"/>
  <c r="P57" i="13" s="1"/>
  <c r="J57" i="13"/>
  <c r="O56" i="13"/>
  <c r="M56" i="13"/>
  <c r="L56" i="13"/>
  <c r="K56" i="13"/>
  <c r="Q56" i="13" s="1"/>
  <c r="R56" i="13" s="1"/>
  <c r="J56" i="13"/>
  <c r="O55" i="13"/>
  <c r="M55" i="13"/>
  <c r="L55" i="13"/>
  <c r="K55" i="13"/>
  <c r="P55" i="13" s="1"/>
  <c r="J55" i="13"/>
  <c r="O54" i="13"/>
  <c r="M54" i="13"/>
  <c r="L54" i="13"/>
  <c r="K54" i="13"/>
  <c r="Q54" i="13" s="1"/>
  <c r="R54" i="13" s="1"/>
  <c r="J54" i="13"/>
  <c r="O53" i="13"/>
  <c r="M53" i="13"/>
  <c r="L53" i="13"/>
  <c r="K53" i="13"/>
  <c r="P53" i="13" s="1"/>
  <c r="J53" i="13"/>
  <c r="O52" i="13"/>
  <c r="M52" i="13"/>
  <c r="L52" i="13"/>
  <c r="K52" i="13"/>
  <c r="P52" i="13" s="1"/>
  <c r="J52" i="13"/>
  <c r="O51" i="13"/>
  <c r="M51" i="13"/>
  <c r="L51" i="13"/>
  <c r="K51" i="13"/>
  <c r="Q51" i="13" s="1"/>
  <c r="R51" i="13" s="1"/>
  <c r="J51" i="13"/>
  <c r="O50" i="13"/>
  <c r="M50" i="13"/>
  <c r="L50" i="13"/>
  <c r="K50" i="13"/>
  <c r="Q50" i="13" s="1"/>
  <c r="R50" i="13" s="1"/>
  <c r="J50" i="13"/>
  <c r="O49" i="13"/>
  <c r="M49" i="13"/>
  <c r="L49" i="13"/>
  <c r="K49" i="13"/>
  <c r="J49" i="13"/>
  <c r="O48" i="13"/>
  <c r="M48" i="13"/>
  <c r="L48" i="13"/>
  <c r="K48" i="13"/>
  <c r="P48" i="13" s="1"/>
  <c r="J48" i="13"/>
  <c r="O47" i="13"/>
  <c r="M47" i="13"/>
  <c r="L47" i="13"/>
  <c r="K47" i="13"/>
  <c r="J47" i="13"/>
  <c r="O46" i="13"/>
  <c r="M46" i="13"/>
  <c r="L46" i="13"/>
  <c r="K46" i="13"/>
  <c r="Q46" i="13" s="1"/>
  <c r="R46" i="13" s="1"/>
  <c r="J46" i="13"/>
  <c r="O45" i="13"/>
  <c r="M45" i="13"/>
  <c r="L45" i="13"/>
  <c r="K45" i="13"/>
  <c r="Q45" i="13" s="1"/>
  <c r="R45" i="13" s="1"/>
  <c r="J45" i="13"/>
  <c r="O44" i="13"/>
  <c r="M44" i="13"/>
  <c r="L44" i="13"/>
  <c r="K44" i="13"/>
  <c r="P44" i="13" s="1"/>
  <c r="J44" i="13"/>
  <c r="O43" i="13"/>
  <c r="M43" i="13"/>
  <c r="L43" i="13"/>
  <c r="K43" i="13"/>
  <c r="Q43" i="13" s="1"/>
  <c r="R43" i="13" s="1"/>
  <c r="J43" i="13"/>
  <c r="O42" i="13"/>
  <c r="M42" i="13"/>
  <c r="L42" i="13"/>
  <c r="K42" i="13"/>
  <c r="P42" i="13" s="1"/>
  <c r="J42" i="13"/>
  <c r="O41" i="13"/>
  <c r="M41" i="13"/>
  <c r="L41" i="13"/>
  <c r="K41" i="13"/>
  <c r="P41" i="13" s="1"/>
  <c r="J41" i="13"/>
  <c r="O40" i="13"/>
  <c r="M40" i="13"/>
  <c r="L40" i="13"/>
  <c r="K40" i="13"/>
  <c r="P40" i="13" s="1"/>
  <c r="J40" i="13"/>
  <c r="O39" i="13"/>
  <c r="M39" i="13"/>
  <c r="L39" i="13"/>
  <c r="K39" i="13"/>
  <c r="Q39" i="13" s="1"/>
  <c r="R39" i="13" s="1"/>
  <c r="J39" i="13"/>
  <c r="O38" i="13"/>
  <c r="M38" i="13"/>
  <c r="L38" i="13"/>
  <c r="K38" i="13"/>
  <c r="P38" i="13" s="1"/>
  <c r="J38" i="13"/>
  <c r="O37" i="13"/>
  <c r="M37" i="13"/>
  <c r="L37" i="13"/>
  <c r="K37" i="13"/>
  <c r="Q37" i="13" s="1"/>
  <c r="R37" i="13" s="1"/>
  <c r="J37" i="13"/>
  <c r="O36" i="13"/>
  <c r="M36" i="13"/>
  <c r="L36" i="13"/>
  <c r="K36" i="13"/>
  <c r="Q36" i="13" s="1"/>
  <c r="R36" i="13" s="1"/>
  <c r="J36" i="13"/>
  <c r="O35" i="13"/>
  <c r="M35" i="13"/>
  <c r="L35" i="13"/>
  <c r="K35" i="13"/>
  <c r="P35" i="13" s="1"/>
  <c r="J35" i="13"/>
  <c r="O34" i="13"/>
  <c r="M34" i="13"/>
  <c r="L34" i="13"/>
  <c r="K34" i="13"/>
  <c r="P34" i="13" s="1"/>
  <c r="J34" i="13"/>
  <c r="O33" i="13"/>
  <c r="M33" i="13"/>
  <c r="L33" i="13"/>
  <c r="K33" i="13"/>
  <c r="Q33" i="13" s="1"/>
  <c r="R33" i="13" s="1"/>
  <c r="J33" i="13"/>
  <c r="O32" i="13"/>
  <c r="M32" i="13"/>
  <c r="L32" i="13"/>
  <c r="K32" i="13"/>
  <c r="Q32" i="13" s="1"/>
  <c r="R32" i="13" s="1"/>
  <c r="J32" i="13"/>
  <c r="O31" i="13"/>
  <c r="M31" i="13"/>
  <c r="L31" i="13"/>
  <c r="K31" i="13"/>
  <c r="P31" i="13" s="1"/>
  <c r="J31" i="13"/>
  <c r="O30" i="13"/>
  <c r="M30" i="13"/>
  <c r="L30" i="13"/>
  <c r="K30" i="13"/>
  <c r="Q30" i="13" s="1"/>
  <c r="J30" i="13"/>
  <c r="O29" i="13"/>
  <c r="M29" i="13"/>
  <c r="L29" i="13"/>
  <c r="K29" i="13"/>
  <c r="J29" i="13"/>
  <c r="O28" i="13"/>
  <c r="M28" i="13"/>
  <c r="L28" i="13"/>
  <c r="K28" i="13"/>
  <c r="Q28" i="13" s="1"/>
  <c r="R28" i="13" s="1"/>
  <c r="J28" i="13"/>
  <c r="O27" i="13"/>
  <c r="M27" i="13"/>
  <c r="L27" i="13"/>
  <c r="K27" i="13"/>
  <c r="J27" i="13"/>
  <c r="O26" i="13"/>
  <c r="M26" i="13"/>
  <c r="L26" i="13"/>
  <c r="K26" i="13"/>
  <c r="Q26" i="13" s="1"/>
  <c r="R26" i="13" s="1"/>
  <c r="J26" i="13"/>
  <c r="O25" i="13"/>
  <c r="M25" i="13"/>
  <c r="L25" i="13"/>
  <c r="K25" i="13"/>
  <c r="Q25" i="13" s="1"/>
  <c r="R25" i="13" s="1"/>
  <c r="J25" i="13"/>
  <c r="O24" i="13"/>
  <c r="M24" i="13"/>
  <c r="L24" i="13"/>
  <c r="K24" i="13"/>
  <c r="Q24" i="13" s="1"/>
  <c r="R24" i="13" s="1"/>
  <c r="J24" i="13"/>
  <c r="O23" i="13"/>
  <c r="M23" i="13"/>
  <c r="L23" i="13"/>
  <c r="K23" i="13"/>
  <c r="Q23" i="13" s="1"/>
  <c r="R23" i="13" s="1"/>
  <c r="J23" i="13"/>
  <c r="O22" i="13"/>
  <c r="M22" i="13"/>
  <c r="L22" i="13"/>
  <c r="K22" i="13"/>
  <c r="Q22" i="13" s="1"/>
  <c r="R22" i="13" s="1"/>
  <c r="J22" i="13"/>
  <c r="O21" i="13"/>
  <c r="M21" i="13"/>
  <c r="L21" i="13"/>
  <c r="K21" i="13"/>
  <c r="Q21" i="13" s="1"/>
  <c r="R21" i="13" s="1"/>
  <c r="J21" i="13"/>
  <c r="O20" i="13"/>
  <c r="M20" i="13"/>
  <c r="L20" i="13"/>
  <c r="K20" i="13"/>
  <c r="J20" i="13"/>
  <c r="O19" i="13"/>
  <c r="M19" i="13"/>
  <c r="L19" i="13"/>
  <c r="K19" i="13"/>
  <c r="Q19" i="13" s="1"/>
  <c r="J19" i="13"/>
  <c r="O18" i="13"/>
  <c r="M18" i="13"/>
  <c r="L18" i="13"/>
  <c r="K18" i="13"/>
  <c r="J18" i="13"/>
  <c r="O17" i="13"/>
  <c r="M17" i="13"/>
  <c r="L17" i="13"/>
  <c r="K17" i="13"/>
  <c r="Q17" i="13" s="1"/>
  <c r="R17" i="13" s="1"/>
  <c r="J17" i="13"/>
  <c r="O16" i="13"/>
  <c r="M16" i="13"/>
  <c r="L16" i="13"/>
  <c r="K16" i="13"/>
  <c r="Q16" i="13" s="1"/>
  <c r="J16" i="13"/>
  <c r="O15" i="13"/>
  <c r="M15" i="13"/>
  <c r="L15" i="13"/>
  <c r="K15" i="13"/>
  <c r="P15" i="13" s="1"/>
  <c r="J15" i="13"/>
  <c r="O14" i="13"/>
  <c r="M14" i="13"/>
  <c r="L14" i="13"/>
  <c r="K14" i="13"/>
  <c r="Q14" i="13" s="1"/>
  <c r="R14" i="13" s="1"/>
  <c r="J14" i="13"/>
  <c r="O13" i="13"/>
  <c r="M13" i="13"/>
  <c r="L13" i="13"/>
  <c r="K13" i="13"/>
  <c r="Q13" i="13" s="1"/>
  <c r="R13" i="13" s="1"/>
  <c r="J13" i="13"/>
  <c r="O12" i="13"/>
  <c r="M12" i="13"/>
  <c r="L12" i="13"/>
  <c r="K12" i="13"/>
  <c r="Q12" i="13" s="1"/>
  <c r="J12" i="13"/>
  <c r="O11" i="13"/>
  <c r="M11" i="13"/>
  <c r="L11" i="13"/>
  <c r="K11" i="13"/>
  <c r="J11" i="13"/>
  <c r="O10" i="13"/>
  <c r="M10" i="13"/>
  <c r="L10" i="13"/>
  <c r="K10" i="13"/>
  <c r="P10" i="13" s="1"/>
  <c r="J10" i="13"/>
  <c r="O9" i="13"/>
  <c r="M9" i="13"/>
  <c r="L9" i="13"/>
  <c r="K9" i="13"/>
  <c r="Q9" i="13" s="1"/>
  <c r="J9" i="13"/>
  <c r="O8" i="13"/>
  <c r="M8" i="13"/>
  <c r="L8" i="13"/>
  <c r="K8" i="13"/>
  <c r="P8" i="13" s="1"/>
  <c r="J8" i="13"/>
  <c r="O7" i="13"/>
  <c r="M7" i="13"/>
  <c r="L7" i="13"/>
  <c r="K7" i="13"/>
  <c r="P7" i="13" s="1"/>
  <c r="J7" i="13"/>
  <c r="O6" i="13"/>
  <c r="M6" i="13"/>
  <c r="L6" i="13"/>
  <c r="K6" i="13"/>
  <c r="Q6" i="13" s="1"/>
  <c r="J6" i="13"/>
  <c r="O5" i="13"/>
  <c r="M5" i="13"/>
  <c r="L5" i="13"/>
  <c r="K5" i="13"/>
  <c r="Q5" i="13" s="1"/>
  <c r="R5" i="13" s="1"/>
  <c r="J5" i="13"/>
  <c r="O4" i="13"/>
  <c r="M4" i="13"/>
  <c r="L4" i="13"/>
  <c r="K4" i="13"/>
  <c r="J4" i="13"/>
  <c r="H1" i="13"/>
  <c r="G1" i="13"/>
  <c r="J1" i="13" s="1"/>
  <c r="H1" i="9"/>
  <c r="G1" i="9"/>
  <c r="J1" i="9" s="1"/>
  <c r="H1" i="8"/>
  <c r="G1" i="8"/>
  <c r="H1" i="7"/>
  <c r="G1" i="7"/>
  <c r="I1" i="7" s="1"/>
  <c r="H1" i="6"/>
  <c r="G1" i="6"/>
  <c r="I1" i="6" s="1"/>
  <c r="H1" i="5"/>
  <c r="G1" i="5"/>
  <c r="H1" i="2"/>
  <c r="G1" i="2"/>
  <c r="O312" i="12"/>
  <c r="M312" i="12"/>
  <c r="L312" i="12"/>
  <c r="K312" i="12"/>
  <c r="J312" i="12"/>
  <c r="O311" i="12"/>
  <c r="M311" i="12"/>
  <c r="L311" i="12"/>
  <c r="K311" i="12"/>
  <c r="Q311" i="12" s="1"/>
  <c r="J311" i="12"/>
  <c r="O310" i="12"/>
  <c r="M310" i="12"/>
  <c r="L310" i="12"/>
  <c r="K310" i="12"/>
  <c r="Q310" i="12" s="1"/>
  <c r="J310" i="12"/>
  <c r="O309" i="12"/>
  <c r="M309" i="12"/>
  <c r="L309" i="12"/>
  <c r="K309" i="12"/>
  <c r="Q309" i="12" s="1"/>
  <c r="J309" i="12"/>
  <c r="O308" i="12"/>
  <c r="M308" i="12"/>
  <c r="L308" i="12"/>
  <c r="K308" i="12"/>
  <c r="J308" i="12"/>
  <c r="O307" i="12"/>
  <c r="M307" i="12"/>
  <c r="L307" i="12"/>
  <c r="K307" i="12"/>
  <c r="Q307" i="12" s="1"/>
  <c r="J307" i="12"/>
  <c r="O306" i="12"/>
  <c r="M306" i="12"/>
  <c r="L306" i="12"/>
  <c r="K306" i="12"/>
  <c r="Q306" i="12" s="1"/>
  <c r="J306" i="12"/>
  <c r="O305" i="12"/>
  <c r="M305" i="12"/>
  <c r="L305" i="12"/>
  <c r="K305" i="12"/>
  <c r="Q305" i="12" s="1"/>
  <c r="J305" i="12"/>
  <c r="O304" i="12"/>
  <c r="M304" i="12"/>
  <c r="L304" i="12"/>
  <c r="K304" i="12"/>
  <c r="Q304" i="12" s="1"/>
  <c r="J304" i="12"/>
  <c r="O303" i="12"/>
  <c r="M303" i="12"/>
  <c r="L303" i="12"/>
  <c r="K303" i="12"/>
  <c r="J303" i="12"/>
  <c r="O302" i="12"/>
  <c r="M302" i="12"/>
  <c r="L302" i="12"/>
  <c r="K302" i="12"/>
  <c r="Q302" i="12" s="1"/>
  <c r="J302" i="12"/>
  <c r="O301" i="12"/>
  <c r="M301" i="12"/>
  <c r="L301" i="12"/>
  <c r="K301" i="12"/>
  <c r="Q301" i="12" s="1"/>
  <c r="J301" i="12"/>
  <c r="O300" i="12"/>
  <c r="M300" i="12"/>
  <c r="L300" i="12"/>
  <c r="K300" i="12"/>
  <c r="J300" i="12"/>
  <c r="O299" i="12"/>
  <c r="M299" i="12"/>
  <c r="L299" i="12"/>
  <c r="K299" i="12"/>
  <c r="J299" i="12"/>
  <c r="O298" i="12"/>
  <c r="M298" i="12"/>
  <c r="L298" i="12"/>
  <c r="K298" i="12"/>
  <c r="J298" i="12"/>
  <c r="O297" i="12"/>
  <c r="M297" i="12"/>
  <c r="L297" i="12"/>
  <c r="K297" i="12"/>
  <c r="Q297" i="12" s="1"/>
  <c r="J297" i="12"/>
  <c r="O296" i="12"/>
  <c r="M296" i="12"/>
  <c r="L296" i="12"/>
  <c r="K296" i="12"/>
  <c r="Q296" i="12" s="1"/>
  <c r="J296" i="12"/>
  <c r="O295" i="12"/>
  <c r="M295" i="12"/>
  <c r="L295" i="12"/>
  <c r="K295" i="12"/>
  <c r="Q295" i="12" s="1"/>
  <c r="J295" i="12"/>
  <c r="O294" i="12"/>
  <c r="M294" i="12"/>
  <c r="L294" i="12"/>
  <c r="K294" i="12"/>
  <c r="Q294" i="12" s="1"/>
  <c r="J294" i="12"/>
  <c r="O293" i="12"/>
  <c r="M293" i="12"/>
  <c r="L293" i="12"/>
  <c r="K293" i="12"/>
  <c r="J293" i="12"/>
  <c r="O292" i="12"/>
  <c r="M292" i="12"/>
  <c r="L292" i="12"/>
  <c r="K292" i="12"/>
  <c r="Q292" i="12" s="1"/>
  <c r="J292" i="12"/>
  <c r="O291" i="12"/>
  <c r="M291" i="12"/>
  <c r="L291" i="12"/>
  <c r="K291" i="12"/>
  <c r="J291" i="12"/>
  <c r="O290" i="12"/>
  <c r="M290" i="12"/>
  <c r="L290" i="12"/>
  <c r="K290" i="12"/>
  <c r="Q290" i="12" s="1"/>
  <c r="R290" i="12" s="1"/>
  <c r="J290" i="12"/>
  <c r="O289" i="12"/>
  <c r="M289" i="12"/>
  <c r="L289" i="12"/>
  <c r="K289" i="12"/>
  <c r="J289" i="12"/>
  <c r="O288" i="12"/>
  <c r="M288" i="12"/>
  <c r="L288" i="12"/>
  <c r="K288" i="12"/>
  <c r="Q288" i="12" s="1"/>
  <c r="J288" i="12"/>
  <c r="O287" i="12"/>
  <c r="M287" i="12"/>
  <c r="L287" i="12"/>
  <c r="K287" i="12"/>
  <c r="J287" i="12"/>
  <c r="O286" i="12"/>
  <c r="M286" i="12"/>
  <c r="L286" i="12"/>
  <c r="K286" i="12"/>
  <c r="Q286" i="12" s="1"/>
  <c r="J286" i="12"/>
  <c r="O285" i="12"/>
  <c r="M285" i="12"/>
  <c r="L285" i="12"/>
  <c r="K285" i="12"/>
  <c r="J285" i="12"/>
  <c r="O284" i="12"/>
  <c r="M284" i="12"/>
  <c r="L284" i="12"/>
  <c r="K284" i="12"/>
  <c r="Q284" i="12" s="1"/>
  <c r="J284" i="12"/>
  <c r="O283" i="12"/>
  <c r="M283" i="12"/>
  <c r="L283" i="12"/>
  <c r="K283" i="12"/>
  <c r="Q283" i="12" s="1"/>
  <c r="J283" i="12"/>
  <c r="O282" i="12"/>
  <c r="M282" i="12"/>
  <c r="L282" i="12"/>
  <c r="K282" i="12"/>
  <c r="Q282" i="12" s="1"/>
  <c r="J282" i="12"/>
  <c r="O281" i="12"/>
  <c r="M281" i="12"/>
  <c r="L281" i="12"/>
  <c r="K281" i="12"/>
  <c r="J281" i="12"/>
  <c r="O280" i="12"/>
  <c r="M280" i="12"/>
  <c r="L280" i="12"/>
  <c r="K280" i="12"/>
  <c r="P280" i="12" s="1"/>
  <c r="J280" i="12"/>
  <c r="O279" i="12"/>
  <c r="M279" i="12"/>
  <c r="L279" i="12"/>
  <c r="K279" i="12"/>
  <c r="J279" i="12"/>
  <c r="O278" i="12"/>
  <c r="M278" i="12"/>
  <c r="L278" i="12"/>
  <c r="K278" i="12"/>
  <c r="P278" i="12" s="1"/>
  <c r="J278" i="12"/>
  <c r="O277" i="12"/>
  <c r="M277" i="12"/>
  <c r="L277" i="12"/>
  <c r="K277" i="12"/>
  <c r="J277" i="12"/>
  <c r="O276" i="12"/>
  <c r="M276" i="12"/>
  <c r="L276" i="12"/>
  <c r="K276" i="12"/>
  <c r="P276" i="12" s="1"/>
  <c r="J276" i="12"/>
  <c r="O275" i="12"/>
  <c r="M275" i="12"/>
  <c r="L275" i="12"/>
  <c r="K275" i="12"/>
  <c r="J275" i="12"/>
  <c r="O274" i="12"/>
  <c r="M274" i="12"/>
  <c r="L274" i="12"/>
  <c r="K274" i="12"/>
  <c r="Q274" i="12" s="1"/>
  <c r="R274" i="12" s="1"/>
  <c r="J274" i="12"/>
  <c r="O273" i="12"/>
  <c r="M273" i="12"/>
  <c r="L273" i="12"/>
  <c r="K273" i="12"/>
  <c r="Q273" i="12" s="1"/>
  <c r="J273" i="12"/>
  <c r="O272" i="12"/>
  <c r="M272" i="12"/>
  <c r="L272" i="12"/>
  <c r="K272" i="12"/>
  <c r="Q272" i="12" s="1"/>
  <c r="J272" i="12"/>
  <c r="O271" i="12"/>
  <c r="M271" i="12"/>
  <c r="L271" i="12"/>
  <c r="K271" i="12"/>
  <c r="Q271" i="12" s="1"/>
  <c r="J271" i="12"/>
  <c r="O270" i="12"/>
  <c r="M270" i="12"/>
  <c r="L270" i="12"/>
  <c r="K270" i="12"/>
  <c r="Q270" i="12" s="1"/>
  <c r="J270" i="12"/>
  <c r="O269" i="12"/>
  <c r="M269" i="12"/>
  <c r="L269" i="12"/>
  <c r="K269" i="12"/>
  <c r="Q269" i="12" s="1"/>
  <c r="J269" i="12"/>
  <c r="O268" i="12"/>
  <c r="M268" i="12"/>
  <c r="L268" i="12"/>
  <c r="K268" i="12"/>
  <c r="Q268" i="12" s="1"/>
  <c r="J268" i="12"/>
  <c r="O267" i="12"/>
  <c r="M267" i="12"/>
  <c r="L267" i="12"/>
  <c r="K267" i="12"/>
  <c r="Q267" i="12" s="1"/>
  <c r="J267" i="12"/>
  <c r="O266" i="12"/>
  <c r="M266" i="12"/>
  <c r="L266" i="12"/>
  <c r="K266" i="12"/>
  <c r="Q266" i="12" s="1"/>
  <c r="J266" i="12"/>
  <c r="O265" i="12"/>
  <c r="M265" i="12"/>
  <c r="L265" i="12"/>
  <c r="K265" i="12"/>
  <c r="J265" i="12"/>
  <c r="O264" i="12"/>
  <c r="M264" i="12"/>
  <c r="L264" i="12"/>
  <c r="K264" i="12"/>
  <c r="Q264" i="12" s="1"/>
  <c r="R264" i="12" s="1"/>
  <c r="J264" i="12"/>
  <c r="O263" i="12"/>
  <c r="M263" i="12"/>
  <c r="L263" i="12"/>
  <c r="K263" i="12"/>
  <c r="J263" i="12"/>
  <c r="O262" i="12"/>
  <c r="M262" i="12"/>
  <c r="L262" i="12"/>
  <c r="K262" i="12"/>
  <c r="Q262" i="12" s="1"/>
  <c r="R262" i="12" s="1"/>
  <c r="J262" i="12"/>
  <c r="O261" i="12"/>
  <c r="M261" i="12"/>
  <c r="L261" i="12"/>
  <c r="K261" i="12"/>
  <c r="Q261" i="12" s="1"/>
  <c r="R261" i="12" s="1"/>
  <c r="J261" i="12"/>
  <c r="O260" i="12"/>
  <c r="M260" i="12"/>
  <c r="L260" i="12"/>
  <c r="K260" i="12"/>
  <c r="Q260" i="12" s="1"/>
  <c r="R260" i="12" s="1"/>
  <c r="J260" i="12"/>
  <c r="O259" i="12"/>
  <c r="M259" i="12"/>
  <c r="L259" i="12"/>
  <c r="K259" i="12"/>
  <c r="J259" i="12"/>
  <c r="O258" i="12"/>
  <c r="M258" i="12"/>
  <c r="L258" i="12"/>
  <c r="K258" i="12"/>
  <c r="J258" i="12"/>
  <c r="O257" i="12"/>
  <c r="M257" i="12"/>
  <c r="L257" i="12"/>
  <c r="K257" i="12"/>
  <c r="Q257" i="12" s="1"/>
  <c r="R257" i="12" s="1"/>
  <c r="J257" i="12"/>
  <c r="O256" i="12"/>
  <c r="M256" i="12"/>
  <c r="L256" i="12"/>
  <c r="K256" i="12"/>
  <c r="J256" i="12"/>
  <c r="O255" i="12"/>
  <c r="M255" i="12"/>
  <c r="L255" i="12"/>
  <c r="K255" i="12"/>
  <c r="P255" i="12" s="1"/>
  <c r="J255" i="12"/>
  <c r="O254" i="12"/>
  <c r="M254" i="12"/>
  <c r="L254" i="12"/>
  <c r="K254" i="12"/>
  <c r="J254" i="12"/>
  <c r="O253" i="12"/>
  <c r="M253" i="12"/>
  <c r="L253" i="12"/>
  <c r="K253" i="12"/>
  <c r="Q253" i="12" s="1"/>
  <c r="R253" i="12" s="1"/>
  <c r="J253" i="12"/>
  <c r="O252" i="12"/>
  <c r="M252" i="12"/>
  <c r="L252" i="12"/>
  <c r="K252" i="12"/>
  <c r="Q252" i="12" s="1"/>
  <c r="R252" i="12" s="1"/>
  <c r="J252" i="12"/>
  <c r="O251" i="12"/>
  <c r="M251" i="12"/>
  <c r="L251" i="12"/>
  <c r="K251" i="12"/>
  <c r="J251" i="12"/>
  <c r="O250" i="12"/>
  <c r="M250" i="12"/>
  <c r="L250" i="12"/>
  <c r="K250" i="12"/>
  <c r="J250" i="12"/>
  <c r="O249" i="12"/>
  <c r="M249" i="12"/>
  <c r="L249" i="12"/>
  <c r="K249" i="12"/>
  <c r="J249" i="12"/>
  <c r="O248" i="12"/>
  <c r="M248" i="12"/>
  <c r="L248" i="12"/>
  <c r="K248" i="12"/>
  <c r="Q248" i="12" s="1"/>
  <c r="R248" i="12" s="1"/>
  <c r="J248" i="12"/>
  <c r="O247" i="12"/>
  <c r="M247" i="12"/>
  <c r="L247" i="12"/>
  <c r="K247" i="12"/>
  <c r="Q247" i="12" s="1"/>
  <c r="R247" i="12" s="1"/>
  <c r="J247" i="12"/>
  <c r="O246" i="12"/>
  <c r="M246" i="12"/>
  <c r="L246" i="12"/>
  <c r="K246" i="12"/>
  <c r="Q246" i="12" s="1"/>
  <c r="R246" i="12" s="1"/>
  <c r="J246" i="12"/>
  <c r="O245" i="12"/>
  <c r="M245" i="12"/>
  <c r="L245" i="12"/>
  <c r="K245" i="12"/>
  <c r="Q245" i="12" s="1"/>
  <c r="J245" i="12"/>
  <c r="O244" i="12"/>
  <c r="M244" i="12"/>
  <c r="L244" i="12"/>
  <c r="K244" i="12"/>
  <c r="J244" i="12"/>
  <c r="O243" i="12"/>
  <c r="M243" i="12"/>
  <c r="L243" i="12"/>
  <c r="K243" i="12"/>
  <c r="Q243" i="12" s="1"/>
  <c r="R243" i="12" s="1"/>
  <c r="J243" i="12"/>
  <c r="O242" i="12"/>
  <c r="M242" i="12"/>
  <c r="L242" i="12"/>
  <c r="K242" i="12"/>
  <c r="P242" i="12" s="1"/>
  <c r="J242" i="12"/>
  <c r="O241" i="12"/>
  <c r="M241" i="12"/>
  <c r="L241" i="12"/>
  <c r="K241" i="12"/>
  <c r="Q241" i="12" s="1"/>
  <c r="R241" i="12" s="1"/>
  <c r="J241" i="12"/>
  <c r="O240" i="12"/>
  <c r="M240" i="12"/>
  <c r="L240" i="12"/>
  <c r="K240" i="12"/>
  <c r="J240" i="12"/>
  <c r="O239" i="12"/>
  <c r="M239" i="12"/>
  <c r="L239" i="12"/>
  <c r="K239" i="12"/>
  <c r="Q239" i="12" s="1"/>
  <c r="R239" i="12" s="1"/>
  <c r="J239" i="12"/>
  <c r="O238" i="12"/>
  <c r="M238" i="12"/>
  <c r="L238" i="12"/>
  <c r="K238" i="12"/>
  <c r="J238" i="12"/>
  <c r="O237" i="12"/>
  <c r="M237" i="12"/>
  <c r="L237" i="12"/>
  <c r="K237" i="12"/>
  <c r="J237" i="12"/>
  <c r="O236" i="12"/>
  <c r="M236" i="12"/>
  <c r="L236" i="12"/>
  <c r="K236" i="12"/>
  <c r="J236" i="12"/>
  <c r="O235" i="12"/>
  <c r="M235" i="12"/>
  <c r="L235" i="12"/>
  <c r="K235" i="12"/>
  <c r="J235" i="12"/>
  <c r="O234" i="12"/>
  <c r="M234" i="12"/>
  <c r="L234" i="12"/>
  <c r="K234" i="12"/>
  <c r="Q234" i="12" s="1"/>
  <c r="R234" i="12" s="1"/>
  <c r="J234" i="12"/>
  <c r="O233" i="12"/>
  <c r="M233" i="12"/>
  <c r="L233" i="12"/>
  <c r="K233" i="12"/>
  <c r="Q233" i="12" s="1"/>
  <c r="R233" i="12" s="1"/>
  <c r="J233" i="12"/>
  <c r="O232" i="12"/>
  <c r="M232" i="12"/>
  <c r="L232" i="12"/>
  <c r="K232" i="12"/>
  <c r="Q232" i="12" s="1"/>
  <c r="R232" i="12" s="1"/>
  <c r="J232" i="12"/>
  <c r="O231" i="12"/>
  <c r="M231" i="12"/>
  <c r="L231" i="12"/>
  <c r="K231" i="12"/>
  <c r="Q231" i="12" s="1"/>
  <c r="R231" i="12" s="1"/>
  <c r="J231" i="12"/>
  <c r="O230" i="12"/>
  <c r="M230" i="12"/>
  <c r="L230" i="12"/>
  <c r="K230" i="12"/>
  <c r="P230" i="12" s="1"/>
  <c r="J230" i="12"/>
  <c r="O229" i="12"/>
  <c r="M229" i="12"/>
  <c r="L229" i="12"/>
  <c r="K229" i="12"/>
  <c r="P229" i="12" s="1"/>
  <c r="J229" i="12"/>
  <c r="O228" i="12"/>
  <c r="M228" i="12"/>
  <c r="L228" i="12"/>
  <c r="K228" i="12"/>
  <c r="P228" i="12" s="1"/>
  <c r="J228" i="12"/>
  <c r="O227" i="12"/>
  <c r="M227" i="12"/>
  <c r="L227" i="12"/>
  <c r="K227" i="12"/>
  <c r="J227" i="12"/>
  <c r="O226" i="12"/>
  <c r="M226" i="12"/>
  <c r="L226" i="12"/>
  <c r="K226" i="12"/>
  <c r="J226" i="12"/>
  <c r="O225" i="12"/>
  <c r="M225" i="12"/>
  <c r="L225" i="12"/>
  <c r="K225" i="12"/>
  <c r="J225" i="12"/>
  <c r="O224" i="12"/>
  <c r="M224" i="12"/>
  <c r="L224" i="12"/>
  <c r="K224" i="12"/>
  <c r="J224" i="12"/>
  <c r="O223" i="12"/>
  <c r="M223" i="12"/>
  <c r="L223" i="12"/>
  <c r="K223" i="12"/>
  <c r="P223" i="12" s="1"/>
  <c r="J223" i="12"/>
  <c r="O222" i="12"/>
  <c r="M222" i="12"/>
  <c r="L222" i="12"/>
  <c r="K222" i="12"/>
  <c r="P222" i="12" s="1"/>
  <c r="J222" i="12"/>
  <c r="O221" i="12"/>
  <c r="M221" i="12"/>
  <c r="L221" i="12"/>
  <c r="K221" i="12"/>
  <c r="P221" i="12" s="1"/>
  <c r="J221" i="12"/>
  <c r="O220" i="12"/>
  <c r="M220" i="12"/>
  <c r="L220" i="12"/>
  <c r="K220" i="12"/>
  <c r="P220" i="12" s="1"/>
  <c r="J220" i="12"/>
  <c r="O219" i="12"/>
  <c r="M219" i="12"/>
  <c r="L219" i="12"/>
  <c r="K219" i="12"/>
  <c r="P219" i="12" s="1"/>
  <c r="J219" i="12"/>
  <c r="O218" i="12"/>
  <c r="M218" i="12"/>
  <c r="L218" i="12"/>
  <c r="K218" i="12"/>
  <c r="P218" i="12" s="1"/>
  <c r="J218" i="12"/>
  <c r="O217" i="12"/>
  <c r="M217" i="12"/>
  <c r="L217" i="12"/>
  <c r="K217" i="12"/>
  <c r="Q217" i="12" s="1"/>
  <c r="R217" i="12" s="1"/>
  <c r="J217" i="12"/>
  <c r="O216" i="12"/>
  <c r="M216" i="12"/>
  <c r="L216" i="12"/>
  <c r="K216" i="12"/>
  <c r="J216" i="12"/>
  <c r="O215" i="12"/>
  <c r="M215" i="12"/>
  <c r="L215" i="12"/>
  <c r="K215" i="12"/>
  <c r="Q215" i="12" s="1"/>
  <c r="R215" i="12" s="1"/>
  <c r="J215" i="12"/>
  <c r="O214" i="12"/>
  <c r="M214" i="12"/>
  <c r="L214" i="12"/>
  <c r="K214" i="12"/>
  <c r="P214" i="12" s="1"/>
  <c r="J214" i="12"/>
  <c r="O213" i="12"/>
  <c r="M213" i="12"/>
  <c r="L213" i="12"/>
  <c r="K213" i="12"/>
  <c r="J213" i="12"/>
  <c r="O212" i="12"/>
  <c r="M212" i="12"/>
  <c r="L212" i="12"/>
  <c r="K212" i="12"/>
  <c r="P212" i="12" s="1"/>
  <c r="J212" i="12"/>
  <c r="O211" i="12"/>
  <c r="M211" i="12"/>
  <c r="L211" i="12"/>
  <c r="K211" i="12"/>
  <c r="J211" i="12"/>
  <c r="O210" i="12"/>
  <c r="M210" i="12"/>
  <c r="L210" i="12"/>
  <c r="K210" i="12"/>
  <c r="J210" i="12"/>
  <c r="O209" i="12"/>
  <c r="M209" i="12"/>
  <c r="L209" i="12"/>
  <c r="K209" i="12"/>
  <c r="P209" i="12" s="1"/>
  <c r="J209" i="12"/>
  <c r="O208" i="12"/>
  <c r="M208" i="12"/>
  <c r="L208" i="12"/>
  <c r="K208" i="12"/>
  <c r="Q208" i="12" s="1"/>
  <c r="R208" i="12" s="1"/>
  <c r="J208" i="12"/>
  <c r="O207" i="12"/>
  <c r="M207" i="12"/>
  <c r="L207" i="12"/>
  <c r="K207" i="12"/>
  <c r="P207" i="12" s="1"/>
  <c r="J207" i="12"/>
  <c r="O206" i="12"/>
  <c r="M206" i="12"/>
  <c r="L206" i="12"/>
  <c r="K206" i="12"/>
  <c r="P206" i="12" s="1"/>
  <c r="J206" i="12"/>
  <c r="O205" i="12"/>
  <c r="M205" i="12"/>
  <c r="L205" i="12"/>
  <c r="K205" i="12"/>
  <c r="Q205" i="12" s="1"/>
  <c r="R205" i="12" s="1"/>
  <c r="J205" i="12"/>
  <c r="O204" i="12"/>
  <c r="M204" i="12"/>
  <c r="L204" i="12"/>
  <c r="K204" i="12"/>
  <c r="J204" i="12"/>
  <c r="O203" i="12"/>
  <c r="M203" i="12"/>
  <c r="L203" i="12"/>
  <c r="K203" i="12"/>
  <c r="Q203" i="12" s="1"/>
  <c r="R203" i="12" s="1"/>
  <c r="J203" i="12"/>
  <c r="O202" i="12"/>
  <c r="M202" i="12"/>
  <c r="L202" i="12"/>
  <c r="K202" i="12"/>
  <c r="J202" i="12"/>
  <c r="O201" i="12"/>
  <c r="M201" i="12"/>
  <c r="L201" i="12"/>
  <c r="K201" i="12"/>
  <c r="Q201" i="12" s="1"/>
  <c r="R201" i="12" s="1"/>
  <c r="J201" i="12"/>
  <c r="O200" i="12"/>
  <c r="M200" i="12"/>
  <c r="L200" i="12"/>
  <c r="K200" i="12"/>
  <c r="J200" i="12"/>
  <c r="O199" i="12"/>
  <c r="M199" i="12"/>
  <c r="L199" i="12"/>
  <c r="K199" i="12"/>
  <c r="P199" i="12" s="1"/>
  <c r="J199" i="12"/>
  <c r="O198" i="12"/>
  <c r="M198" i="12"/>
  <c r="L198" i="12"/>
  <c r="K198" i="12"/>
  <c r="Q198" i="12" s="1"/>
  <c r="R198" i="12" s="1"/>
  <c r="J198" i="12"/>
  <c r="O197" i="12"/>
  <c r="M197" i="12"/>
  <c r="L197" i="12"/>
  <c r="K197" i="12"/>
  <c r="J197" i="12"/>
  <c r="O196" i="12"/>
  <c r="M196" i="12"/>
  <c r="L196" i="12"/>
  <c r="K196" i="12"/>
  <c r="Q196" i="12" s="1"/>
  <c r="R196" i="12" s="1"/>
  <c r="J196" i="12"/>
  <c r="O195" i="12"/>
  <c r="M195" i="12"/>
  <c r="L195" i="12"/>
  <c r="K195" i="12"/>
  <c r="P195" i="12" s="1"/>
  <c r="J195" i="12"/>
  <c r="O194" i="12"/>
  <c r="M194" i="12"/>
  <c r="L194" i="12"/>
  <c r="K194" i="12"/>
  <c r="Q194" i="12" s="1"/>
  <c r="R194" i="12" s="1"/>
  <c r="J194" i="12"/>
  <c r="O193" i="12"/>
  <c r="M193" i="12"/>
  <c r="L193" i="12"/>
  <c r="K193" i="12"/>
  <c r="P193" i="12" s="1"/>
  <c r="J193" i="12"/>
  <c r="O192" i="12"/>
  <c r="M192" i="12"/>
  <c r="L192" i="12"/>
  <c r="K192" i="12"/>
  <c r="J192" i="12"/>
  <c r="O191" i="12"/>
  <c r="M191" i="12"/>
  <c r="L191" i="12"/>
  <c r="K191" i="12"/>
  <c r="J191" i="12"/>
  <c r="O190" i="12"/>
  <c r="M190" i="12"/>
  <c r="L190" i="12"/>
  <c r="K190" i="12"/>
  <c r="P190" i="12" s="1"/>
  <c r="J190" i="12"/>
  <c r="O189" i="12"/>
  <c r="M189" i="12"/>
  <c r="L189" i="12"/>
  <c r="K189" i="12"/>
  <c r="J189" i="12"/>
  <c r="O188" i="12"/>
  <c r="M188" i="12"/>
  <c r="L188" i="12"/>
  <c r="K188" i="12"/>
  <c r="P188" i="12" s="1"/>
  <c r="J188" i="12"/>
  <c r="O187" i="12"/>
  <c r="M187" i="12"/>
  <c r="L187" i="12"/>
  <c r="K187" i="12"/>
  <c r="J187" i="12"/>
  <c r="O186" i="12"/>
  <c r="M186" i="12"/>
  <c r="L186" i="12"/>
  <c r="K186" i="12"/>
  <c r="P186" i="12" s="1"/>
  <c r="J186" i="12"/>
  <c r="O185" i="12"/>
  <c r="M185" i="12"/>
  <c r="L185" i="12"/>
  <c r="K185" i="12"/>
  <c r="Q185" i="12" s="1"/>
  <c r="R185" i="12" s="1"/>
  <c r="J185" i="12"/>
  <c r="O184" i="12"/>
  <c r="M184" i="12"/>
  <c r="L184" i="12"/>
  <c r="K184" i="12"/>
  <c r="J184" i="12"/>
  <c r="O183" i="12"/>
  <c r="M183" i="12"/>
  <c r="L183" i="12"/>
  <c r="K183" i="12"/>
  <c r="Q183" i="12" s="1"/>
  <c r="R183" i="12" s="1"/>
  <c r="J183" i="12"/>
  <c r="O182" i="12"/>
  <c r="M182" i="12"/>
  <c r="L182" i="12"/>
  <c r="K182" i="12"/>
  <c r="J182" i="12"/>
  <c r="O181" i="12"/>
  <c r="M181" i="12"/>
  <c r="L181" i="12"/>
  <c r="K181" i="12"/>
  <c r="J181" i="12"/>
  <c r="O180" i="12"/>
  <c r="M180" i="12"/>
  <c r="L180" i="12"/>
  <c r="K180" i="12"/>
  <c r="P180" i="12" s="1"/>
  <c r="J180" i="12"/>
  <c r="O179" i="12"/>
  <c r="M179" i="12"/>
  <c r="L179" i="12"/>
  <c r="K179" i="12"/>
  <c r="J179" i="12"/>
  <c r="O178" i="12"/>
  <c r="M178" i="12"/>
  <c r="L178" i="12"/>
  <c r="K178" i="12"/>
  <c r="Q178" i="12" s="1"/>
  <c r="R178" i="12" s="1"/>
  <c r="J178" i="12"/>
  <c r="O177" i="12"/>
  <c r="M177" i="12"/>
  <c r="L177" i="12"/>
  <c r="K177" i="12"/>
  <c r="J177" i="12"/>
  <c r="O176" i="12"/>
  <c r="M176" i="12"/>
  <c r="L176" i="12"/>
  <c r="K176" i="12"/>
  <c r="Q176" i="12" s="1"/>
  <c r="R176" i="12" s="1"/>
  <c r="J176" i="12"/>
  <c r="O175" i="12"/>
  <c r="M175" i="12"/>
  <c r="L175" i="12"/>
  <c r="K175" i="12"/>
  <c r="J175" i="12"/>
  <c r="O174" i="12"/>
  <c r="M174" i="12"/>
  <c r="L174" i="12"/>
  <c r="K174" i="12"/>
  <c r="J174" i="12"/>
  <c r="O173" i="12"/>
  <c r="M173" i="12"/>
  <c r="L173" i="12"/>
  <c r="K173" i="12"/>
  <c r="Q173" i="12" s="1"/>
  <c r="R173" i="12" s="1"/>
  <c r="J173" i="12"/>
  <c r="O172" i="12"/>
  <c r="M172" i="12"/>
  <c r="L172" i="12"/>
  <c r="K172" i="12"/>
  <c r="P172" i="12" s="1"/>
  <c r="J172" i="12"/>
  <c r="O171" i="12"/>
  <c r="M171" i="12"/>
  <c r="L171" i="12"/>
  <c r="K171" i="12"/>
  <c r="P171" i="12" s="1"/>
  <c r="J171" i="12"/>
  <c r="O170" i="12"/>
  <c r="M170" i="12"/>
  <c r="L170" i="12"/>
  <c r="K170" i="12"/>
  <c r="J170" i="12"/>
  <c r="O169" i="12"/>
  <c r="M169" i="12"/>
  <c r="L169" i="12"/>
  <c r="K169" i="12"/>
  <c r="Q169" i="12" s="1"/>
  <c r="R169" i="12" s="1"/>
  <c r="J169" i="12"/>
  <c r="O168" i="12"/>
  <c r="M168" i="12"/>
  <c r="L168" i="12"/>
  <c r="K168" i="12"/>
  <c r="Q168" i="12" s="1"/>
  <c r="R168" i="12" s="1"/>
  <c r="J168" i="12"/>
  <c r="O167" i="12"/>
  <c r="M167" i="12"/>
  <c r="L167" i="12"/>
  <c r="K167" i="12"/>
  <c r="J167" i="12"/>
  <c r="O166" i="12"/>
  <c r="M166" i="12"/>
  <c r="L166" i="12"/>
  <c r="K166" i="12"/>
  <c r="J166" i="12"/>
  <c r="O165" i="12"/>
  <c r="M165" i="12"/>
  <c r="L165" i="12"/>
  <c r="K165" i="12"/>
  <c r="J165" i="12"/>
  <c r="O164" i="12"/>
  <c r="M164" i="12"/>
  <c r="L164" i="12"/>
  <c r="K164" i="12"/>
  <c r="Q164" i="12" s="1"/>
  <c r="R164" i="12" s="1"/>
  <c r="J164" i="12"/>
  <c r="O163" i="12"/>
  <c r="M163" i="12"/>
  <c r="L163" i="12"/>
  <c r="K163" i="12"/>
  <c r="P163" i="12" s="1"/>
  <c r="J163" i="12"/>
  <c r="O162" i="12"/>
  <c r="M162" i="12"/>
  <c r="L162" i="12"/>
  <c r="K162" i="12"/>
  <c r="Q162" i="12" s="1"/>
  <c r="J162" i="12"/>
  <c r="O161" i="12"/>
  <c r="M161" i="12"/>
  <c r="L161" i="12"/>
  <c r="K161" i="12"/>
  <c r="J161" i="12"/>
  <c r="O160" i="12"/>
  <c r="M160" i="12"/>
  <c r="L160" i="12"/>
  <c r="K160" i="12"/>
  <c r="P160" i="12" s="1"/>
  <c r="J160" i="12"/>
  <c r="O159" i="12"/>
  <c r="M159" i="12"/>
  <c r="L159" i="12"/>
  <c r="K159" i="12"/>
  <c r="J159" i="12"/>
  <c r="O158" i="12"/>
  <c r="M158" i="12"/>
  <c r="L158" i="12"/>
  <c r="K158" i="12"/>
  <c r="J158" i="12"/>
  <c r="O157" i="12"/>
  <c r="M157" i="12"/>
  <c r="L157" i="12"/>
  <c r="K157" i="12"/>
  <c r="P157" i="12" s="1"/>
  <c r="J157" i="12"/>
  <c r="O156" i="12"/>
  <c r="M156" i="12"/>
  <c r="L156" i="12"/>
  <c r="K156" i="12"/>
  <c r="J156" i="12"/>
  <c r="O155" i="12"/>
  <c r="M155" i="12"/>
  <c r="L155" i="12"/>
  <c r="K155" i="12"/>
  <c r="P155" i="12" s="1"/>
  <c r="J155" i="12"/>
  <c r="O154" i="12"/>
  <c r="M154" i="12"/>
  <c r="L154" i="12"/>
  <c r="K154" i="12"/>
  <c r="J154" i="12"/>
  <c r="O153" i="12"/>
  <c r="M153" i="12"/>
  <c r="L153" i="12"/>
  <c r="K153" i="12"/>
  <c r="J153" i="12"/>
  <c r="O152" i="12"/>
  <c r="M152" i="12"/>
  <c r="L152" i="12"/>
  <c r="K152" i="12"/>
  <c r="Q152" i="12" s="1"/>
  <c r="R152" i="12" s="1"/>
  <c r="J152" i="12"/>
  <c r="O151" i="12"/>
  <c r="M151" i="12"/>
  <c r="L151" i="12"/>
  <c r="K151" i="12"/>
  <c r="J151" i="12"/>
  <c r="O150" i="12"/>
  <c r="M150" i="12"/>
  <c r="L150" i="12"/>
  <c r="K150" i="12"/>
  <c r="Q150" i="12" s="1"/>
  <c r="R150" i="12" s="1"/>
  <c r="J150" i="12"/>
  <c r="O149" i="12"/>
  <c r="M149" i="12"/>
  <c r="L149" i="12"/>
  <c r="K149" i="12"/>
  <c r="J149" i="12"/>
  <c r="O148" i="12"/>
  <c r="M148" i="12"/>
  <c r="L148" i="12"/>
  <c r="K148" i="12"/>
  <c r="J148" i="12"/>
  <c r="O147" i="12"/>
  <c r="M147" i="12"/>
  <c r="L147" i="12"/>
  <c r="K147" i="12"/>
  <c r="J147" i="12"/>
  <c r="O146" i="12"/>
  <c r="M146" i="12"/>
  <c r="L146" i="12"/>
  <c r="K146" i="12"/>
  <c r="P146" i="12" s="1"/>
  <c r="J146" i="12"/>
  <c r="O145" i="12"/>
  <c r="M145" i="12"/>
  <c r="L145" i="12"/>
  <c r="K145" i="12"/>
  <c r="J145" i="12"/>
  <c r="O144" i="12"/>
  <c r="M144" i="12"/>
  <c r="L144" i="12"/>
  <c r="K144" i="12"/>
  <c r="P144" i="12" s="1"/>
  <c r="J144" i="12"/>
  <c r="O143" i="12"/>
  <c r="M143" i="12"/>
  <c r="L143" i="12"/>
  <c r="K143" i="12"/>
  <c r="J143" i="12"/>
  <c r="O142" i="12"/>
  <c r="M142" i="12"/>
  <c r="L142" i="12"/>
  <c r="K142" i="12"/>
  <c r="J142" i="12"/>
  <c r="O141" i="12"/>
  <c r="M141" i="12"/>
  <c r="L141" i="12"/>
  <c r="K141" i="12"/>
  <c r="J141" i="12"/>
  <c r="O140" i="12"/>
  <c r="M140" i="12"/>
  <c r="L140" i="12"/>
  <c r="K140" i="12"/>
  <c r="P140" i="12" s="1"/>
  <c r="J140" i="12"/>
  <c r="O139" i="12"/>
  <c r="M139" i="12"/>
  <c r="L139" i="12"/>
  <c r="K139" i="12"/>
  <c r="P139" i="12" s="1"/>
  <c r="J139" i="12"/>
  <c r="O138" i="12"/>
  <c r="M138" i="12"/>
  <c r="L138" i="12"/>
  <c r="K138" i="12"/>
  <c r="J138" i="12"/>
  <c r="O137" i="12"/>
  <c r="M137" i="12"/>
  <c r="L137" i="12"/>
  <c r="K137" i="12"/>
  <c r="P137" i="12" s="1"/>
  <c r="J137" i="12"/>
  <c r="O136" i="12"/>
  <c r="M136" i="12"/>
  <c r="L136" i="12"/>
  <c r="K136" i="12"/>
  <c r="Q136" i="12" s="1"/>
  <c r="R136" i="12" s="1"/>
  <c r="J136" i="12"/>
  <c r="O135" i="12"/>
  <c r="M135" i="12"/>
  <c r="L135" i="12"/>
  <c r="K135" i="12"/>
  <c r="J135" i="12"/>
  <c r="O134" i="12"/>
  <c r="M134" i="12"/>
  <c r="L134" i="12"/>
  <c r="K134" i="12"/>
  <c r="J134" i="12"/>
  <c r="O133" i="12"/>
  <c r="M133" i="12"/>
  <c r="L133" i="12"/>
  <c r="K133" i="12"/>
  <c r="Q133" i="12" s="1"/>
  <c r="R133" i="12" s="1"/>
  <c r="J133" i="12"/>
  <c r="O132" i="12"/>
  <c r="M132" i="12"/>
  <c r="L132" i="12"/>
  <c r="K132" i="12"/>
  <c r="P132" i="12" s="1"/>
  <c r="J132" i="12"/>
  <c r="O131" i="12"/>
  <c r="M131" i="12"/>
  <c r="L131" i="12"/>
  <c r="K131" i="12"/>
  <c r="P131" i="12" s="1"/>
  <c r="J131" i="12"/>
  <c r="O130" i="12"/>
  <c r="M130" i="12"/>
  <c r="L130" i="12"/>
  <c r="K130" i="12"/>
  <c r="P130" i="12" s="1"/>
  <c r="J130" i="12"/>
  <c r="O129" i="12"/>
  <c r="M129" i="12"/>
  <c r="L129" i="12"/>
  <c r="K129" i="12"/>
  <c r="Q129" i="12" s="1"/>
  <c r="R129" i="12" s="1"/>
  <c r="J129" i="12"/>
  <c r="O128" i="12"/>
  <c r="M128" i="12"/>
  <c r="L128" i="12"/>
  <c r="K128" i="12"/>
  <c r="J128" i="12"/>
  <c r="O127" i="12"/>
  <c r="M127" i="12"/>
  <c r="L127" i="12"/>
  <c r="K127" i="12"/>
  <c r="Q127" i="12" s="1"/>
  <c r="R127" i="12" s="1"/>
  <c r="J127" i="12"/>
  <c r="O126" i="12"/>
  <c r="M126" i="12"/>
  <c r="L126" i="12"/>
  <c r="K126" i="12"/>
  <c r="Q126" i="12" s="1"/>
  <c r="R126" i="12" s="1"/>
  <c r="J126" i="12"/>
  <c r="O125" i="12"/>
  <c r="M125" i="12"/>
  <c r="L125" i="12"/>
  <c r="K125" i="12"/>
  <c r="P125" i="12" s="1"/>
  <c r="J125" i="12"/>
  <c r="O124" i="12"/>
  <c r="M124" i="12"/>
  <c r="L124" i="12"/>
  <c r="K124" i="12"/>
  <c r="Q124" i="12" s="1"/>
  <c r="R124" i="12" s="1"/>
  <c r="J124" i="12"/>
  <c r="O123" i="12"/>
  <c r="M123" i="12"/>
  <c r="L123" i="12"/>
  <c r="K123" i="12"/>
  <c r="P123" i="12" s="1"/>
  <c r="J123" i="12"/>
  <c r="O122" i="12"/>
  <c r="M122" i="12"/>
  <c r="L122" i="12"/>
  <c r="K122" i="12"/>
  <c r="J122" i="12"/>
  <c r="O121" i="12"/>
  <c r="M121" i="12"/>
  <c r="L121" i="12"/>
  <c r="K121" i="12"/>
  <c r="P121" i="12" s="1"/>
  <c r="J121" i="12"/>
  <c r="O120" i="12"/>
  <c r="M120" i="12"/>
  <c r="L120" i="12"/>
  <c r="K120" i="12"/>
  <c r="P120" i="12" s="1"/>
  <c r="J120" i="12"/>
  <c r="O119" i="12"/>
  <c r="M119" i="12"/>
  <c r="L119" i="12"/>
  <c r="K119" i="12"/>
  <c r="Q119" i="12" s="1"/>
  <c r="R119" i="12" s="1"/>
  <c r="J119" i="12"/>
  <c r="O118" i="12"/>
  <c r="M118" i="12"/>
  <c r="L118" i="12"/>
  <c r="K118" i="12"/>
  <c r="P118" i="12" s="1"/>
  <c r="J118" i="12"/>
  <c r="O117" i="12"/>
  <c r="M117" i="12"/>
  <c r="L117" i="12"/>
  <c r="K117" i="12"/>
  <c r="Q117" i="12" s="1"/>
  <c r="R117" i="12" s="1"/>
  <c r="J117" i="12"/>
  <c r="O116" i="12"/>
  <c r="M116" i="12"/>
  <c r="L116" i="12"/>
  <c r="K116" i="12"/>
  <c r="P116" i="12" s="1"/>
  <c r="J116" i="12"/>
  <c r="O115" i="12"/>
  <c r="M115" i="12"/>
  <c r="L115" i="12"/>
  <c r="K115" i="12"/>
  <c r="Q115" i="12" s="1"/>
  <c r="R115" i="12" s="1"/>
  <c r="J115" i="12"/>
  <c r="O114" i="12"/>
  <c r="M114" i="12"/>
  <c r="L114" i="12"/>
  <c r="K114" i="12"/>
  <c r="Q114" i="12" s="1"/>
  <c r="R114" i="12" s="1"/>
  <c r="J114" i="12"/>
  <c r="O113" i="12"/>
  <c r="M113" i="12"/>
  <c r="L113" i="12"/>
  <c r="K113" i="12"/>
  <c r="Q113" i="12" s="1"/>
  <c r="R113" i="12" s="1"/>
  <c r="J113" i="12"/>
  <c r="O112" i="12"/>
  <c r="M112" i="12"/>
  <c r="L112" i="12"/>
  <c r="K112" i="12"/>
  <c r="Q112" i="12" s="1"/>
  <c r="R112" i="12" s="1"/>
  <c r="J112" i="12"/>
  <c r="O111" i="12"/>
  <c r="M111" i="12"/>
  <c r="L111" i="12"/>
  <c r="K111" i="12"/>
  <c r="P111" i="12" s="1"/>
  <c r="J111" i="12"/>
  <c r="O110" i="12"/>
  <c r="M110" i="12"/>
  <c r="L110" i="12"/>
  <c r="K110" i="12"/>
  <c r="J110" i="12"/>
  <c r="O109" i="12"/>
  <c r="M109" i="12"/>
  <c r="L109" i="12"/>
  <c r="K109" i="12"/>
  <c r="J109" i="12"/>
  <c r="O108" i="12"/>
  <c r="M108" i="12"/>
  <c r="L108" i="12"/>
  <c r="K108" i="12"/>
  <c r="Q108" i="12" s="1"/>
  <c r="R108" i="12" s="1"/>
  <c r="J108" i="12"/>
  <c r="O107" i="12"/>
  <c r="M107" i="12"/>
  <c r="L107" i="12"/>
  <c r="K107" i="12"/>
  <c r="J107" i="12"/>
  <c r="O106" i="12"/>
  <c r="M106" i="12"/>
  <c r="L106" i="12"/>
  <c r="K106" i="12"/>
  <c r="Q106" i="12" s="1"/>
  <c r="R106" i="12" s="1"/>
  <c r="J106" i="12"/>
  <c r="O105" i="12"/>
  <c r="M105" i="12"/>
  <c r="L105" i="12"/>
  <c r="K105" i="12"/>
  <c r="P105" i="12" s="1"/>
  <c r="J105" i="12"/>
  <c r="O104" i="12"/>
  <c r="M104" i="12"/>
  <c r="L104" i="12"/>
  <c r="K104" i="12"/>
  <c r="J104" i="12"/>
  <c r="O103" i="12"/>
  <c r="M103" i="12"/>
  <c r="L103" i="12"/>
  <c r="K103" i="12"/>
  <c r="J103" i="12"/>
  <c r="O102" i="12"/>
  <c r="M102" i="12"/>
  <c r="L102" i="12"/>
  <c r="K102" i="12"/>
  <c r="J102" i="12"/>
  <c r="O101" i="12"/>
  <c r="M101" i="12"/>
  <c r="L101" i="12"/>
  <c r="K101" i="12"/>
  <c r="Q101" i="12" s="1"/>
  <c r="R101" i="12" s="1"/>
  <c r="J101" i="12"/>
  <c r="O100" i="12"/>
  <c r="M100" i="12"/>
  <c r="L100" i="12"/>
  <c r="K100" i="12"/>
  <c r="Q100" i="12" s="1"/>
  <c r="R100" i="12" s="1"/>
  <c r="J100" i="12"/>
  <c r="O99" i="12"/>
  <c r="M99" i="12"/>
  <c r="L99" i="12"/>
  <c r="K99" i="12"/>
  <c r="Q99" i="12" s="1"/>
  <c r="R99" i="12" s="1"/>
  <c r="J99" i="12"/>
  <c r="O98" i="12"/>
  <c r="M98" i="12"/>
  <c r="L98" i="12"/>
  <c r="K98" i="12"/>
  <c r="Q98" i="12" s="1"/>
  <c r="R98" i="12" s="1"/>
  <c r="J98" i="12"/>
  <c r="O97" i="12"/>
  <c r="M97" i="12"/>
  <c r="L97" i="12"/>
  <c r="K97" i="12"/>
  <c r="J97" i="12"/>
  <c r="O96" i="12"/>
  <c r="M96" i="12"/>
  <c r="L96" i="12"/>
  <c r="K96" i="12"/>
  <c r="Q96" i="12" s="1"/>
  <c r="R96" i="12" s="1"/>
  <c r="J96" i="12"/>
  <c r="O95" i="12"/>
  <c r="M95" i="12"/>
  <c r="L95" i="12"/>
  <c r="K95" i="12"/>
  <c r="P95" i="12" s="1"/>
  <c r="J95" i="12"/>
  <c r="O94" i="12"/>
  <c r="M94" i="12"/>
  <c r="L94" i="12"/>
  <c r="K94" i="12"/>
  <c r="Q94" i="12" s="1"/>
  <c r="R94" i="12" s="1"/>
  <c r="J94" i="12"/>
  <c r="O93" i="12"/>
  <c r="M93" i="12"/>
  <c r="L93" i="12"/>
  <c r="K93" i="12"/>
  <c r="J93" i="12"/>
  <c r="O92" i="12"/>
  <c r="M92" i="12"/>
  <c r="L92" i="12"/>
  <c r="K92" i="12"/>
  <c r="P92" i="12" s="1"/>
  <c r="J92" i="12"/>
  <c r="O91" i="12"/>
  <c r="M91" i="12"/>
  <c r="L91" i="12"/>
  <c r="K91" i="12"/>
  <c r="J91" i="12"/>
  <c r="O90" i="12"/>
  <c r="M90" i="12"/>
  <c r="L90" i="12"/>
  <c r="K90" i="12"/>
  <c r="P90" i="12" s="1"/>
  <c r="J90" i="12"/>
  <c r="O89" i="12"/>
  <c r="M89" i="12"/>
  <c r="L89" i="12"/>
  <c r="K89" i="12"/>
  <c r="J89" i="12"/>
  <c r="O88" i="12"/>
  <c r="M88" i="12"/>
  <c r="L88" i="12"/>
  <c r="K88" i="12"/>
  <c r="P88" i="12" s="1"/>
  <c r="J88" i="12"/>
  <c r="O87" i="12"/>
  <c r="M87" i="12"/>
  <c r="L87" i="12"/>
  <c r="K87" i="12"/>
  <c r="Q87" i="12" s="1"/>
  <c r="R87" i="12" s="1"/>
  <c r="J87" i="12"/>
  <c r="O86" i="12"/>
  <c r="M86" i="12"/>
  <c r="L86" i="12"/>
  <c r="K86" i="12"/>
  <c r="J86" i="12"/>
  <c r="O85" i="12"/>
  <c r="M85" i="12"/>
  <c r="L85" i="12"/>
  <c r="K85" i="12"/>
  <c r="Q85" i="12" s="1"/>
  <c r="R85" i="12" s="1"/>
  <c r="J85" i="12"/>
  <c r="O84" i="12"/>
  <c r="M84" i="12"/>
  <c r="L84" i="12"/>
  <c r="K84" i="12"/>
  <c r="J84" i="12"/>
  <c r="O83" i="12"/>
  <c r="M83" i="12"/>
  <c r="L83" i="12"/>
  <c r="K83" i="12"/>
  <c r="J83" i="12"/>
  <c r="O82" i="12"/>
  <c r="M82" i="12"/>
  <c r="L82" i="12"/>
  <c r="K82" i="12"/>
  <c r="P82" i="12" s="1"/>
  <c r="J82" i="12"/>
  <c r="O81" i="12"/>
  <c r="M81" i="12"/>
  <c r="L81" i="12"/>
  <c r="K81" i="12"/>
  <c r="J81" i="12"/>
  <c r="O80" i="12"/>
  <c r="M80" i="12"/>
  <c r="L80" i="12"/>
  <c r="K80" i="12"/>
  <c r="Q80" i="12" s="1"/>
  <c r="R80" i="12" s="1"/>
  <c r="J80" i="12"/>
  <c r="O79" i="12"/>
  <c r="M79" i="12"/>
  <c r="L79" i="12"/>
  <c r="K79" i="12"/>
  <c r="J79" i="12"/>
  <c r="O78" i="12"/>
  <c r="M78" i="12"/>
  <c r="L78" i="12"/>
  <c r="K78" i="12"/>
  <c r="P78" i="12" s="1"/>
  <c r="J78" i="12"/>
  <c r="O77" i="12"/>
  <c r="M77" i="12"/>
  <c r="L77" i="12"/>
  <c r="K77" i="12"/>
  <c r="Q77" i="12" s="1"/>
  <c r="R77" i="12" s="1"/>
  <c r="J77" i="12"/>
  <c r="O76" i="12"/>
  <c r="M76" i="12"/>
  <c r="L76" i="12"/>
  <c r="K76" i="12"/>
  <c r="P76" i="12" s="1"/>
  <c r="J76" i="12"/>
  <c r="O75" i="12"/>
  <c r="M75" i="12"/>
  <c r="L75" i="12"/>
  <c r="K75" i="12"/>
  <c r="Q75" i="12" s="1"/>
  <c r="R75" i="12" s="1"/>
  <c r="J75" i="12"/>
  <c r="O74" i="12"/>
  <c r="M74" i="12"/>
  <c r="L74" i="12"/>
  <c r="K74" i="12"/>
  <c r="P74" i="12" s="1"/>
  <c r="J74" i="12"/>
  <c r="O73" i="12"/>
  <c r="M73" i="12"/>
  <c r="L73" i="12"/>
  <c r="K73" i="12"/>
  <c r="Q73" i="12" s="1"/>
  <c r="R73" i="12" s="1"/>
  <c r="J73" i="12"/>
  <c r="O72" i="12"/>
  <c r="M72" i="12"/>
  <c r="L72" i="12"/>
  <c r="K72" i="12"/>
  <c r="P72" i="12" s="1"/>
  <c r="J72" i="12"/>
  <c r="O71" i="12"/>
  <c r="M71" i="12"/>
  <c r="L71" i="12"/>
  <c r="K71" i="12"/>
  <c r="Q71" i="12" s="1"/>
  <c r="R71" i="12" s="1"/>
  <c r="J71" i="12"/>
  <c r="O70" i="12"/>
  <c r="M70" i="12"/>
  <c r="L70" i="12"/>
  <c r="K70" i="12"/>
  <c r="Q70" i="12" s="1"/>
  <c r="R70" i="12" s="1"/>
  <c r="J70" i="12"/>
  <c r="O69" i="12"/>
  <c r="M69" i="12"/>
  <c r="L69" i="12"/>
  <c r="K69" i="12"/>
  <c r="P69" i="12" s="1"/>
  <c r="J69" i="12"/>
  <c r="O68" i="12"/>
  <c r="M68" i="12"/>
  <c r="L68" i="12"/>
  <c r="K68" i="12"/>
  <c r="Q68" i="12" s="1"/>
  <c r="R68" i="12" s="1"/>
  <c r="J68" i="12"/>
  <c r="O67" i="12"/>
  <c r="M67" i="12"/>
  <c r="L67" i="12"/>
  <c r="K67" i="12"/>
  <c r="J67" i="12"/>
  <c r="O66" i="12"/>
  <c r="M66" i="12"/>
  <c r="L66" i="12"/>
  <c r="K66" i="12"/>
  <c r="Q66" i="12" s="1"/>
  <c r="R66" i="12" s="1"/>
  <c r="J66" i="12"/>
  <c r="O65" i="12"/>
  <c r="M65" i="12"/>
  <c r="L65" i="12"/>
  <c r="K65" i="12"/>
  <c r="J65" i="12"/>
  <c r="O64" i="12"/>
  <c r="M64" i="12"/>
  <c r="L64" i="12"/>
  <c r="K64" i="12"/>
  <c r="Q64" i="12" s="1"/>
  <c r="R64" i="12" s="1"/>
  <c r="J64" i="12"/>
  <c r="O63" i="12"/>
  <c r="M63" i="12"/>
  <c r="L63" i="12"/>
  <c r="K63" i="12"/>
  <c r="J63" i="12"/>
  <c r="O62" i="12"/>
  <c r="M62" i="12"/>
  <c r="L62" i="12"/>
  <c r="K62" i="12"/>
  <c r="P62" i="12" s="1"/>
  <c r="J62" i="12"/>
  <c r="O61" i="12"/>
  <c r="M61" i="12"/>
  <c r="L61" i="12"/>
  <c r="K61" i="12"/>
  <c r="J61" i="12"/>
  <c r="O60" i="12"/>
  <c r="M60" i="12"/>
  <c r="L60" i="12"/>
  <c r="K60" i="12"/>
  <c r="J60" i="12"/>
  <c r="O59" i="12"/>
  <c r="M59" i="12"/>
  <c r="L59" i="12"/>
  <c r="K59" i="12"/>
  <c r="P59" i="12" s="1"/>
  <c r="J59" i="12"/>
  <c r="O58" i="12"/>
  <c r="M58" i="12"/>
  <c r="L58" i="12"/>
  <c r="K58" i="12"/>
  <c r="J58" i="12"/>
  <c r="O57" i="12"/>
  <c r="M57" i="12"/>
  <c r="L57" i="12"/>
  <c r="K57" i="12"/>
  <c r="P57" i="12" s="1"/>
  <c r="J57" i="12"/>
  <c r="O56" i="12"/>
  <c r="M56" i="12"/>
  <c r="L56" i="12"/>
  <c r="K56" i="12"/>
  <c r="Q56" i="12" s="1"/>
  <c r="R56" i="12" s="1"/>
  <c r="J56" i="12"/>
  <c r="O55" i="12"/>
  <c r="M55" i="12"/>
  <c r="L55" i="12"/>
  <c r="K55" i="12"/>
  <c r="J55" i="12"/>
  <c r="O54" i="12"/>
  <c r="M54" i="12"/>
  <c r="L54" i="12"/>
  <c r="K54" i="12"/>
  <c r="P54" i="12" s="1"/>
  <c r="J54" i="12"/>
  <c r="O53" i="12"/>
  <c r="M53" i="12"/>
  <c r="L53" i="12"/>
  <c r="K53" i="12"/>
  <c r="J53" i="12"/>
  <c r="O52" i="12"/>
  <c r="M52" i="12"/>
  <c r="L52" i="12"/>
  <c r="K52" i="12"/>
  <c r="J52" i="12"/>
  <c r="O51" i="12"/>
  <c r="M51" i="12"/>
  <c r="L51" i="12"/>
  <c r="K51" i="12"/>
  <c r="J51" i="12"/>
  <c r="O50" i="12"/>
  <c r="M50" i="12"/>
  <c r="L50" i="12"/>
  <c r="K50" i="12"/>
  <c r="Q50" i="12" s="1"/>
  <c r="R50" i="12" s="1"/>
  <c r="J50" i="12"/>
  <c r="O49" i="12"/>
  <c r="M49" i="12"/>
  <c r="L49" i="12"/>
  <c r="K49" i="12"/>
  <c r="Q49" i="12" s="1"/>
  <c r="R49" i="12" s="1"/>
  <c r="J49" i="12"/>
  <c r="O48" i="12"/>
  <c r="M48" i="12"/>
  <c r="L48" i="12"/>
  <c r="K48" i="12"/>
  <c r="J48" i="12"/>
  <c r="O47" i="12"/>
  <c r="M47" i="12"/>
  <c r="L47" i="12"/>
  <c r="K47" i="12"/>
  <c r="J47" i="12"/>
  <c r="O46" i="12"/>
  <c r="M46" i="12"/>
  <c r="L46" i="12"/>
  <c r="K46" i="12"/>
  <c r="J46" i="12"/>
  <c r="O45" i="12"/>
  <c r="M45" i="12"/>
  <c r="L45" i="12"/>
  <c r="K45" i="12"/>
  <c r="Q45" i="12" s="1"/>
  <c r="R45" i="12" s="1"/>
  <c r="J45" i="12"/>
  <c r="O44" i="12"/>
  <c r="M44" i="12"/>
  <c r="L44" i="12"/>
  <c r="K44" i="12"/>
  <c r="Q44" i="12" s="1"/>
  <c r="R44" i="12" s="1"/>
  <c r="J44" i="12"/>
  <c r="O43" i="12"/>
  <c r="M43" i="12"/>
  <c r="L43" i="12"/>
  <c r="K43" i="12"/>
  <c r="J43" i="12"/>
  <c r="O42" i="12"/>
  <c r="M42" i="12"/>
  <c r="L42" i="12"/>
  <c r="K42" i="12"/>
  <c r="P42" i="12" s="1"/>
  <c r="J42" i="12"/>
  <c r="O41" i="12"/>
  <c r="M41" i="12"/>
  <c r="L41" i="12"/>
  <c r="K41" i="12"/>
  <c r="P41" i="12" s="1"/>
  <c r="J41" i="12"/>
  <c r="O40" i="12"/>
  <c r="M40" i="12"/>
  <c r="L40" i="12"/>
  <c r="K40" i="12"/>
  <c r="Q40" i="12" s="1"/>
  <c r="R40" i="12" s="1"/>
  <c r="J40" i="12"/>
  <c r="O39" i="12"/>
  <c r="M39" i="12"/>
  <c r="L39" i="12"/>
  <c r="K39" i="12"/>
  <c r="P39" i="12" s="1"/>
  <c r="J39" i="12"/>
  <c r="O38" i="12"/>
  <c r="M38" i="12"/>
  <c r="L38" i="12"/>
  <c r="K38" i="12"/>
  <c r="Q38" i="12" s="1"/>
  <c r="R38" i="12" s="1"/>
  <c r="J38" i="12"/>
  <c r="O37" i="12"/>
  <c r="M37" i="12"/>
  <c r="L37" i="12"/>
  <c r="K37" i="12"/>
  <c r="Q37" i="12" s="1"/>
  <c r="R37" i="12" s="1"/>
  <c r="J37" i="12"/>
  <c r="O36" i="12"/>
  <c r="M36" i="12"/>
  <c r="L36" i="12"/>
  <c r="K36" i="12"/>
  <c r="Q36" i="12" s="1"/>
  <c r="R36" i="12" s="1"/>
  <c r="J36" i="12"/>
  <c r="O35" i="12"/>
  <c r="M35" i="12"/>
  <c r="L35" i="12"/>
  <c r="K35" i="12"/>
  <c r="J35" i="12"/>
  <c r="O34" i="12"/>
  <c r="M34" i="12"/>
  <c r="L34" i="12"/>
  <c r="K34" i="12"/>
  <c r="P34" i="12" s="1"/>
  <c r="J34" i="12"/>
  <c r="O33" i="12"/>
  <c r="M33" i="12"/>
  <c r="L33" i="12"/>
  <c r="K33" i="12"/>
  <c r="Q33" i="12" s="1"/>
  <c r="J33" i="12"/>
  <c r="O32" i="12"/>
  <c r="M32" i="12"/>
  <c r="L32" i="12"/>
  <c r="K32" i="12"/>
  <c r="P32" i="12" s="1"/>
  <c r="J32" i="12"/>
  <c r="O31" i="12"/>
  <c r="M31" i="12"/>
  <c r="L31" i="12"/>
  <c r="K31" i="12"/>
  <c r="Q31" i="12" s="1"/>
  <c r="R31" i="12" s="1"/>
  <c r="J31" i="12"/>
  <c r="O30" i="12"/>
  <c r="M30" i="12"/>
  <c r="L30" i="12"/>
  <c r="K30" i="12"/>
  <c r="Q30" i="12" s="1"/>
  <c r="J30" i="12"/>
  <c r="O29" i="12"/>
  <c r="M29" i="12"/>
  <c r="L29" i="12"/>
  <c r="K29" i="12"/>
  <c r="Q29" i="12" s="1"/>
  <c r="R29" i="12" s="1"/>
  <c r="J29" i="12"/>
  <c r="O28" i="12"/>
  <c r="M28" i="12"/>
  <c r="L28" i="12"/>
  <c r="K28" i="12"/>
  <c r="P28" i="12" s="1"/>
  <c r="J28" i="12"/>
  <c r="O27" i="12"/>
  <c r="M27" i="12"/>
  <c r="L27" i="12"/>
  <c r="K27" i="12"/>
  <c r="P27" i="12" s="1"/>
  <c r="J27" i="12"/>
  <c r="O26" i="12"/>
  <c r="M26" i="12"/>
  <c r="L26" i="12"/>
  <c r="K26" i="12"/>
  <c r="J26" i="12"/>
  <c r="O25" i="12"/>
  <c r="M25" i="12"/>
  <c r="L25" i="12"/>
  <c r="K25" i="12"/>
  <c r="P25" i="12" s="1"/>
  <c r="J25" i="12"/>
  <c r="O24" i="12"/>
  <c r="M24" i="12"/>
  <c r="L24" i="12"/>
  <c r="K24" i="12"/>
  <c r="Q24" i="12" s="1"/>
  <c r="R24" i="12" s="1"/>
  <c r="J24" i="12"/>
  <c r="O23" i="12"/>
  <c r="M23" i="12"/>
  <c r="L23" i="12"/>
  <c r="K23" i="12"/>
  <c r="P23" i="12" s="1"/>
  <c r="J23" i="12"/>
  <c r="O22" i="12"/>
  <c r="M22" i="12"/>
  <c r="L22" i="12"/>
  <c r="K22" i="12"/>
  <c r="J22" i="12"/>
  <c r="O21" i="12"/>
  <c r="M21" i="12"/>
  <c r="L21" i="12"/>
  <c r="K21" i="12"/>
  <c r="P21" i="12" s="1"/>
  <c r="J21" i="12"/>
  <c r="O20" i="12"/>
  <c r="M20" i="12"/>
  <c r="L20" i="12"/>
  <c r="K20" i="12"/>
  <c r="J20" i="12"/>
  <c r="O19" i="12"/>
  <c r="M19" i="12"/>
  <c r="L19" i="12"/>
  <c r="K19" i="12"/>
  <c r="J19" i="12"/>
  <c r="O18" i="12"/>
  <c r="M18" i="12"/>
  <c r="L18" i="12"/>
  <c r="K18" i="12"/>
  <c r="Q18" i="12" s="1"/>
  <c r="J18" i="12"/>
  <c r="O17" i="12"/>
  <c r="M17" i="12"/>
  <c r="L17" i="12"/>
  <c r="K17" i="12"/>
  <c r="Q17" i="12" s="1"/>
  <c r="R17" i="12" s="1"/>
  <c r="J17" i="12"/>
  <c r="O16" i="12"/>
  <c r="M16" i="12"/>
  <c r="L16" i="12"/>
  <c r="K16" i="12"/>
  <c r="J16" i="12"/>
  <c r="O15" i="12"/>
  <c r="M15" i="12"/>
  <c r="L15" i="12"/>
  <c r="K15" i="12"/>
  <c r="J15" i="12"/>
  <c r="O14" i="12"/>
  <c r="M14" i="12"/>
  <c r="L14" i="12"/>
  <c r="K14" i="12"/>
  <c r="P14" i="12" s="1"/>
  <c r="J14" i="12"/>
  <c r="O13" i="12"/>
  <c r="M13" i="12"/>
  <c r="L13" i="12"/>
  <c r="K13" i="12"/>
  <c r="P13" i="12" s="1"/>
  <c r="J13" i="12"/>
  <c r="O12" i="12"/>
  <c r="M12" i="12"/>
  <c r="L12" i="12"/>
  <c r="K12" i="12"/>
  <c r="Q12" i="12" s="1"/>
  <c r="J12" i="12"/>
  <c r="O11" i="12"/>
  <c r="M11" i="12"/>
  <c r="L11" i="12"/>
  <c r="K11" i="12"/>
  <c r="P11" i="12" s="1"/>
  <c r="J11" i="12"/>
  <c r="O10" i="12"/>
  <c r="M10" i="12"/>
  <c r="L10" i="12"/>
  <c r="K10" i="12"/>
  <c r="P10" i="12" s="1"/>
  <c r="J10" i="12"/>
  <c r="O9" i="12"/>
  <c r="M9" i="12"/>
  <c r="L9" i="12"/>
  <c r="K9" i="12"/>
  <c r="J9" i="12"/>
  <c r="O8" i="12"/>
  <c r="M8" i="12"/>
  <c r="L8" i="12"/>
  <c r="K8" i="12"/>
  <c r="J8" i="12"/>
  <c r="O7" i="12"/>
  <c r="M7" i="12"/>
  <c r="L7" i="12"/>
  <c r="K7" i="12"/>
  <c r="J7" i="12"/>
  <c r="O6" i="12"/>
  <c r="M6" i="12"/>
  <c r="L6" i="12"/>
  <c r="K6" i="12"/>
  <c r="J6" i="12"/>
  <c r="O5" i="12"/>
  <c r="M5" i="12"/>
  <c r="L5" i="12"/>
  <c r="K5" i="12"/>
  <c r="J5" i="12"/>
  <c r="O4" i="12"/>
  <c r="M4" i="12"/>
  <c r="L4" i="12"/>
  <c r="K4" i="12"/>
  <c r="Q4" i="12" s="1"/>
  <c r="R4" i="12" s="1"/>
  <c r="J4" i="12"/>
  <c r="H1" i="12"/>
  <c r="G1" i="12"/>
  <c r="I1" i="12" s="1"/>
  <c r="H1" i="10"/>
  <c r="G1" i="10"/>
  <c r="O312" i="10"/>
  <c r="M312" i="10"/>
  <c r="L312" i="10"/>
  <c r="K312" i="10"/>
  <c r="J312" i="10"/>
  <c r="O311" i="10"/>
  <c r="M311" i="10"/>
  <c r="L311" i="10"/>
  <c r="K311" i="10"/>
  <c r="Q311" i="10" s="1"/>
  <c r="J311" i="10"/>
  <c r="O310" i="10"/>
  <c r="M310" i="10"/>
  <c r="L310" i="10"/>
  <c r="K310" i="10"/>
  <c r="J310" i="10"/>
  <c r="O309" i="10"/>
  <c r="M309" i="10"/>
  <c r="L309" i="10"/>
  <c r="K309" i="10"/>
  <c r="Q309" i="10" s="1"/>
  <c r="J309" i="10"/>
  <c r="O308" i="10"/>
  <c r="M308" i="10"/>
  <c r="L308" i="10"/>
  <c r="K308" i="10"/>
  <c r="Q308" i="10" s="1"/>
  <c r="J308" i="10"/>
  <c r="O307" i="10"/>
  <c r="M307" i="10"/>
  <c r="L307" i="10"/>
  <c r="K307" i="10"/>
  <c r="J307" i="10"/>
  <c r="O306" i="10"/>
  <c r="M306" i="10"/>
  <c r="L306" i="10"/>
  <c r="K306" i="10"/>
  <c r="J306" i="10"/>
  <c r="O305" i="10"/>
  <c r="M305" i="10"/>
  <c r="L305" i="10"/>
  <c r="K305" i="10"/>
  <c r="J305" i="10"/>
  <c r="O304" i="10"/>
  <c r="M304" i="10"/>
  <c r="L304" i="10"/>
  <c r="K304" i="10"/>
  <c r="J304" i="10"/>
  <c r="O303" i="10"/>
  <c r="M303" i="10"/>
  <c r="L303" i="10"/>
  <c r="K303" i="10"/>
  <c r="J303" i="10"/>
  <c r="O302" i="10"/>
  <c r="M302" i="10"/>
  <c r="L302" i="10"/>
  <c r="K302" i="10"/>
  <c r="Q302" i="10" s="1"/>
  <c r="J302" i="10"/>
  <c r="O301" i="10"/>
  <c r="M301" i="10"/>
  <c r="L301" i="10"/>
  <c r="K301" i="10"/>
  <c r="J301" i="10"/>
  <c r="O300" i="10"/>
  <c r="M300" i="10"/>
  <c r="L300" i="10"/>
  <c r="K300" i="10"/>
  <c r="J300" i="10"/>
  <c r="O299" i="10"/>
  <c r="M299" i="10"/>
  <c r="L299" i="10"/>
  <c r="K299" i="10"/>
  <c r="J299" i="10"/>
  <c r="O298" i="10"/>
  <c r="M298" i="10"/>
  <c r="L298" i="10"/>
  <c r="K298" i="10"/>
  <c r="J298" i="10"/>
  <c r="O297" i="10"/>
  <c r="M297" i="10"/>
  <c r="L297" i="10"/>
  <c r="K297" i="10"/>
  <c r="Q297" i="10" s="1"/>
  <c r="J297" i="10"/>
  <c r="O296" i="10"/>
  <c r="M296" i="10"/>
  <c r="L296" i="10"/>
  <c r="K296" i="10"/>
  <c r="J296" i="10"/>
  <c r="O295" i="10"/>
  <c r="M295" i="10"/>
  <c r="L295" i="10"/>
  <c r="K295" i="10"/>
  <c r="Q295" i="10" s="1"/>
  <c r="J295" i="10"/>
  <c r="O294" i="10"/>
  <c r="M294" i="10"/>
  <c r="L294" i="10"/>
  <c r="K294" i="10"/>
  <c r="Q294" i="10" s="1"/>
  <c r="J294" i="10"/>
  <c r="O293" i="10"/>
  <c r="M293" i="10"/>
  <c r="L293" i="10"/>
  <c r="K293" i="10"/>
  <c r="J293" i="10"/>
  <c r="O292" i="10"/>
  <c r="M292" i="10"/>
  <c r="L292" i="10"/>
  <c r="K292" i="10"/>
  <c r="J292" i="10"/>
  <c r="O291" i="10"/>
  <c r="M291" i="10"/>
  <c r="L291" i="10"/>
  <c r="K291" i="10"/>
  <c r="J291" i="10"/>
  <c r="O290" i="10"/>
  <c r="M290" i="10"/>
  <c r="L290" i="10"/>
  <c r="K290" i="10"/>
  <c r="Q290" i="10" s="1"/>
  <c r="R290" i="10" s="1"/>
  <c r="J290" i="10"/>
  <c r="O289" i="10"/>
  <c r="M289" i="10"/>
  <c r="L289" i="10"/>
  <c r="K289" i="10"/>
  <c r="J289" i="10"/>
  <c r="O288" i="10"/>
  <c r="M288" i="10"/>
  <c r="L288" i="10"/>
  <c r="K288" i="10"/>
  <c r="Q288" i="10" s="1"/>
  <c r="J288" i="10"/>
  <c r="O287" i="10"/>
  <c r="M287" i="10"/>
  <c r="L287" i="10"/>
  <c r="K287" i="10"/>
  <c r="J287" i="10"/>
  <c r="O286" i="10"/>
  <c r="M286" i="10"/>
  <c r="L286" i="10"/>
  <c r="K286" i="10"/>
  <c r="J286" i="10"/>
  <c r="O285" i="10"/>
  <c r="M285" i="10"/>
  <c r="L285" i="10"/>
  <c r="K285" i="10"/>
  <c r="J285" i="10"/>
  <c r="O284" i="10"/>
  <c r="M284" i="10"/>
  <c r="L284" i="10"/>
  <c r="K284" i="10"/>
  <c r="J284" i="10"/>
  <c r="O283" i="10"/>
  <c r="M283" i="10"/>
  <c r="L283" i="10"/>
  <c r="K283" i="10"/>
  <c r="Q283" i="10" s="1"/>
  <c r="J283" i="10"/>
  <c r="O282" i="10"/>
  <c r="M282" i="10"/>
  <c r="L282" i="10"/>
  <c r="K282" i="10"/>
  <c r="J282" i="10"/>
  <c r="O281" i="10"/>
  <c r="M281" i="10"/>
  <c r="L281" i="10"/>
  <c r="K281" i="10"/>
  <c r="Q281" i="10" s="1"/>
  <c r="R281" i="10" s="1"/>
  <c r="J281" i="10"/>
  <c r="O280" i="10"/>
  <c r="M280" i="10"/>
  <c r="L280" i="10"/>
  <c r="K280" i="10"/>
  <c r="Q280" i="10" s="1"/>
  <c r="R280" i="10" s="1"/>
  <c r="J280" i="10"/>
  <c r="O279" i="10"/>
  <c r="M279" i="10"/>
  <c r="L279" i="10"/>
  <c r="K279" i="10"/>
  <c r="P279" i="10" s="1"/>
  <c r="J279" i="10"/>
  <c r="O278" i="10"/>
  <c r="M278" i="10"/>
  <c r="L278" i="10"/>
  <c r="K278" i="10"/>
  <c r="P278" i="10" s="1"/>
  <c r="J278" i="10"/>
  <c r="O277" i="10"/>
  <c r="M277" i="10"/>
  <c r="L277" i="10"/>
  <c r="K277" i="10"/>
  <c r="J277" i="10"/>
  <c r="O276" i="10"/>
  <c r="M276" i="10"/>
  <c r="L276" i="10"/>
  <c r="K276" i="10"/>
  <c r="Q276" i="10" s="1"/>
  <c r="R276" i="10" s="1"/>
  <c r="J276" i="10"/>
  <c r="O275" i="10"/>
  <c r="M275" i="10"/>
  <c r="L275" i="10"/>
  <c r="K275" i="10"/>
  <c r="J275" i="10"/>
  <c r="O274" i="10"/>
  <c r="M274" i="10"/>
  <c r="L274" i="10"/>
  <c r="K274" i="10"/>
  <c r="Q274" i="10" s="1"/>
  <c r="R274" i="10" s="1"/>
  <c r="J274" i="10"/>
  <c r="O273" i="10"/>
  <c r="M273" i="10"/>
  <c r="L273" i="10"/>
  <c r="K273" i="10"/>
  <c r="J273" i="10"/>
  <c r="O272" i="10"/>
  <c r="M272" i="10"/>
  <c r="L272" i="10"/>
  <c r="K272" i="10"/>
  <c r="J272" i="10"/>
  <c r="O271" i="10"/>
  <c r="M271" i="10"/>
  <c r="L271" i="10"/>
  <c r="K271" i="10"/>
  <c r="J271" i="10"/>
  <c r="O270" i="10"/>
  <c r="M270" i="10"/>
  <c r="L270" i="10"/>
  <c r="K270" i="10"/>
  <c r="J270" i="10"/>
  <c r="O269" i="10"/>
  <c r="M269" i="10"/>
  <c r="L269" i="10"/>
  <c r="K269" i="10"/>
  <c r="Q269" i="10" s="1"/>
  <c r="J269" i="10"/>
  <c r="O268" i="10"/>
  <c r="M268" i="10"/>
  <c r="L268" i="10"/>
  <c r="K268" i="10"/>
  <c r="J268" i="10"/>
  <c r="O267" i="10"/>
  <c r="M267" i="10"/>
  <c r="L267" i="10"/>
  <c r="K267" i="10"/>
  <c r="Q267" i="10" s="1"/>
  <c r="J267" i="10"/>
  <c r="O266" i="10"/>
  <c r="M266" i="10"/>
  <c r="L266" i="10"/>
  <c r="K266" i="10"/>
  <c r="J266" i="10"/>
  <c r="O265" i="10"/>
  <c r="M265" i="10"/>
  <c r="L265" i="10"/>
  <c r="K265" i="10"/>
  <c r="J265" i="10"/>
  <c r="O264" i="10"/>
  <c r="M264" i="10"/>
  <c r="L264" i="10"/>
  <c r="K264" i="10"/>
  <c r="J264" i="10"/>
  <c r="O263" i="10"/>
  <c r="M263" i="10"/>
  <c r="L263" i="10"/>
  <c r="K263" i="10"/>
  <c r="J263" i="10"/>
  <c r="O262" i="10"/>
  <c r="M262" i="10"/>
  <c r="L262" i="10"/>
  <c r="K262" i="10"/>
  <c r="Q262" i="10" s="1"/>
  <c r="R262" i="10" s="1"/>
  <c r="J262" i="10"/>
  <c r="O261" i="10"/>
  <c r="M261" i="10"/>
  <c r="L261" i="10"/>
  <c r="K261" i="10"/>
  <c r="J261" i="10"/>
  <c r="O260" i="10"/>
  <c r="M260" i="10"/>
  <c r="L260" i="10"/>
  <c r="K260" i="10"/>
  <c r="Q260" i="10" s="1"/>
  <c r="R260" i="10" s="1"/>
  <c r="J260" i="10"/>
  <c r="O259" i="10"/>
  <c r="M259" i="10"/>
  <c r="L259" i="10"/>
  <c r="K259" i="10"/>
  <c r="J259" i="10"/>
  <c r="O258" i="10"/>
  <c r="M258" i="10"/>
  <c r="L258" i="10"/>
  <c r="K258" i="10"/>
  <c r="P258" i="10" s="1"/>
  <c r="J258" i="10"/>
  <c r="O257" i="10"/>
  <c r="M257" i="10"/>
  <c r="L257" i="10"/>
  <c r="K257" i="10"/>
  <c r="J257" i="10"/>
  <c r="O256" i="10"/>
  <c r="M256" i="10"/>
  <c r="L256" i="10"/>
  <c r="K256" i="10"/>
  <c r="P256" i="10" s="1"/>
  <c r="J256" i="10"/>
  <c r="O255" i="10"/>
  <c r="M255" i="10"/>
  <c r="L255" i="10"/>
  <c r="K255" i="10"/>
  <c r="Q255" i="10" s="1"/>
  <c r="R255" i="10" s="1"/>
  <c r="J255" i="10"/>
  <c r="O254" i="10"/>
  <c r="M254" i="10"/>
  <c r="L254" i="10"/>
  <c r="K254" i="10"/>
  <c r="J254" i="10"/>
  <c r="O253" i="10"/>
  <c r="M253" i="10"/>
  <c r="L253" i="10"/>
  <c r="K253" i="10"/>
  <c r="Q253" i="10" s="1"/>
  <c r="R253" i="10" s="1"/>
  <c r="J253" i="10"/>
  <c r="O252" i="10"/>
  <c r="M252" i="10"/>
  <c r="L252" i="10"/>
  <c r="K252" i="10"/>
  <c r="Q252" i="10" s="1"/>
  <c r="R252" i="10" s="1"/>
  <c r="J252" i="10"/>
  <c r="O251" i="10"/>
  <c r="M251" i="10"/>
  <c r="L251" i="10"/>
  <c r="K251" i="10"/>
  <c r="J251" i="10"/>
  <c r="O250" i="10"/>
  <c r="M250" i="10"/>
  <c r="L250" i="10"/>
  <c r="K250" i="10"/>
  <c r="J250" i="10"/>
  <c r="O249" i="10"/>
  <c r="M249" i="10"/>
  <c r="L249" i="10"/>
  <c r="K249" i="10"/>
  <c r="J249" i="10"/>
  <c r="O248" i="10"/>
  <c r="M248" i="10"/>
  <c r="L248" i="10"/>
  <c r="K248" i="10"/>
  <c r="Q248" i="10" s="1"/>
  <c r="R248" i="10" s="1"/>
  <c r="J248" i="10"/>
  <c r="O247" i="10"/>
  <c r="M247" i="10"/>
  <c r="L247" i="10"/>
  <c r="K247" i="10"/>
  <c r="J247" i="10"/>
  <c r="O246" i="10"/>
  <c r="M246" i="10"/>
  <c r="L246" i="10"/>
  <c r="K246" i="10"/>
  <c r="Q246" i="10" s="1"/>
  <c r="R246" i="10" s="1"/>
  <c r="J246" i="10"/>
  <c r="O245" i="10"/>
  <c r="M245" i="10"/>
  <c r="L245" i="10"/>
  <c r="K245" i="10"/>
  <c r="Q245" i="10" s="1"/>
  <c r="J245" i="10"/>
  <c r="O244" i="10"/>
  <c r="M244" i="10"/>
  <c r="L244" i="10"/>
  <c r="K244" i="10"/>
  <c r="J244" i="10"/>
  <c r="O243" i="10"/>
  <c r="M243" i="10"/>
  <c r="L243" i="10"/>
  <c r="K243" i="10"/>
  <c r="P243" i="10" s="1"/>
  <c r="J243" i="10"/>
  <c r="O242" i="10"/>
  <c r="M242" i="10"/>
  <c r="L242" i="10"/>
  <c r="K242" i="10"/>
  <c r="P242" i="10" s="1"/>
  <c r="J242" i="10"/>
  <c r="O241" i="10"/>
  <c r="M241" i="10"/>
  <c r="L241" i="10"/>
  <c r="K241" i="10"/>
  <c r="Q241" i="10" s="1"/>
  <c r="R241" i="10" s="1"/>
  <c r="J241" i="10"/>
  <c r="O240" i="10"/>
  <c r="M240" i="10"/>
  <c r="L240" i="10"/>
  <c r="K240" i="10"/>
  <c r="Q240" i="10" s="1"/>
  <c r="R240" i="10" s="1"/>
  <c r="J240" i="10"/>
  <c r="O239" i="10"/>
  <c r="M239" i="10"/>
  <c r="L239" i="10"/>
  <c r="K239" i="10"/>
  <c r="Q239" i="10" s="1"/>
  <c r="R239" i="10" s="1"/>
  <c r="J239" i="10"/>
  <c r="O238" i="10"/>
  <c r="M238" i="10"/>
  <c r="L238" i="10"/>
  <c r="K238" i="10"/>
  <c r="P238" i="10" s="1"/>
  <c r="J238" i="10"/>
  <c r="O237" i="10"/>
  <c r="M237" i="10"/>
  <c r="L237" i="10"/>
  <c r="K237" i="10"/>
  <c r="P237" i="10" s="1"/>
  <c r="J237" i="10"/>
  <c r="O236" i="10"/>
  <c r="M236" i="10"/>
  <c r="L236" i="10"/>
  <c r="K236" i="10"/>
  <c r="J236" i="10"/>
  <c r="O235" i="10"/>
  <c r="M235" i="10"/>
  <c r="L235" i="10"/>
  <c r="K235" i="10"/>
  <c r="P235" i="10" s="1"/>
  <c r="J235" i="10"/>
  <c r="O234" i="10"/>
  <c r="M234" i="10"/>
  <c r="L234" i="10"/>
  <c r="K234" i="10"/>
  <c r="Q234" i="10" s="1"/>
  <c r="R234" i="10" s="1"/>
  <c r="J234" i="10"/>
  <c r="O233" i="10"/>
  <c r="M233" i="10"/>
  <c r="L233" i="10"/>
  <c r="K233" i="10"/>
  <c r="Q233" i="10" s="1"/>
  <c r="R233" i="10" s="1"/>
  <c r="J233" i="10"/>
  <c r="O232" i="10"/>
  <c r="M232" i="10"/>
  <c r="L232" i="10"/>
  <c r="K232" i="10"/>
  <c r="P232" i="10" s="1"/>
  <c r="J232" i="10"/>
  <c r="O231" i="10"/>
  <c r="M231" i="10"/>
  <c r="L231" i="10"/>
  <c r="K231" i="10"/>
  <c r="Q231" i="10" s="1"/>
  <c r="R231" i="10" s="1"/>
  <c r="J231" i="10"/>
  <c r="O230" i="10"/>
  <c r="M230" i="10"/>
  <c r="L230" i="10"/>
  <c r="K230" i="10"/>
  <c r="P230" i="10" s="1"/>
  <c r="J230" i="10"/>
  <c r="O229" i="10"/>
  <c r="M229" i="10"/>
  <c r="L229" i="10"/>
  <c r="K229" i="10"/>
  <c r="Q229" i="10" s="1"/>
  <c r="R229" i="10" s="1"/>
  <c r="J229" i="10"/>
  <c r="O228" i="10"/>
  <c r="M228" i="10"/>
  <c r="L228" i="10"/>
  <c r="K228" i="10"/>
  <c r="J228" i="10"/>
  <c r="O227" i="10"/>
  <c r="M227" i="10"/>
  <c r="L227" i="10"/>
  <c r="K227" i="10"/>
  <c r="Q227" i="10" s="1"/>
  <c r="R227" i="10" s="1"/>
  <c r="J227" i="10"/>
  <c r="O226" i="10"/>
  <c r="M226" i="10"/>
  <c r="L226" i="10"/>
  <c r="K226" i="10"/>
  <c r="J226" i="10"/>
  <c r="O225" i="10"/>
  <c r="M225" i="10"/>
  <c r="L225" i="10"/>
  <c r="K225" i="10"/>
  <c r="P225" i="10" s="1"/>
  <c r="J225" i="10"/>
  <c r="O224" i="10"/>
  <c r="M224" i="10"/>
  <c r="L224" i="10"/>
  <c r="K224" i="10"/>
  <c r="Q224" i="10" s="1"/>
  <c r="R224" i="10" s="1"/>
  <c r="J224" i="10"/>
  <c r="O223" i="10"/>
  <c r="M223" i="10"/>
  <c r="L223" i="10"/>
  <c r="K223" i="10"/>
  <c r="P223" i="10" s="1"/>
  <c r="J223" i="10"/>
  <c r="O222" i="10"/>
  <c r="M222" i="10"/>
  <c r="L222" i="10"/>
  <c r="K222" i="10"/>
  <c r="Q222" i="10" s="1"/>
  <c r="R222" i="10" s="1"/>
  <c r="J222" i="10"/>
  <c r="O221" i="10"/>
  <c r="M221" i="10"/>
  <c r="L221" i="10"/>
  <c r="K221" i="10"/>
  <c r="P221" i="10" s="1"/>
  <c r="J221" i="10"/>
  <c r="O220" i="10"/>
  <c r="M220" i="10"/>
  <c r="L220" i="10"/>
  <c r="K220" i="10"/>
  <c r="Q220" i="10" s="1"/>
  <c r="R220" i="10" s="1"/>
  <c r="J220" i="10"/>
  <c r="O219" i="10"/>
  <c r="M219" i="10"/>
  <c r="L219" i="10"/>
  <c r="K219" i="10"/>
  <c r="J219" i="10"/>
  <c r="O218" i="10"/>
  <c r="M218" i="10"/>
  <c r="L218" i="10"/>
  <c r="K218" i="10"/>
  <c r="Q218" i="10" s="1"/>
  <c r="R218" i="10" s="1"/>
  <c r="J218" i="10"/>
  <c r="O217" i="10"/>
  <c r="M217" i="10"/>
  <c r="L217" i="10"/>
  <c r="K217" i="10"/>
  <c r="Q217" i="10" s="1"/>
  <c r="R217" i="10" s="1"/>
  <c r="J217" i="10"/>
  <c r="O216" i="10"/>
  <c r="M216" i="10"/>
  <c r="L216" i="10"/>
  <c r="K216" i="10"/>
  <c r="P216" i="10" s="1"/>
  <c r="J216" i="10"/>
  <c r="O215" i="10"/>
  <c r="M215" i="10"/>
  <c r="L215" i="10"/>
  <c r="K215" i="10"/>
  <c r="Q215" i="10" s="1"/>
  <c r="R215" i="10" s="1"/>
  <c r="J215" i="10"/>
  <c r="O214" i="10"/>
  <c r="M214" i="10"/>
  <c r="L214" i="10"/>
  <c r="K214" i="10"/>
  <c r="Q214" i="10" s="1"/>
  <c r="R214" i="10" s="1"/>
  <c r="J214" i="10"/>
  <c r="O213" i="10"/>
  <c r="M213" i="10"/>
  <c r="L213" i="10"/>
  <c r="K213" i="10"/>
  <c r="Q213" i="10" s="1"/>
  <c r="R213" i="10" s="1"/>
  <c r="J213" i="10"/>
  <c r="O212" i="10"/>
  <c r="M212" i="10"/>
  <c r="L212" i="10"/>
  <c r="K212" i="10"/>
  <c r="P212" i="10" s="1"/>
  <c r="J212" i="10"/>
  <c r="O211" i="10"/>
  <c r="M211" i="10"/>
  <c r="L211" i="10"/>
  <c r="K211" i="10"/>
  <c r="P211" i="10" s="1"/>
  <c r="J211" i="10"/>
  <c r="O210" i="10"/>
  <c r="M210" i="10"/>
  <c r="L210" i="10"/>
  <c r="K210" i="10"/>
  <c r="J210" i="10"/>
  <c r="O209" i="10"/>
  <c r="M209" i="10"/>
  <c r="L209" i="10"/>
  <c r="K209" i="10"/>
  <c r="J209" i="10"/>
  <c r="O208" i="10"/>
  <c r="M208" i="10"/>
  <c r="L208" i="10"/>
  <c r="K208" i="10"/>
  <c r="J208" i="10"/>
  <c r="O207" i="10"/>
  <c r="M207" i="10"/>
  <c r="L207" i="10"/>
  <c r="K207" i="10"/>
  <c r="Q207" i="10" s="1"/>
  <c r="R207" i="10" s="1"/>
  <c r="J207" i="10"/>
  <c r="O206" i="10"/>
  <c r="M206" i="10"/>
  <c r="L206" i="10"/>
  <c r="K206" i="10"/>
  <c r="P206" i="10" s="1"/>
  <c r="J206" i="10"/>
  <c r="O205" i="10"/>
  <c r="M205" i="10"/>
  <c r="L205" i="10"/>
  <c r="K205" i="10"/>
  <c r="Q205" i="10" s="1"/>
  <c r="R205" i="10" s="1"/>
  <c r="J205" i="10"/>
  <c r="O204" i="10"/>
  <c r="M204" i="10"/>
  <c r="L204" i="10"/>
  <c r="K204" i="10"/>
  <c r="Q204" i="10" s="1"/>
  <c r="R204" i="10" s="1"/>
  <c r="J204" i="10"/>
  <c r="O203" i="10"/>
  <c r="M203" i="10"/>
  <c r="L203" i="10"/>
  <c r="K203" i="10"/>
  <c r="P203" i="10" s="1"/>
  <c r="J203" i="10"/>
  <c r="O202" i="10"/>
  <c r="M202" i="10"/>
  <c r="L202" i="10"/>
  <c r="K202" i="10"/>
  <c r="J202" i="10"/>
  <c r="O201" i="10"/>
  <c r="M201" i="10"/>
  <c r="L201" i="10"/>
  <c r="K201" i="10"/>
  <c r="J201" i="10"/>
  <c r="O200" i="10"/>
  <c r="M200" i="10"/>
  <c r="L200" i="10"/>
  <c r="K200" i="10"/>
  <c r="J200" i="10"/>
  <c r="O199" i="10"/>
  <c r="M199" i="10"/>
  <c r="L199" i="10"/>
  <c r="K199" i="10"/>
  <c r="Q199" i="10" s="1"/>
  <c r="R199" i="10" s="1"/>
  <c r="J199" i="10"/>
  <c r="O198" i="10"/>
  <c r="M198" i="10"/>
  <c r="L198" i="10"/>
  <c r="K198" i="10"/>
  <c r="Q198" i="10" s="1"/>
  <c r="R198" i="10" s="1"/>
  <c r="J198" i="10"/>
  <c r="O197" i="10"/>
  <c r="M197" i="10"/>
  <c r="L197" i="10"/>
  <c r="K197" i="10"/>
  <c r="P197" i="10" s="1"/>
  <c r="J197" i="10"/>
  <c r="O196" i="10"/>
  <c r="M196" i="10"/>
  <c r="L196" i="10"/>
  <c r="K196" i="10"/>
  <c r="Q196" i="10" s="1"/>
  <c r="R196" i="10" s="1"/>
  <c r="J196" i="10"/>
  <c r="O195" i="10"/>
  <c r="M195" i="10"/>
  <c r="L195" i="10"/>
  <c r="K195" i="10"/>
  <c r="P195" i="10" s="1"/>
  <c r="J195" i="10"/>
  <c r="O194" i="10"/>
  <c r="M194" i="10"/>
  <c r="L194" i="10"/>
  <c r="K194" i="10"/>
  <c r="Q194" i="10" s="1"/>
  <c r="R194" i="10" s="1"/>
  <c r="J194" i="10"/>
  <c r="O193" i="10"/>
  <c r="M193" i="10"/>
  <c r="L193" i="10"/>
  <c r="K193" i="10"/>
  <c r="Q193" i="10" s="1"/>
  <c r="R193" i="10" s="1"/>
  <c r="J193" i="10"/>
  <c r="O192" i="10"/>
  <c r="M192" i="10"/>
  <c r="L192" i="10"/>
  <c r="K192" i="10"/>
  <c r="Q192" i="10" s="1"/>
  <c r="R192" i="10" s="1"/>
  <c r="J192" i="10"/>
  <c r="O191" i="10"/>
  <c r="M191" i="10"/>
  <c r="L191" i="10"/>
  <c r="K191" i="10"/>
  <c r="P191" i="10" s="1"/>
  <c r="J191" i="10"/>
  <c r="O190" i="10"/>
  <c r="M190" i="10"/>
  <c r="L190" i="10"/>
  <c r="K190" i="10"/>
  <c r="J190" i="10"/>
  <c r="O189" i="10"/>
  <c r="M189" i="10"/>
  <c r="L189" i="10"/>
  <c r="K189" i="10"/>
  <c r="P189" i="10" s="1"/>
  <c r="J189" i="10"/>
  <c r="O188" i="10"/>
  <c r="M188" i="10"/>
  <c r="L188" i="10"/>
  <c r="K188" i="10"/>
  <c r="P188" i="10" s="1"/>
  <c r="J188" i="10"/>
  <c r="O187" i="10"/>
  <c r="M187" i="10"/>
  <c r="L187" i="10"/>
  <c r="K187" i="10"/>
  <c r="P187" i="10" s="1"/>
  <c r="J187" i="10"/>
  <c r="O186" i="10"/>
  <c r="M186" i="10"/>
  <c r="L186" i="10"/>
  <c r="K186" i="10"/>
  <c r="Q186" i="10" s="1"/>
  <c r="R186" i="10" s="1"/>
  <c r="J186" i="10"/>
  <c r="O185" i="10"/>
  <c r="M185" i="10"/>
  <c r="L185" i="10"/>
  <c r="K185" i="10"/>
  <c r="Q185" i="10" s="1"/>
  <c r="R185" i="10" s="1"/>
  <c r="J185" i="10"/>
  <c r="O184" i="10"/>
  <c r="M184" i="10"/>
  <c r="L184" i="10"/>
  <c r="K184" i="10"/>
  <c r="P184" i="10" s="1"/>
  <c r="J184" i="10"/>
  <c r="O183" i="10"/>
  <c r="M183" i="10"/>
  <c r="L183" i="10"/>
  <c r="K183" i="10"/>
  <c r="P183" i="10" s="1"/>
  <c r="J183" i="10"/>
  <c r="O182" i="10"/>
  <c r="M182" i="10"/>
  <c r="L182" i="10"/>
  <c r="K182" i="10"/>
  <c r="P182" i="10" s="1"/>
  <c r="J182" i="10"/>
  <c r="O181" i="10"/>
  <c r="M181" i="10"/>
  <c r="L181" i="10"/>
  <c r="K181" i="10"/>
  <c r="J181" i="10"/>
  <c r="O180" i="10"/>
  <c r="M180" i="10"/>
  <c r="L180" i="10"/>
  <c r="K180" i="10"/>
  <c r="P180" i="10" s="1"/>
  <c r="J180" i="10"/>
  <c r="O179" i="10"/>
  <c r="M179" i="10"/>
  <c r="L179" i="10"/>
  <c r="K179" i="10"/>
  <c r="J179" i="10"/>
  <c r="O178" i="10"/>
  <c r="M178" i="10"/>
  <c r="L178" i="10"/>
  <c r="K178" i="10"/>
  <c r="P178" i="10" s="1"/>
  <c r="J178" i="10"/>
  <c r="O177" i="10"/>
  <c r="M177" i="10"/>
  <c r="L177" i="10"/>
  <c r="K177" i="10"/>
  <c r="Q177" i="10" s="1"/>
  <c r="R177" i="10" s="1"/>
  <c r="J177" i="10"/>
  <c r="O176" i="10"/>
  <c r="M176" i="10"/>
  <c r="L176" i="10"/>
  <c r="K176" i="10"/>
  <c r="Q176" i="10" s="1"/>
  <c r="R176" i="10" s="1"/>
  <c r="J176" i="10"/>
  <c r="O175" i="10"/>
  <c r="M175" i="10"/>
  <c r="L175" i="10"/>
  <c r="K175" i="10"/>
  <c r="Q175" i="10" s="1"/>
  <c r="R175" i="10" s="1"/>
  <c r="J175" i="10"/>
  <c r="O174" i="10"/>
  <c r="M174" i="10"/>
  <c r="L174" i="10"/>
  <c r="K174" i="10"/>
  <c r="P174" i="10" s="1"/>
  <c r="J174" i="10"/>
  <c r="O173" i="10"/>
  <c r="M173" i="10"/>
  <c r="L173" i="10"/>
  <c r="K173" i="10"/>
  <c r="P173" i="10" s="1"/>
  <c r="J173" i="10"/>
  <c r="O172" i="10"/>
  <c r="M172" i="10"/>
  <c r="L172" i="10"/>
  <c r="K172" i="10"/>
  <c r="P172" i="10" s="1"/>
  <c r="J172" i="10"/>
  <c r="O171" i="10"/>
  <c r="M171" i="10"/>
  <c r="L171" i="10"/>
  <c r="K171" i="10"/>
  <c r="Q171" i="10" s="1"/>
  <c r="R171" i="10" s="1"/>
  <c r="J171" i="10"/>
  <c r="O170" i="10"/>
  <c r="M170" i="10"/>
  <c r="L170" i="10"/>
  <c r="K170" i="10"/>
  <c r="J170" i="10"/>
  <c r="O169" i="10"/>
  <c r="M169" i="10"/>
  <c r="L169" i="10"/>
  <c r="K169" i="10"/>
  <c r="P169" i="10" s="1"/>
  <c r="J169" i="10"/>
  <c r="O168" i="10"/>
  <c r="M168" i="10"/>
  <c r="L168" i="10"/>
  <c r="K168" i="10"/>
  <c r="Q168" i="10" s="1"/>
  <c r="R168" i="10" s="1"/>
  <c r="J168" i="10"/>
  <c r="O167" i="10"/>
  <c r="M167" i="10"/>
  <c r="L167" i="10"/>
  <c r="K167" i="10"/>
  <c r="P167" i="10" s="1"/>
  <c r="J167" i="10"/>
  <c r="O166" i="10"/>
  <c r="M166" i="10"/>
  <c r="L166" i="10"/>
  <c r="K166" i="10"/>
  <c r="Q166" i="10" s="1"/>
  <c r="R166" i="10" s="1"/>
  <c r="J166" i="10"/>
  <c r="O165" i="10"/>
  <c r="M165" i="10"/>
  <c r="L165" i="10"/>
  <c r="K165" i="10"/>
  <c r="Q165" i="10" s="1"/>
  <c r="R165" i="10" s="1"/>
  <c r="J165" i="10"/>
  <c r="O164" i="10"/>
  <c r="M164" i="10"/>
  <c r="L164" i="10"/>
  <c r="K164" i="10"/>
  <c r="Q164" i="10" s="1"/>
  <c r="R164" i="10" s="1"/>
  <c r="J164" i="10"/>
  <c r="O163" i="10"/>
  <c r="M163" i="10"/>
  <c r="L163" i="10"/>
  <c r="K163" i="10"/>
  <c r="P163" i="10" s="1"/>
  <c r="J163" i="10"/>
  <c r="O162" i="10"/>
  <c r="M162" i="10"/>
  <c r="L162" i="10"/>
  <c r="K162" i="10"/>
  <c r="Q162" i="10" s="1"/>
  <c r="J162" i="10"/>
  <c r="O161" i="10"/>
  <c r="M161" i="10"/>
  <c r="L161" i="10"/>
  <c r="K161" i="10"/>
  <c r="J161" i="10"/>
  <c r="O160" i="10"/>
  <c r="M160" i="10"/>
  <c r="L160" i="10"/>
  <c r="K160" i="10"/>
  <c r="J160" i="10"/>
  <c r="O159" i="10"/>
  <c r="M159" i="10"/>
  <c r="L159" i="10"/>
  <c r="K159" i="10"/>
  <c r="Q159" i="10" s="1"/>
  <c r="R159" i="10" s="1"/>
  <c r="J159" i="10"/>
  <c r="O158" i="10"/>
  <c r="M158" i="10"/>
  <c r="L158" i="10"/>
  <c r="K158" i="10"/>
  <c r="Q158" i="10" s="1"/>
  <c r="R158" i="10" s="1"/>
  <c r="J158" i="10"/>
  <c r="O157" i="10"/>
  <c r="M157" i="10"/>
  <c r="L157" i="10"/>
  <c r="K157" i="10"/>
  <c r="Q157" i="10" s="1"/>
  <c r="R157" i="10" s="1"/>
  <c r="J157" i="10"/>
  <c r="O156" i="10"/>
  <c r="M156" i="10"/>
  <c r="L156" i="10"/>
  <c r="K156" i="10"/>
  <c r="Q156" i="10" s="1"/>
  <c r="R156" i="10" s="1"/>
  <c r="J156" i="10"/>
  <c r="O155" i="10"/>
  <c r="M155" i="10"/>
  <c r="L155" i="10"/>
  <c r="K155" i="10"/>
  <c r="Q155" i="10" s="1"/>
  <c r="R155" i="10" s="1"/>
  <c r="J155" i="10"/>
  <c r="O154" i="10"/>
  <c r="M154" i="10"/>
  <c r="L154" i="10"/>
  <c r="K154" i="10"/>
  <c r="P154" i="10" s="1"/>
  <c r="J154" i="10"/>
  <c r="O153" i="10"/>
  <c r="M153" i="10"/>
  <c r="L153" i="10"/>
  <c r="K153" i="10"/>
  <c r="P153" i="10" s="1"/>
  <c r="J153" i="10"/>
  <c r="O152" i="10"/>
  <c r="M152" i="10"/>
  <c r="L152" i="10"/>
  <c r="K152" i="10"/>
  <c r="J152" i="10"/>
  <c r="O151" i="10"/>
  <c r="M151" i="10"/>
  <c r="L151" i="10"/>
  <c r="K151" i="10"/>
  <c r="Q151" i="10" s="1"/>
  <c r="R151" i="10" s="1"/>
  <c r="J151" i="10"/>
  <c r="O150" i="10"/>
  <c r="M150" i="10"/>
  <c r="L150" i="10"/>
  <c r="K150" i="10"/>
  <c r="Q150" i="10" s="1"/>
  <c r="R150" i="10" s="1"/>
  <c r="J150" i="10"/>
  <c r="O149" i="10"/>
  <c r="M149" i="10"/>
  <c r="L149" i="10"/>
  <c r="K149" i="10"/>
  <c r="Q149" i="10" s="1"/>
  <c r="R149" i="10" s="1"/>
  <c r="J149" i="10"/>
  <c r="O148" i="10"/>
  <c r="M148" i="10"/>
  <c r="L148" i="10"/>
  <c r="K148" i="10"/>
  <c r="P148" i="10" s="1"/>
  <c r="J148" i="10"/>
  <c r="O147" i="10"/>
  <c r="M147" i="10"/>
  <c r="L147" i="10"/>
  <c r="K147" i="10"/>
  <c r="Q147" i="10" s="1"/>
  <c r="R147" i="10" s="1"/>
  <c r="J147" i="10"/>
  <c r="O146" i="10"/>
  <c r="M146" i="10"/>
  <c r="L146" i="10"/>
  <c r="K146" i="10"/>
  <c r="P146" i="10" s="1"/>
  <c r="J146" i="10"/>
  <c r="O145" i="10"/>
  <c r="M145" i="10"/>
  <c r="L145" i="10"/>
  <c r="K145" i="10"/>
  <c r="Q145" i="10" s="1"/>
  <c r="R145" i="10" s="1"/>
  <c r="J145" i="10"/>
  <c r="O144" i="10"/>
  <c r="M144" i="10"/>
  <c r="L144" i="10"/>
  <c r="K144" i="10"/>
  <c r="Q144" i="10" s="1"/>
  <c r="R144" i="10" s="1"/>
  <c r="J144" i="10"/>
  <c r="O143" i="10"/>
  <c r="M143" i="10"/>
  <c r="L143" i="10"/>
  <c r="K143" i="10"/>
  <c r="P143" i="10" s="1"/>
  <c r="J143" i="10"/>
  <c r="O142" i="10"/>
  <c r="M142" i="10"/>
  <c r="L142" i="10"/>
  <c r="K142" i="10"/>
  <c r="Q142" i="10" s="1"/>
  <c r="R142" i="10" s="1"/>
  <c r="J142" i="10"/>
  <c r="O141" i="10"/>
  <c r="M141" i="10"/>
  <c r="L141" i="10"/>
  <c r="K141" i="10"/>
  <c r="J141" i="10"/>
  <c r="O140" i="10"/>
  <c r="M140" i="10"/>
  <c r="L140" i="10"/>
  <c r="K140" i="10"/>
  <c r="Q140" i="10" s="1"/>
  <c r="R140" i="10" s="1"/>
  <c r="J140" i="10"/>
  <c r="O139" i="10"/>
  <c r="M139" i="10"/>
  <c r="L139" i="10"/>
  <c r="K139" i="10"/>
  <c r="P139" i="10" s="1"/>
  <c r="J139" i="10"/>
  <c r="O138" i="10"/>
  <c r="M138" i="10"/>
  <c r="L138" i="10"/>
  <c r="K138" i="10"/>
  <c r="Q138" i="10" s="1"/>
  <c r="J138" i="10"/>
  <c r="O137" i="10"/>
  <c r="M137" i="10"/>
  <c r="L137" i="10"/>
  <c r="K137" i="10"/>
  <c r="P137" i="10" s="1"/>
  <c r="J137" i="10"/>
  <c r="O136" i="10"/>
  <c r="M136" i="10"/>
  <c r="L136" i="10"/>
  <c r="K136" i="10"/>
  <c r="Q136" i="10" s="1"/>
  <c r="R136" i="10" s="1"/>
  <c r="J136" i="10"/>
  <c r="O135" i="10"/>
  <c r="M135" i="10"/>
  <c r="L135" i="10"/>
  <c r="K135" i="10"/>
  <c r="P135" i="10" s="1"/>
  <c r="J135" i="10"/>
  <c r="O134" i="10"/>
  <c r="M134" i="10"/>
  <c r="L134" i="10"/>
  <c r="K134" i="10"/>
  <c r="P134" i="10" s="1"/>
  <c r="J134" i="10"/>
  <c r="O133" i="10"/>
  <c r="M133" i="10"/>
  <c r="L133" i="10"/>
  <c r="K133" i="10"/>
  <c r="Q133" i="10" s="1"/>
  <c r="R133" i="10" s="1"/>
  <c r="J133" i="10"/>
  <c r="O132" i="10"/>
  <c r="M132" i="10"/>
  <c r="L132" i="10"/>
  <c r="K132" i="10"/>
  <c r="J132" i="10"/>
  <c r="O131" i="10"/>
  <c r="M131" i="10"/>
  <c r="L131" i="10"/>
  <c r="K131" i="10"/>
  <c r="P131" i="10" s="1"/>
  <c r="J131" i="10"/>
  <c r="O130" i="10"/>
  <c r="M130" i="10"/>
  <c r="L130" i="10"/>
  <c r="K130" i="10"/>
  <c r="Q130" i="10" s="1"/>
  <c r="R130" i="10" s="1"/>
  <c r="J130" i="10"/>
  <c r="O129" i="10"/>
  <c r="M129" i="10"/>
  <c r="L129" i="10"/>
  <c r="K129" i="10"/>
  <c r="Q129" i="10" s="1"/>
  <c r="R129" i="10" s="1"/>
  <c r="J129" i="10"/>
  <c r="O128" i="10"/>
  <c r="M128" i="10"/>
  <c r="L128" i="10"/>
  <c r="K128" i="10"/>
  <c r="P128" i="10" s="1"/>
  <c r="J128" i="10"/>
  <c r="O127" i="10"/>
  <c r="M127" i="10"/>
  <c r="L127" i="10"/>
  <c r="K127" i="10"/>
  <c r="Q127" i="10" s="1"/>
  <c r="R127" i="10" s="1"/>
  <c r="J127" i="10"/>
  <c r="O126" i="10"/>
  <c r="M126" i="10"/>
  <c r="L126" i="10"/>
  <c r="K126" i="10"/>
  <c r="Q126" i="10" s="1"/>
  <c r="R126" i="10" s="1"/>
  <c r="J126" i="10"/>
  <c r="O125" i="10"/>
  <c r="M125" i="10"/>
  <c r="L125" i="10"/>
  <c r="K125" i="10"/>
  <c r="P125" i="10" s="1"/>
  <c r="J125" i="10"/>
  <c r="O124" i="10"/>
  <c r="M124" i="10"/>
  <c r="L124" i="10"/>
  <c r="K124" i="10"/>
  <c r="Q124" i="10" s="1"/>
  <c r="R124" i="10" s="1"/>
  <c r="J124" i="10"/>
  <c r="O123" i="10"/>
  <c r="M123" i="10"/>
  <c r="L123" i="10"/>
  <c r="K123" i="10"/>
  <c r="P123" i="10" s="1"/>
  <c r="J123" i="10"/>
  <c r="O122" i="10"/>
  <c r="M122" i="10"/>
  <c r="L122" i="10"/>
  <c r="K122" i="10"/>
  <c r="Q122" i="10" s="1"/>
  <c r="R122" i="10" s="1"/>
  <c r="J122" i="10"/>
  <c r="O121" i="10"/>
  <c r="M121" i="10"/>
  <c r="L121" i="10"/>
  <c r="K121" i="10"/>
  <c r="Q121" i="10" s="1"/>
  <c r="R121" i="10" s="1"/>
  <c r="J121" i="10"/>
  <c r="O120" i="10"/>
  <c r="M120" i="10"/>
  <c r="L120" i="10"/>
  <c r="K120" i="10"/>
  <c r="Q120" i="10" s="1"/>
  <c r="R120" i="10" s="1"/>
  <c r="J120" i="10"/>
  <c r="O119" i="10"/>
  <c r="M119" i="10"/>
  <c r="L119" i="10"/>
  <c r="K119" i="10"/>
  <c r="J119" i="10"/>
  <c r="O118" i="10"/>
  <c r="M118" i="10"/>
  <c r="L118" i="10"/>
  <c r="K118" i="10"/>
  <c r="P118" i="10" s="1"/>
  <c r="J118" i="10"/>
  <c r="O117" i="10"/>
  <c r="M117" i="10"/>
  <c r="L117" i="10"/>
  <c r="K117" i="10"/>
  <c r="P117" i="10" s="1"/>
  <c r="J117" i="10"/>
  <c r="O116" i="10"/>
  <c r="M116" i="10"/>
  <c r="L116" i="10"/>
  <c r="K116" i="10"/>
  <c r="Q116" i="10" s="1"/>
  <c r="R116" i="10" s="1"/>
  <c r="J116" i="10"/>
  <c r="O115" i="10"/>
  <c r="M115" i="10"/>
  <c r="L115" i="10"/>
  <c r="K115" i="10"/>
  <c r="Q115" i="10" s="1"/>
  <c r="R115" i="10" s="1"/>
  <c r="J115" i="10"/>
  <c r="O114" i="10"/>
  <c r="M114" i="10"/>
  <c r="L114" i="10"/>
  <c r="K114" i="10"/>
  <c r="P114" i="10" s="1"/>
  <c r="J114" i="10"/>
  <c r="O113" i="10"/>
  <c r="M113" i="10"/>
  <c r="L113" i="10"/>
  <c r="K113" i="10"/>
  <c r="Q113" i="10" s="1"/>
  <c r="R113" i="10" s="1"/>
  <c r="J113" i="10"/>
  <c r="O112" i="10"/>
  <c r="M112" i="10"/>
  <c r="L112" i="10"/>
  <c r="K112" i="10"/>
  <c r="Q112" i="10" s="1"/>
  <c r="R112" i="10" s="1"/>
  <c r="J112" i="10"/>
  <c r="O111" i="10"/>
  <c r="M111" i="10"/>
  <c r="L111" i="10"/>
  <c r="K111" i="10"/>
  <c r="J111" i="10"/>
  <c r="O110" i="10"/>
  <c r="M110" i="10"/>
  <c r="L110" i="10"/>
  <c r="K110" i="10"/>
  <c r="Q110" i="10" s="1"/>
  <c r="R110" i="10" s="1"/>
  <c r="J110" i="10"/>
  <c r="O109" i="10"/>
  <c r="M109" i="10"/>
  <c r="L109" i="10"/>
  <c r="K109" i="10"/>
  <c r="Q109" i="10" s="1"/>
  <c r="R109" i="10" s="1"/>
  <c r="J109" i="10"/>
  <c r="O108" i="10"/>
  <c r="M108" i="10"/>
  <c r="L108" i="10"/>
  <c r="K108" i="10"/>
  <c r="P108" i="10" s="1"/>
  <c r="J108" i="10"/>
  <c r="O107" i="10"/>
  <c r="M107" i="10"/>
  <c r="L107" i="10"/>
  <c r="K107" i="10"/>
  <c r="Q107" i="10" s="1"/>
  <c r="R107" i="10" s="1"/>
  <c r="J107" i="10"/>
  <c r="O106" i="10"/>
  <c r="M106" i="10"/>
  <c r="L106" i="10"/>
  <c r="K106" i="10"/>
  <c r="Q106" i="10" s="1"/>
  <c r="R106" i="10" s="1"/>
  <c r="J106" i="10"/>
  <c r="O105" i="10"/>
  <c r="M105" i="10"/>
  <c r="L105" i="10"/>
  <c r="K105" i="10"/>
  <c r="P105" i="10" s="1"/>
  <c r="J105" i="10"/>
  <c r="O104" i="10"/>
  <c r="M104" i="10"/>
  <c r="L104" i="10"/>
  <c r="K104" i="10"/>
  <c r="P104" i="10" s="1"/>
  <c r="J104" i="10"/>
  <c r="O103" i="10"/>
  <c r="M103" i="10"/>
  <c r="L103" i="10"/>
  <c r="K103" i="10"/>
  <c r="J103" i="10"/>
  <c r="O102" i="10"/>
  <c r="M102" i="10"/>
  <c r="L102" i="10"/>
  <c r="K102" i="10"/>
  <c r="Q102" i="10" s="1"/>
  <c r="R102" i="10" s="1"/>
  <c r="J102" i="10"/>
  <c r="O101" i="10"/>
  <c r="M101" i="10"/>
  <c r="L101" i="10"/>
  <c r="K101" i="10"/>
  <c r="Q101" i="10" s="1"/>
  <c r="R101" i="10" s="1"/>
  <c r="J101" i="10"/>
  <c r="O100" i="10"/>
  <c r="M100" i="10"/>
  <c r="L100" i="10"/>
  <c r="K100" i="10"/>
  <c r="Q100" i="10" s="1"/>
  <c r="R100" i="10" s="1"/>
  <c r="J100" i="10"/>
  <c r="O99" i="10"/>
  <c r="M99" i="10"/>
  <c r="L99" i="10"/>
  <c r="K99" i="10"/>
  <c r="Q99" i="10" s="1"/>
  <c r="R99" i="10" s="1"/>
  <c r="J99" i="10"/>
  <c r="O98" i="10"/>
  <c r="M98" i="10"/>
  <c r="L98" i="10"/>
  <c r="K98" i="10"/>
  <c r="P98" i="10" s="1"/>
  <c r="J98" i="10"/>
  <c r="O97" i="10"/>
  <c r="M97" i="10"/>
  <c r="L97" i="10"/>
  <c r="K97" i="10"/>
  <c r="J97" i="10"/>
  <c r="O96" i="10"/>
  <c r="M96" i="10"/>
  <c r="L96" i="10"/>
  <c r="K96" i="10"/>
  <c r="Q96" i="10" s="1"/>
  <c r="R96" i="10" s="1"/>
  <c r="J96" i="10"/>
  <c r="O95" i="10"/>
  <c r="M95" i="10"/>
  <c r="L95" i="10"/>
  <c r="K95" i="10"/>
  <c r="P95" i="10" s="1"/>
  <c r="J95" i="10"/>
  <c r="O94" i="10"/>
  <c r="M94" i="10"/>
  <c r="L94" i="10"/>
  <c r="K94" i="10"/>
  <c r="Q94" i="10" s="1"/>
  <c r="R94" i="10" s="1"/>
  <c r="J94" i="10"/>
  <c r="O93" i="10"/>
  <c r="M93" i="10"/>
  <c r="L93" i="10"/>
  <c r="K93" i="10"/>
  <c r="Q93" i="10" s="1"/>
  <c r="R93" i="10" s="1"/>
  <c r="J93" i="10"/>
  <c r="O92" i="10"/>
  <c r="M92" i="10"/>
  <c r="L92" i="10"/>
  <c r="K92" i="10"/>
  <c r="Q92" i="10" s="1"/>
  <c r="R92" i="10" s="1"/>
  <c r="J92" i="10"/>
  <c r="O91" i="10"/>
  <c r="M91" i="10"/>
  <c r="L91" i="10"/>
  <c r="K91" i="10"/>
  <c r="P91" i="10" s="1"/>
  <c r="J91" i="10"/>
  <c r="O90" i="10"/>
  <c r="M90" i="10"/>
  <c r="L90" i="10"/>
  <c r="K90" i="10"/>
  <c r="J90" i="10"/>
  <c r="O89" i="10"/>
  <c r="M89" i="10"/>
  <c r="L89" i="10"/>
  <c r="K89" i="10"/>
  <c r="Q89" i="10" s="1"/>
  <c r="R89" i="10" s="1"/>
  <c r="J89" i="10"/>
  <c r="O88" i="10"/>
  <c r="M88" i="10"/>
  <c r="L88" i="10"/>
  <c r="K88" i="10"/>
  <c r="J88" i="10"/>
  <c r="O87" i="10"/>
  <c r="M87" i="10"/>
  <c r="L87" i="10"/>
  <c r="K87" i="10"/>
  <c r="P87" i="10" s="1"/>
  <c r="J87" i="10"/>
  <c r="O86" i="10"/>
  <c r="M86" i="10"/>
  <c r="L86" i="10"/>
  <c r="K86" i="10"/>
  <c r="Q86" i="10" s="1"/>
  <c r="R86" i="10" s="1"/>
  <c r="J86" i="10"/>
  <c r="O85" i="10"/>
  <c r="M85" i="10"/>
  <c r="L85" i="10"/>
  <c r="K85" i="10"/>
  <c r="P85" i="10" s="1"/>
  <c r="J85" i="10"/>
  <c r="O84" i="10"/>
  <c r="M84" i="10"/>
  <c r="L84" i="10"/>
  <c r="K84" i="10"/>
  <c r="Q84" i="10" s="1"/>
  <c r="R84" i="10" s="1"/>
  <c r="J84" i="10"/>
  <c r="O83" i="10"/>
  <c r="M83" i="10"/>
  <c r="L83" i="10"/>
  <c r="K83" i="10"/>
  <c r="J83" i="10"/>
  <c r="O82" i="10"/>
  <c r="M82" i="10"/>
  <c r="L82" i="10"/>
  <c r="K82" i="10"/>
  <c r="J82" i="10"/>
  <c r="O81" i="10"/>
  <c r="M81" i="10"/>
  <c r="L81" i="10"/>
  <c r="K81" i="10"/>
  <c r="Q81" i="10" s="1"/>
  <c r="R81" i="10" s="1"/>
  <c r="J81" i="10"/>
  <c r="O80" i="10"/>
  <c r="M80" i="10"/>
  <c r="L80" i="10"/>
  <c r="K80" i="10"/>
  <c r="Q80" i="10" s="1"/>
  <c r="R80" i="10" s="1"/>
  <c r="J80" i="10"/>
  <c r="O79" i="10"/>
  <c r="M79" i="10"/>
  <c r="L79" i="10"/>
  <c r="K79" i="10"/>
  <c r="Q79" i="10" s="1"/>
  <c r="R79" i="10" s="1"/>
  <c r="J79" i="10"/>
  <c r="O78" i="10"/>
  <c r="M78" i="10"/>
  <c r="L78" i="10"/>
  <c r="K78" i="10"/>
  <c r="Q78" i="10" s="1"/>
  <c r="R78" i="10" s="1"/>
  <c r="J78" i="10"/>
  <c r="O77" i="10"/>
  <c r="M77" i="10"/>
  <c r="L77" i="10"/>
  <c r="K77" i="10"/>
  <c r="Q77" i="10" s="1"/>
  <c r="R77" i="10" s="1"/>
  <c r="J77" i="10"/>
  <c r="O76" i="10"/>
  <c r="M76" i="10"/>
  <c r="L76" i="10"/>
  <c r="K76" i="10"/>
  <c r="P76" i="10" s="1"/>
  <c r="J76" i="10"/>
  <c r="O75" i="10"/>
  <c r="M75" i="10"/>
  <c r="L75" i="10"/>
  <c r="K75" i="10"/>
  <c r="P75" i="10" s="1"/>
  <c r="J75" i="10"/>
  <c r="O74" i="10"/>
  <c r="M74" i="10"/>
  <c r="L74" i="10"/>
  <c r="K74" i="10"/>
  <c r="P74" i="10" s="1"/>
  <c r="J74" i="10"/>
  <c r="O73" i="10"/>
  <c r="M73" i="10"/>
  <c r="L73" i="10"/>
  <c r="K73" i="10"/>
  <c r="Q73" i="10" s="1"/>
  <c r="R73" i="10" s="1"/>
  <c r="J73" i="10"/>
  <c r="O72" i="10"/>
  <c r="M72" i="10"/>
  <c r="L72" i="10"/>
  <c r="K72" i="10"/>
  <c r="Q72" i="10" s="1"/>
  <c r="R72" i="10" s="1"/>
  <c r="J72" i="10"/>
  <c r="O71" i="10"/>
  <c r="M71" i="10"/>
  <c r="L71" i="10"/>
  <c r="K71" i="10"/>
  <c r="Q71" i="10" s="1"/>
  <c r="R71" i="10" s="1"/>
  <c r="J71" i="10"/>
  <c r="O70" i="10"/>
  <c r="M70" i="10"/>
  <c r="L70" i="10"/>
  <c r="K70" i="10"/>
  <c r="Q70" i="10" s="1"/>
  <c r="R70" i="10" s="1"/>
  <c r="J70" i="10"/>
  <c r="O69" i="10"/>
  <c r="M69" i="10"/>
  <c r="L69" i="10"/>
  <c r="K69" i="10"/>
  <c r="P69" i="10" s="1"/>
  <c r="J69" i="10"/>
  <c r="O68" i="10"/>
  <c r="M68" i="10"/>
  <c r="L68" i="10"/>
  <c r="K68" i="10"/>
  <c r="Q68" i="10" s="1"/>
  <c r="R68" i="10" s="1"/>
  <c r="J68" i="10"/>
  <c r="O67" i="10"/>
  <c r="M67" i="10"/>
  <c r="L67" i="10"/>
  <c r="K67" i="10"/>
  <c r="Q67" i="10" s="1"/>
  <c r="R67" i="10" s="1"/>
  <c r="J67" i="10"/>
  <c r="O66" i="10"/>
  <c r="M66" i="10"/>
  <c r="L66" i="10"/>
  <c r="K66" i="10"/>
  <c r="Q66" i="10" s="1"/>
  <c r="R66" i="10" s="1"/>
  <c r="J66" i="10"/>
  <c r="O65" i="10"/>
  <c r="M65" i="10"/>
  <c r="L65" i="10"/>
  <c r="K65" i="10"/>
  <c r="J65" i="10"/>
  <c r="O64" i="10"/>
  <c r="M64" i="10"/>
  <c r="L64" i="10"/>
  <c r="K64" i="10"/>
  <c r="Q64" i="10" s="1"/>
  <c r="R64" i="10" s="1"/>
  <c r="J64" i="10"/>
  <c r="O63" i="10"/>
  <c r="M63" i="10"/>
  <c r="L63" i="10"/>
  <c r="K63" i="10"/>
  <c r="J63" i="10"/>
  <c r="O62" i="10"/>
  <c r="M62" i="10"/>
  <c r="L62" i="10"/>
  <c r="K62" i="10"/>
  <c r="J62" i="10"/>
  <c r="O61" i="10"/>
  <c r="M61" i="10"/>
  <c r="L61" i="10"/>
  <c r="K61" i="10"/>
  <c r="Q61" i="10" s="1"/>
  <c r="R61" i="10" s="1"/>
  <c r="J61" i="10"/>
  <c r="O60" i="10"/>
  <c r="M60" i="10"/>
  <c r="L60" i="10"/>
  <c r="K60" i="10"/>
  <c r="Q60" i="10" s="1"/>
  <c r="R60" i="10" s="1"/>
  <c r="J60" i="10"/>
  <c r="O59" i="10"/>
  <c r="M59" i="10"/>
  <c r="L59" i="10"/>
  <c r="K59" i="10"/>
  <c r="P59" i="10" s="1"/>
  <c r="J59" i="10"/>
  <c r="O58" i="10"/>
  <c r="M58" i="10"/>
  <c r="L58" i="10"/>
  <c r="K58" i="10"/>
  <c r="P58" i="10" s="1"/>
  <c r="J58" i="10"/>
  <c r="O57" i="10"/>
  <c r="M57" i="10"/>
  <c r="L57" i="10"/>
  <c r="K57" i="10"/>
  <c r="P57" i="10" s="1"/>
  <c r="J57" i="10"/>
  <c r="O56" i="10"/>
  <c r="M56" i="10"/>
  <c r="L56" i="10"/>
  <c r="K56" i="10"/>
  <c r="P56" i="10" s="1"/>
  <c r="J56" i="10"/>
  <c r="O55" i="10"/>
  <c r="M55" i="10"/>
  <c r="L55" i="10"/>
  <c r="K55" i="10"/>
  <c r="J55" i="10"/>
  <c r="O54" i="10"/>
  <c r="M54" i="10"/>
  <c r="L54" i="10"/>
  <c r="K54" i="10"/>
  <c r="J54" i="10"/>
  <c r="O53" i="10"/>
  <c r="M53" i="10"/>
  <c r="L53" i="10"/>
  <c r="K53" i="10"/>
  <c r="J53" i="10"/>
  <c r="O52" i="10"/>
  <c r="M52" i="10"/>
  <c r="L52" i="10"/>
  <c r="K52" i="10"/>
  <c r="P52" i="10" s="1"/>
  <c r="J52" i="10"/>
  <c r="O51" i="10"/>
  <c r="M51" i="10"/>
  <c r="L51" i="10"/>
  <c r="K51" i="10"/>
  <c r="P51" i="10" s="1"/>
  <c r="J51" i="10"/>
  <c r="O50" i="10"/>
  <c r="M50" i="10"/>
  <c r="L50" i="10"/>
  <c r="K50" i="10"/>
  <c r="Q50" i="10" s="1"/>
  <c r="R50" i="10" s="1"/>
  <c r="J50" i="10"/>
  <c r="O49" i="10"/>
  <c r="M49" i="10"/>
  <c r="L49" i="10"/>
  <c r="K49" i="10"/>
  <c r="J49" i="10"/>
  <c r="O48" i="10"/>
  <c r="M48" i="10"/>
  <c r="L48" i="10"/>
  <c r="K48" i="10"/>
  <c r="P48" i="10" s="1"/>
  <c r="J48" i="10"/>
  <c r="O47" i="10"/>
  <c r="M47" i="10"/>
  <c r="L47" i="10"/>
  <c r="K47" i="10"/>
  <c r="P47" i="10" s="1"/>
  <c r="J47" i="10"/>
  <c r="O46" i="10"/>
  <c r="M46" i="10"/>
  <c r="L46" i="10"/>
  <c r="K46" i="10"/>
  <c r="Q46" i="10" s="1"/>
  <c r="R46" i="10" s="1"/>
  <c r="J46" i="10"/>
  <c r="O45" i="10"/>
  <c r="M45" i="10"/>
  <c r="L45" i="10"/>
  <c r="K45" i="10"/>
  <c r="P45" i="10" s="1"/>
  <c r="J45" i="10"/>
  <c r="O44" i="10"/>
  <c r="M44" i="10"/>
  <c r="L44" i="10"/>
  <c r="K44" i="10"/>
  <c r="P44" i="10" s="1"/>
  <c r="J44" i="10"/>
  <c r="O43" i="10"/>
  <c r="M43" i="10"/>
  <c r="L43" i="10"/>
  <c r="K43" i="10"/>
  <c r="Q43" i="10" s="1"/>
  <c r="R43" i="10" s="1"/>
  <c r="J43" i="10"/>
  <c r="O42" i="10"/>
  <c r="M42" i="10"/>
  <c r="L42" i="10"/>
  <c r="K42" i="10"/>
  <c r="Q42" i="10" s="1"/>
  <c r="R42" i="10" s="1"/>
  <c r="J42" i="10"/>
  <c r="O41" i="10"/>
  <c r="M41" i="10"/>
  <c r="L41" i="10"/>
  <c r="K41" i="10"/>
  <c r="P41" i="10" s="1"/>
  <c r="J41" i="10"/>
  <c r="O40" i="10"/>
  <c r="M40" i="10"/>
  <c r="L40" i="10"/>
  <c r="K40" i="10"/>
  <c r="Q40" i="10" s="1"/>
  <c r="R40" i="10" s="1"/>
  <c r="J40" i="10"/>
  <c r="O39" i="10"/>
  <c r="M39" i="10"/>
  <c r="L39" i="10"/>
  <c r="K39" i="10"/>
  <c r="P39" i="10" s="1"/>
  <c r="J39" i="10"/>
  <c r="O38" i="10"/>
  <c r="M38" i="10"/>
  <c r="L38" i="10"/>
  <c r="K38" i="10"/>
  <c r="Q38" i="10" s="1"/>
  <c r="R38" i="10" s="1"/>
  <c r="J38" i="10"/>
  <c r="O37" i="10"/>
  <c r="M37" i="10"/>
  <c r="L37" i="10"/>
  <c r="K37" i="10"/>
  <c r="Q37" i="10" s="1"/>
  <c r="R37" i="10" s="1"/>
  <c r="J37" i="10"/>
  <c r="O36" i="10"/>
  <c r="M36" i="10"/>
  <c r="L36" i="10"/>
  <c r="K36" i="10"/>
  <c r="J36" i="10"/>
  <c r="O35" i="10"/>
  <c r="M35" i="10"/>
  <c r="L35" i="10"/>
  <c r="K35" i="10"/>
  <c r="Q35" i="10" s="1"/>
  <c r="R35" i="10" s="1"/>
  <c r="J35" i="10"/>
  <c r="O34" i="10"/>
  <c r="M34" i="10"/>
  <c r="L34" i="10"/>
  <c r="K34" i="10"/>
  <c r="J34" i="10"/>
  <c r="O33" i="10"/>
  <c r="M33" i="10"/>
  <c r="L33" i="10"/>
  <c r="K33" i="10"/>
  <c r="J33" i="10"/>
  <c r="O32" i="10"/>
  <c r="M32" i="10"/>
  <c r="L32" i="10"/>
  <c r="K32" i="10"/>
  <c r="Q32" i="10" s="1"/>
  <c r="R32" i="10" s="1"/>
  <c r="J32" i="10"/>
  <c r="O31" i="10"/>
  <c r="M31" i="10"/>
  <c r="L31" i="10"/>
  <c r="K31" i="10"/>
  <c r="Q31" i="10" s="1"/>
  <c r="R31" i="10" s="1"/>
  <c r="J31" i="10"/>
  <c r="O30" i="10"/>
  <c r="M30" i="10"/>
  <c r="L30" i="10"/>
  <c r="K30" i="10"/>
  <c r="J30" i="10"/>
  <c r="O29" i="10"/>
  <c r="M29" i="10"/>
  <c r="L29" i="10"/>
  <c r="K29" i="10"/>
  <c r="P29" i="10" s="1"/>
  <c r="J29" i="10"/>
  <c r="O28" i="10"/>
  <c r="M28" i="10"/>
  <c r="L28" i="10"/>
  <c r="K28" i="10"/>
  <c r="Q28" i="10" s="1"/>
  <c r="R28" i="10" s="1"/>
  <c r="J28" i="10"/>
  <c r="O27" i="10"/>
  <c r="M27" i="10"/>
  <c r="L27" i="10"/>
  <c r="K27" i="10"/>
  <c r="P27" i="10" s="1"/>
  <c r="J27" i="10"/>
  <c r="O26" i="10"/>
  <c r="M26" i="10"/>
  <c r="L26" i="10"/>
  <c r="K26" i="10"/>
  <c r="J26" i="10"/>
  <c r="O25" i="10"/>
  <c r="M25" i="10"/>
  <c r="L25" i="10"/>
  <c r="K25" i="10"/>
  <c r="P25" i="10" s="1"/>
  <c r="J25" i="10"/>
  <c r="O24" i="10"/>
  <c r="M24" i="10"/>
  <c r="L24" i="10"/>
  <c r="K24" i="10"/>
  <c r="Q24" i="10" s="1"/>
  <c r="R24" i="10" s="1"/>
  <c r="J24" i="10"/>
  <c r="O23" i="10"/>
  <c r="M23" i="10"/>
  <c r="L23" i="10"/>
  <c r="K23" i="10"/>
  <c r="Q23" i="10" s="1"/>
  <c r="R23" i="10" s="1"/>
  <c r="J23" i="10"/>
  <c r="O22" i="10"/>
  <c r="M22" i="10"/>
  <c r="L22" i="10"/>
  <c r="K22" i="10"/>
  <c r="Q22" i="10" s="1"/>
  <c r="R22" i="10" s="1"/>
  <c r="J22" i="10"/>
  <c r="O21" i="10"/>
  <c r="M21" i="10"/>
  <c r="L21" i="10"/>
  <c r="K21" i="10"/>
  <c r="Q21" i="10" s="1"/>
  <c r="R21" i="10" s="1"/>
  <c r="J21" i="10"/>
  <c r="O20" i="10"/>
  <c r="M20" i="10"/>
  <c r="L20" i="10"/>
  <c r="K20" i="10"/>
  <c r="J20" i="10"/>
  <c r="O19" i="10"/>
  <c r="M19" i="10"/>
  <c r="L19" i="10"/>
  <c r="K19" i="10"/>
  <c r="P19" i="10" s="1"/>
  <c r="J19" i="10"/>
  <c r="O18" i="10"/>
  <c r="M18" i="10"/>
  <c r="L18" i="10"/>
  <c r="K18" i="10"/>
  <c r="Q18" i="10" s="1"/>
  <c r="J18" i="10"/>
  <c r="O17" i="10"/>
  <c r="M17" i="10"/>
  <c r="L17" i="10"/>
  <c r="K17" i="10"/>
  <c r="P17" i="10" s="1"/>
  <c r="J17" i="10"/>
  <c r="O16" i="10"/>
  <c r="M16" i="10"/>
  <c r="L16" i="10"/>
  <c r="K16" i="10"/>
  <c r="P16" i="10" s="1"/>
  <c r="J16" i="10"/>
  <c r="O15" i="10"/>
  <c r="M15" i="10"/>
  <c r="L15" i="10"/>
  <c r="K15" i="10"/>
  <c r="P15" i="10" s="1"/>
  <c r="J15" i="10"/>
  <c r="O14" i="10"/>
  <c r="M14" i="10"/>
  <c r="L14" i="10"/>
  <c r="K14" i="10"/>
  <c r="Q14" i="10" s="1"/>
  <c r="R14" i="10" s="1"/>
  <c r="J14" i="10"/>
  <c r="O13" i="10"/>
  <c r="M13" i="10"/>
  <c r="L13" i="10"/>
  <c r="K13" i="10"/>
  <c r="Q13" i="10" s="1"/>
  <c r="R13" i="10" s="1"/>
  <c r="J13" i="10"/>
  <c r="O12" i="10"/>
  <c r="M12" i="10"/>
  <c r="L12" i="10"/>
  <c r="K12" i="10"/>
  <c r="Q12" i="10" s="1"/>
  <c r="R12" i="10" s="1"/>
  <c r="J12" i="10"/>
  <c r="O11" i="10"/>
  <c r="M11" i="10"/>
  <c r="L11" i="10"/>
  <c r="K11" i="10"/>
  <c r="Q11" i="10" s="1"/>
  <c r="R11" i="10" s="1"/>
  <c r="J11" i="10"/>
  <c r="O10" i="10"/>
  <c r="M10" i="10"/>
  <c r="L10" i="10"/>
  <c r="K10" i="10"/>
  <c r="Q10" i="10" s="1"/>
  <c r="R10" i="10" s="1"/>
  <c r="J10" i="10"/>
  <c r="O9" i="10"/>
  <c r="M9" i="10"/>
  <c r="L9" i="10"/>
  <c r="K9" i="10"/>
  <c r="J9" i="10"/>
  <c r="O8" i="10"/>
  <c r="M8" i="10"/>
  <c r="L8" i="10"/>
  <c r="K8" i="10"/>
  <c r="Q8" i="10" s="1"/>
  <c r="R8" i="10" s="1"/>
  <c r="J8" i="10"/>
  <c r="O7" i="10"/>
  <c r="M7" i="10"/>
  <c r="L7" i="10"/>
  <c r="K7" i="10"/>
  <c r="J7" i="10"/>
  <c r="O6" i="10"/>
  <c r="M6" i="10"/>
  <c r="L6" i="10"/>
  <c r="K6" i="10"/>
  <c r="Q6" i="10" s="1"/>
  <c r="R6" i="10" s="1"/>
  <c r="J6" i="10"/>
  <c r="O5" i="10"/>
  <c r="M5" i="10"/>
  <c r="L5" i="10"/>
  <c r="K5" i="10"/>
  <c r="J5" i="10"/>
  <c r="O4" i="10"/>
  <c r="M4" i="10"/>
  <c r="L4" i="10"/>
  <c r="K4" i="10"/>
  <c r="Q4" i="10" s="1"/>
  <c r="R4" i="10" s="1"/>
  <c r="J4" i="10"/>
  <c r="O312" i="9"/>
  <c r="M312" i="9"/>
  <c r="L312" i="9"/>
  <c r="K312" i="9"/>
  <c r="J312" i="9"/>
  <c r="O311" i="9"/>
  <c r="M311" i="9"/>
  <c r="L311" i="9"/>
  <c r="K311" i="9"/>
  <c r="J311" i="9"/>
  <c r="O310" i="9"/>
  <c r="M310" i="9"/>
  <c r="L310" i="9"/>
  <c r="K310" i="9"/>
  <c r="P310" i="9" s="1"/>
  <c r="J310" i="9"/>
  <c r="O309" i="9"/>
  <c r="M309" i="9"/>
  <c r="L309" i="9"/>
  <c r="K309" i="9"/>
  <c r="J309" i="9"/>
  <c r="O308" i="9"/>
  <c r="M308" i="9"/>
  <c r="L308" i="9"/>
  <c r="K308" i="9"/>
  <c r="Q308" i="9" s="1"/>
  <c r="R308" i="9" s="1"/>
  <c r="J308" i="9"/>
  <c r="O307" i="9"/>
  <c r="M307" i="9"/>
  <c r="L307" i="9"/>
  <c r="K307" i="9"/>
  <c r="P307" i="9" s="1"/>
  <c r="J307" i="9"/>
  <c r="O306" i="9"/>
  <c r="M306" i="9"/>
  <c r="L306" i="9"/>
  <c r="K306" i="9"/>
  <c r="Q306" i="9" s="1"/>
  <c r="R306" i="9" s="1"/>
  <c r="J306" i="9"/>
  <c r="O305" i="9"/>
  <c r="M305" i="9"/>
  <c r="L305" i="9"/>
  <c r="K305" i="9"/>
  <c r="P305" i="9" s="1"/>
  <c r="J305" i="9"/>
  <c r="O304" i="9"/>
  <c r="M304" i="9"/>
  <c r="L304" i="9"/>
  <c r="K304" i="9"/>
  <c r="J304" i="9"/>
  <c r="O303" i="9"/>
  <c r="M303" i="9"/>
  <c r="L303" i="9"/>
  <c r="K303" i="9"/>
  <c r="J303" i="9"/>
  <c r="O302" i="9"/>
  <c r="M302" i="9"/>
  <c r="L302" i="9"/>
  <c r="K302" i="9"/>
  <c r="J302" i="9"/>
  <c r="O301" i="9"/>
  <c r="M301" i="9"/>
  <c r="L301" i="9"/>
  <c r="K301" i="9"/>
  <c r="Q301" i="9" s="1"/>
  <c r="R301" i="9" s="1"/>
  <c r="J301" i="9"/>
  <c r="O300" i="9"/>
  <c r="M300" i="9"/>
  <c r="L300" i="9"/>
  <c r="K300" i="9"/>
  <c r="P300" i="9" s="1"/>
  <c r="J300" i="9"/>
  <c r="O299" i="9"/>
  <c r="M299" i="9"/>
  <c r="L299" i="9"/>
  <c r="K299" i="9"/>
  <c r="P299" i="9" s="1"/>
  <c r="J299" i="9"/>
  <c r="O298" i="9"/>
  <c r="M298" i="9"/>
  <c r="L298" i="9"/>
  <c r="K298" i="9"/>
  <c r="P298" i="9" s="1"/>
  <c r="J298" i="9"/>
  <c r="O297" i="9"/>
  <c r="M297" i="9"/>
  <c r="L297" i="9"/>
  <c r="K297" i="9"/>
  <c r="J297" i="9"/>
  <c r="O296" i="9"/>
  <c r="M296" i="9"/>
  <c r="L296" i="9"/>
  <c r="K296" i="9"/>
  <c r="J296" i="9"/>
  <c r="O295" i="9"/>
  <c r="M295" i="9"/>
  <c r="L295" i="9"/>
  <c r="K295" i="9"/>
  <c r="J295" i="9"/>
  <c r="O294" i="9"/>
  <c r="M294" i="9"/>
  <c r="L294" i="9"/>
  <c r="K294" i="9"/>
  <c r="Q294" i="9" s="1"/>
  <c r="R294" i="9" s="1"/>
  <c r="J294" i="9"/>
  <c r="O293" i="9"/>
  <c r="M293" i="9"/>
  <c r="L293" i="9"/>
  <c r="K293" i="9"/>
  <c r="P293" i="9" s="1"/>
  <c r="J293" i="9"/>
  <c r="O292" i="9"/>
  <c r="M292" i="9"/>
  <c r="L292" i="9"/>
  <c r="K292" i="9"/>
  <c r="J292" i="9"/>
  <c r="O291" i="9"/>
  <c r="M291" i="9"/>
  <c r="L291" i="9"/>
  <c r="K291" i="9"/>
  <c r="P291" i="9" s="1"/>
  <c r="J291" i="9"/>
  <c r="O290" i="9"/>
  <c r="M290" i="9"/>
  <c r="L290" i="9"/>
  <c r="K290" i="9"/>
  <c r="J290" i="9"/>
  <c r="O289" i="9"/>
  <c r="M289" i="9"/>
  <c r="L289" i="9"/>
  <c r="K289" i="9"/>
  <c r="Q289" i="9" s="1"/>
  <c r="R289" i="9" s="1"/>
  <c r="J289" i="9"/>
  <c r="O288" i="9"/>
  <c r="M288" i="9"/>
  <c r="L288" i="9"/>
  <c r="K288" i="9"/>
  <c r="J288" i="9"/>
  <c r="O287" i="9"/>
  <c r="M287" i="9"/>
  <c r="L287" i="9"/>
  <c r="K287" i="9"/>
  <c r="J287" i="9"/>
  <c r="O286" i="9"/>
  <c r="M286" i="9"/>
  <c r="L286" i="9"/>
  <c r="K286" i="9"/>
  <c r="J286" i="9"/>
  <c r="O285" i="9"/>
  <c r="M285" i="9"/>
  <c r="L285" i="9"/>
  <c r="K285" i="9"/>
  <c r="J285" i="9"/>
  <c r="O284" i="9"/>
  <c r="M284" i="9"/>
  <c r="L284" i="9"/>
  <c r="K284" i="9"/>
  <c r="P284" i="9" s="1"/>
  <c r="J284" i="9"/>
  <c r="O283" i="9"/>
  <c r="M283" i="9"/>
  <c r="L283" i="9"/>
  <c r="K283" i="9"/>
  <c r="P283" i="9" s="1"/>
  <c r="J283" i="9"/>
  <c r="O282" i="9"/>
  <c r="M282" i="9"/>
  <c r="L282" i="9"/>
  <c r="K282" i="9"/>
  <c r="Q282" i="9" s="1"/>
  <c r="R282" i="9" s="1"/>
  <c r="J282" i="9"/>
  <c r="O281" i="9"/>
  <c r="M281" i="9"/>
  <c r="L281" i="9"/>
  <c r="K281" i="9"/>
  <c r="Q281" i="9" s="1"/>
  <c r="R281" i="9" s="1"/>
  <c r="J281" i="9"/>
  <c r="O280" i="9"/>
  <c r="M280" i="9"/>
  <c r="L280" i="9"/>
  <c r="K280" i="9"/>
  <c r="J280" i="9"/>
  <c r="O279" i="9"/>
  <c r="M279" i="9"/>
  <c r="L279" i="9"/>
  <c r="K279" i="9"/>
  <c r="J279" i="9"/>
  <c r="O278" i="9"/>
  <c r="M278" i="9"/>
  <c r="L278" i="9"/>
  <c r="K278" i="9"/>
  <c r="P278" i="9" s="1"/>
  <c r="J278" i="9"/>
  <c r="O277" i="9"/>
  <c r="M277" i="9"/>
  <c r="L277" i="9"/>
  <c r="K277" i="9"/>
  <c r="J277" i="9"/>
  <c r="O276" i="9"/>
  <c r="M276" i="9"/>
  <c r="L276" i="9"/>
  <c r="K276" i="9"/>
  <c r="Q276" i="9" s="1"/>
  <c r="R276" i="9" s="1"/>
  <c r="J276" i="9"/>
  <c r="O275" i="9"/>
  <c r="M275" i="9"/>
  <c r="L275" i="9"/>
  <c r="K275" i="9"/>
  <c r="J275" i="9"/>
  <c r="O274" i="9"/>
  <c r="M274" i="9"/>
  <c r="L274" i="9"/>
  <c r="K274" i="9"/>
  <c r="Q274" i="9" s="1"/>
  <c r="R274" i="9" s="1"/>
  <c r="J274" i="9"/>
  <c r="O273" i="9"/>
  <c r="M273" i="9"/>
  <c r="L273" i="9"/>
  <c r="K273" i="9"/>
  <c r="Q273" i="9" s="1"/>
  <c r="R273" i="9" s="1"/>
  <c r="J273" i="9"/>
  <c r="O272" i="9"/>
  <c r="M272" i="9"/>
  <c r="L272" i="9"/>
  <c r="K272" i="9"/>
  <c r="P272" i="9" s="1"/>
  <c r="J272" i="9"/>
  <c r="O271" i="9"/>
  <c r="M271" i="9"/>
  <c r="L271" i="9"/>
  <c r="K271" i="9"/>
  <c r="P271" i="9" s="1"/>
  <c r="J271" i="9"/>
  <c r="O270" i="9"/>
  <c r="M270" i="9"/>
  <c r="L270" i="9"/>
  <c r="K270" i="9"/>
  <c r="P270" i="9" s="1"/>
  <c r="J270" i="9"/>
  <c r="O269" i="9"/>
  <c r="M269" i="9"/>
  <c r="L269" i="9"/>
  <c r="K269" i="9"/>
  <c r="Q269" i="9" s="1"/>
  <c r="R269" i="9" s="1"/>
  <c r="J269" i="9"/>
  <c r="O268" i="9"/>
  <c r="M268" i="9"/>
  <c r="L268" i="9"/>
  <c r="K268" i="9"/>
  <c r="J268" i="9"/>
  <c r="O267" i="9"/>
  <c r="M267" i="9"/>
  <c r="L267" i="9"/>
  <c r="K267" i="9"/>
  <c r="Q267" i="9" s="1"/>
  <c r="R267" i="9" s="1"/>
  <c r="J267" i="9"/>
  <c r="O266" i="9"/>
  <c r="M266" i="9"/>
  <c r="L266" i="9"/>
  <c r="K266" i="9"/>
  <c r="J266" i="9"/>
  <c r="O265" i="9"/>
  <c r="M265" i="9"/>
  <c r="L265" i="9"/>
  <c r="K265" i="9"/>
  <c r="P265" i="9" s="1"/>
  <c r="J265" i="9"/>
  <c r="O264" i="9"/>
  <c r="M264" i="9"/>
  <c r="L264" i="9"/>
  <c r="K264" i="9"/>
  <c r="Q264" i="9" s="1"/>
  <c r="R264" i="9" s="1"/>
  <c r="J264" i="9"/>
  <c r="O263" i="9"/>
  <c r="M263" i="9"/>
  <c r="L263" i="9"/>
  <c r="K263" i="9"/>
  <c r="Q263" i="9" s="1"/>
  <c r="R263" i="9" s="1"/>
  <c r="J263" i="9"/>
  <c r="O262" i="9"/>
  <c r="M262" i="9"/>
  <c r="L262" i="9"/>
  <c r="K262" i="9"/>
  <c r="Q262" i="9" s="1"/>
  <c r="R262" i="9" s="1"/>
  <c r="J262" i="9"/>
  <c r="O261" i="9"/>
  <c r="M261" i="9"/>
  <c r="L261" i="9"/>
  <c r="K261" i="9"/>
  <c r="J261" i="9"/>
  <c r="O260" i="9"/>
  <c r="M260" i="9"/>
  <c r="L260" i="9"/>
  <c r="K260" i="9"/>
  <c r="Q260" i="9" s="1"/>
  <c r="R260" i="9" s="1"/>
  <c r="J260" i="9"/>
  <c r="O259" i="9"/>
  <c r="M259" i="9"/>
  <c r="L259" i="9"/>
  <c r="K259" i="9"/>
  <c r="Q259" i="9" s="1"/>
  <c r="R259" i="9" s="1"/>
  <c r="J259" i="9"/>
  <c r="O258" i="9"/>
  <c r="M258" i="9"/>
  <c r="L258" i="9"/>
  <c r="K258" i="9"/>
  <c r="P258" i="9" s="1"/>
  <c r="J258" i="9"/>
  <c r="O257" i="9"/>
  <c r="M257" i="9"/>
  <c r="L257" i="9"/>
  <c r="K257" i="9"/>
  <c r="Q257" i="9" s="1"/>
  <c r="R257" i="9" s="1"/>
  <c r="J257" i="9"/>
  <c r="O256" i="9"/>
  <c r="M256" i="9"/>
  <c r="L256" i="9"/>
  <c r="K256" i="9"/>
  <c r="P256" i="9" s="1"/>
  <c r="J256" i="9"/>
  <c r="O255" i="9"/>
  <c r="M255" i="9"/>
  <c r="L255" i="9"/>
  <c r="K255" i="9"/>
  <c r="Q255" i="9" s="1"/>
  <c r="R255" i="9" s="1"/>
  <c r="J255" i="9"/>
  <c r="O254" i="9"/>
  <c r="M254" i="9"/>
  <c r="L254" i="9"/>
  <c r="K254" i="9"/>
  <c r="Q254" i="9" s="1"/>
  <c r="R254" i="9" s="1"/>
  <c r="J254" i="9"/>
  <c r="O253" i="9"/>
  <c r="M253" i="9"/>
  <c r="L253" i="9"/>
  <c r="K253" i="9"/>
  <c r="Q253" i="9" s="1"/>
  <c r="R253" i="9" s="1"/>
  <c r="J253" i="9"/>
  <c r="O252" i="9"/>
  <c r="M252" i="9"/>
  <c r="L252" i="9"/>
  <c r="K252" i="9"/>
  <c r="J252" i="9"/>
  <c r="O251" i="9"/>
  <c r="M251" i="9"/>
  <c r="L251" i="9"/>
  <c r="K251" i="9"/>
  <c r="P251" i="9" s="1"/>
  <c r="J251" i="9"/>
  <c r="O250" i="9"/>
  <c r="M250" i="9"/>
  <c r="L250" i="9"/>
  <c r="K250" i="9"/>
  <c r="J250" i="9"/>
  <c r="O249" i="9"/>
  <c r="M249" i="9"/>
  <c r="L249" i="9"/>
  <c r="K249" i="9"/>
  <c r="P249" i="9" s="1"/>
  <c r="J249" i="9"/>
  <c r="O248" i="9"/>
  <c r="M248" i="9"/>
  <c r="L248" i="9"/>
  <c r="K248" i="9"/>
  <c r="J248" i="9"/>
  <c r="O247" i="9"/>
  <c r="M247" i="9"/>
  <c r="L247" i="9"/>
  <c r="K247" i="9"/>
  <c r="P247" i="9" s="1"/>
  <c r="J247" i="9"/>
  <c r="O246" i="9"/>
  <c r="M246" i="9"/>
  <c r="L246" i="9"/>
  <c r="K246" i="9"/>
  <c r="P246" i="9" s="1"/>
  <c r="J246" i="9"/>
  <c r="O245" i="9"/>
  <c r="M245" i="9"/>
  <c r="L245" i="9"/>
  <c r="K245" i="9"/>
  <c r="Q245" i="9" s="1"/>
  <c r="R245" i="9" s="1"/>
  <c r="J245" i="9"/>
  <c r="O244" i="9"/>
  <c r="M244" i="9"/>
  <c r="L244" i="9"/>
  <c r="K244" i="9"/>
  <c r="J244" i="9"/>
  <c r="O243" i="9"/>
  <c r="M243" i="9"/>
  <c r="L243" i="9"/>
  <c r="K243" i="9"/>
  <c r="Q243" i="9" s="1"/>
  <c r="R243" i="9" s="1"/>
  <c r="J243" i="9"/>
  <c r="O242" i="9"/>
  <c r="M242" i="9"/>
  <c r="L242" i="9"/>
  <c r="K242" i="9"/>
  <c r="Q242" i="9" s="1"/>
  <c r="R242" i="9" s="1"/>
  <c r="J242" i="9"/>
  <c r="O241" i="9"/>
  <c r="M241" i="9"/>
  <c r="L241" i="9"/>
  <c r="K241" i="9"/>
  <c r="J241" i="9"/>
  <c r="O240" i="9"/>
  <c r="M240" i="9"/>
  <c r="L240" i="9"/>
  <c r="K240" i="9"/>
  <c r="P240" i="9" s="1"/>
  <c r="J240" i="9"/>
  <c r="O239" i="9"/>
  <c r="M239" i="9"/>
  <c r="L239" i="9"/>
  <c r="K239" i="9"/>
  <c r="P239" i="9" s="1"/>
  <c r="J239" i="9"/>
  <c r="O238" i="9"/>
  <c r="M238" i="9"/>
  <c r="L238" i="9"/>
  <c r="K238" i="9"/>
  <c r="P238" i="9" s="1"/>
  <c r="J238" i="9"/>
  <c r="O237" i="9"/>
  <c r="M237" i="9"/>
  <c r="L237" i="9"/>
  <c r="K237" i="9"/>
  <c r="P237" i="9" s="1"/>
  <c r="J237" i="9"/>
  <c r="O236" i="9"/>
  <c r="M236" i="9"/>
  <c r="L236" i="9"/>
  <c r="K236" i="9"/>
  <c r="J236" i="9"/>
  <c r="O235" i="9"/>
  <c r="M235" i="9"/>
  <c r="L235" i="9"/>
  <c r="K235" i="9"/>
  <c r="Q235" i="9" s="1"/>
  <c r="R235" i="9" s="1"/>
  <c r="J235" i="9"/>
  <c r="O234" i="9"/>
  <c r="M234" i="9"/>
  <c r="L234" i="9"/>
  <c r="K234" i="9"/>
  <c r="J234" i="9"/>
  <c r="O233" i="9"/>
  <c r="M233" i="9"/>
  <c r="L233" i="9"/>
  <c r="K233" i="9"/>
  <c r="Q233" i="9" s="1"/>
  <c r="R233" i="9" s="1"/>
  <c r="J233" i="9"/>
  <c r="O232" i="9"/>
  <c r="M232" i="9"/>
  <c r="L232" i="9"/>
  <c r="K232" i="9"/>
  <c r="J232" i="9"/>
  <c r="O231" i="9"/>
  <c r="M231" i="9"/>
  <c r="L231" i="9"/>
  <c r="K231" i="9"/>
  <c r="P231" i="9" s="1"/>
  <c r="J231" i="9"/>
  <c r="O230" i="9"/>
  <c r="M230" i="9"/>
  <c r="L230" i="9"/>
  <c r="K230" i="9"/>
  <c r="P230" i="9" s="1"/>
  <c r="J230" i="9"/>
  <c r="O229" i="9"/>
  <c r="M229" i="9"/>
  <c r="L229" i="9"/>
  <c r="K229" i="9"/>
  <c r="J229" i="9"/>
  <c r="O228" i="9"/>
  <c r="M228" i="9"/>
  <c r="L228" i="9"/>
  <c r="K228" i="9"/>
  <c r="P228" i="9" s="1"/>
  <c r="J228" i="9"/>
  <c r="O227" i="9"/>
  <c r="M227" i="9"/>
  <c r="L227" i="9"/>
  <c r="K227" i="9"/>
  <c r="J227" i="9"/>
  <c r="O226" i="9"/>
  <c r="M226" i="9"/>
  <c r="L226" i="9"/>
  <c r="K226" i="9"/>
  <c r="Q226" i="9" s="1"/>
  <c r="R226" i="9" s="1"/>
  <c r="J226" i="9"/>
  <c r="O225" i="9"/>
  <c r="M225" i="9"/>
  <c r="L225" i="9"/>
  <c r="K225" i="9"/>
  <c r="J225" i="9"/>
  <c r="O224" i="9"/>
  <c r="M224" i="9"/>
  <c r="L224" i="9"/>
  <c r="K224" i="9"/>
  <c r="Q224" i="9" s="1"/>
  <c r="R224" i="9" s="1"/>
  <c r="J224" i="9"/>
  <c r="O223" i="9"/>
  <c r="M223" i="9"/>
  <c r="L223" i="9"/>
  <c r="K223" i="9"/>
  <c r="P223" i="9" s="1"/>
  <c r="J223" i="9"/>
  <c r="O222" i="9"/>
  <c r="M222" i="9"/>
  <c r="L222" i="9"/>
  <c r="K222" i="9"/>
  <c r="Q222" i="9" s="1"/>
  <c r="R222" i="9" s="1"/>
  <c r="J222" i="9"/>
  <c r="O221" i="9"/>
  <c r="M221" i="9"/>
  <c r="L221" i="9"/>
  <c r="K221" i="9"/>
  <c r="Q221" i="9" s="1"/>
  <c r="R221" i="9" s="1"/>
  <c r="J221" i="9"/>
  <c r="O220" i="9"/>
  <c r="M220" i="9"/>
  <c r="L220" i="9"/>
  <c r="K220" i="9"/>
  <c r="J220" i="9"/>
  <c r="O219" i="9"/>
  <c r="M219" i="9"/>
  <c r="L219" i="9"/>
  <c r="K219" i="9"/>
  <c r="P219" i="9" s="1"/>
  <c r="J219" i="9"/>
  <c r="O218" i="9"/>
  <c r="M218" i="9"/>
  <c r="L218" i="9"/>
  <c r="K218" i="9"/>
  <c r="J218" i="9"/>
  <c r="O217" i="9"/>
  <c r="M217" i="9"/>
  <c r="L217" i="9"/>
  <c r="K217" i="9"/>
  <c r="Q217" i="9" s="1"/>
  <c r="R217" i="9" s="1"/>
  <c r="J217" i="9"/>
  <c r="O216" i="9"/>
  <c r="M216" i="9"/>
  <c r="L216" i="9"/>
  <c r="K216" i="9"/>
  <c r="J216" i="9"/>
  <c r="O215" i="9"/>
  <c r="M215" i="9"/>
  <c r="L215" i="9"/>
  <c r="K215" i="9"/>
  <c r="P215" i="9" s="1"/>
  <c r="J215" i="9"/>
  <c r="O214" i="9"/>
  <c r="M214" i="9"/>
  <c r="L214" i="9"/>
  <c r="K214" i="9"/>
  <c r="Q214" i="9" s="1"/>
  <c r="R214" i="9" s="1"/>
  <c r="J214" i="9"/>
  <c r="O213" i="9"/>
  <c r="M213" i="9"/>
  <c r="L213" i="9"/>
  <c r="K213" i="9"/>
  <c r="P213" i="9" s="1"/>
  <c r="J213" i="9"/>
  <c r="O212" i="9"/>
  <c r="M212" i="9"/>
  <c r="L212" i="9"/>
  <c r="K212" i="9"/>
  <c r="Q212" i="9" s="1"/>
  <c r="R212" i="9" s="1"/>
  <c r="J212" i="9"/>
  <c r="O211" i="9"/>
  <c r="M211" i="9"/>
  <c r="L211" i="9"/>
  <c r="K211" i="9"/>
  <c r="J211" i="9"/>
  <c r="O210" i="9"/>
  <c r="M210" i="9"/>
  <c r="L210" i="9"/>
  <c r="K210" i="9"/>
  <c r="P210" i="9" s="1"/>
  <c r="J210" i="9"/>
  <c r="O209" i="9"/>
  <c r="M209" i="9"/>
  <c r="L209" i="9"/>
  <c r="K209" i="9"/>
  <c r="J209" i="9"/>
  <c r="O208" i="9"/>
  <c r="M208" i="9"/>
  <c r="L208" i="9"/>
  <c r="K208" i="9"/>
  <c r="Q208" i="9" s="1"/>
  <c r="R208" i="9" s="1"/>
  <c r="J208" i="9"/>
  <c r="O207" i="9"/>
  <c r="M207" i="9"/>
  <c r="L207" i="9"/>
  <c r="K207" i="9"/>
  <c r="P207" i="9" s="1"/>
  <c r="J207" i="9"/>
  <c r="O206" i="9"/>
  <c r="M206" i="9"/>
  <c r="L206" i="9"/>
  <c r="K206" i="9"/>
  <c r="P206" i="9" s="1"/>
  <c r="J206" i="9"/>
  <c r="O205" i="9"/>
  <c r="M205" i="9"/>
  <c r="L205" i="9"/>
  <c r="K205" i="9"/>
  <c r="Q205" i="9" s="1"/>
  <c r="R205" i="9" s="1"/>
  <c r="J205" i="9"/>
  <c r="O204" i="9"/>
  <c r="M204" i="9"/>
  <c r="L204" i="9"/>
  <c r="K204" i="9"/>
  <c r="Q204" i="9" s="1"/>
  <c r="R204" i="9" s="1"/>
  <c r="J204" i="9"/>
  <c r="O203" i="9"/>
  <c r="M203" i="9"/>
  <c r="L203" i="9"/>
  <c r="K203" i="9"/>
  <c r="Q203" i="9" s="1"/>
  <c r="R203" i="9" s="1"/>
  <c r="J203" i="9"/>
  <c r="O202" i="9"/>
  <c r="M202" i="9"/>
  <c r="L202" i="9"/>
  <c r="K202" i="9"/>
  <c r="J202" i="9"/>
  <c r="O201" i="9"/>
  <c r="M201" i="9"/>
  <c r="L201" i="9"/>
  <c r="K201" i="9"/>
  <c r="Q201" i="9" s="1"/>
  <c r="R201" i="9" s="1"/>
  <c r="J201" i="9"/>
  <c r="O200" i="9"/>
  <c r="M200" i="9"/>
  <c r="L200" i="9"/>
  <c r="K200" i="9"/>
  <c r="J200" i="9"/>
  <c r="O199" i="9"/>
  <c r="M199" i="9"/>
  <c r="L199" i="9"/>
  <c r="K199" i="9"/>
  <c r="P199" i="9" s="1"/>
  <c r="J199" i="9"/>
  <c r="O198" i="9"/>
  <c r="M198" i="9"/>
  <c r="L198" i="9"/>
  <c r="K198" i="9"/>
  <c r="P198" i="9" s="1"/>
  <c r="J198" i="9"/>
  <c r="O197" i="9"/>
  <c r="M197" i="9"/>
  <c r="L197" i="9"/>
  <c r="K197" i="9"/>
  <c r="Q197" i="9" s="1"/>
  <c r="R197" i="9" s="1"/>
  <c r="J197" i="9"/>
  <c r="O196" i="9"/>
  <c r="M196" i="9"/>
  <c r="L196" i="9"/>
  <c r="K196" i="9"/>
  <c r="J196" i="9"/>
  <c r="O195" i="9"/>
  <c r="M195" i="9"/>
  <c r="L195" i="9"/>
  <c r="K195" i="9"/>
  <c r="J195" i="9"/>
  <c r="O194" i="9"/>
  <c r="M194" i="9"/>
  <c r="L194" i="9"/>
  <c r="K194" i="9"/>
  <c r="Q194" i="9" s="1"/>
  <c r="R194" i="9" s="1"/>
  <c r="J194" i="9"/>
  <c r="O193" i="9"/>
  <c r="M193" i="9"/>
  <c r="L193" i="9"/>
  <c r="K193" i="9"/>
  <c r="J193" i="9"/>
  <c r="O192" i="9"/>
  <c r="M192" i="9"/>
  <c r="L192" i="9"/>
  <c r="K192" i="9"/>
  <c r="P192" i="9" s="1"/>
  <c r="J192" i="9"/>
  <c r="O191" i="9"/>
  <c r="M191" i="9"/>
  <c r="L191" i="9"/>
  <c r="K191" i="9"/>
  <c r="J191" i="9"/>
  <c r="O190" i="9"/>
  <c r="M190" i="9"/>
  <c r="L190" i="9"/>
  <c r="K190" i="9"/>
  <c r="P190" i="9" s="1"/>
  <c r="J190" i="9"/>
  <c r="O189" i="9"/>
  <c r="M189" i="9"/>
  <c r="L189" i="9"/>
  <c r="K189" i="9"/>
  <c r="P189" i="9" s="1"/>
  <c r="J189" i="9"/>
  <c r="O188" i="9"/>
  <c r="M188" i="9"/>
  <c r="L188" i="9"/>
  <c r="K188" i="9"/>
  <c r="P188" i="9" s="1"/>
  <c r="J188" i="9"/>
  <c r="O187" i="9"/>
  <c r="M187" i="9"/>
  <c r="L187" i="9"/>
  <c r="K187" i="9"/>
  <c r="J187" i="9"/>
  <c r="O186" i="9"/>
  <c r="M186" i="9"/>
  <c r="L186" i="9"/>
  <c r="K186" i="9"/>
  <c r="J186" i="9"/>
  <c r="O185" i="9"/>
  <c r="M185" i="9"/>
  <c r="L185" i="9"/>
  <c r="K185" i="9"/>
  <c r="P185" i="9" s="1"/>
  <c r="J185" i="9"/>
  <c r="O184" i="9"/>
  <c r="M184" i="9"/>
  <c r="L184" i="9"/>
  <c r="K184" i="9"/>
  <c r="J184" i="9"/>
  <c r="O183" i="9"/>
  <c r="M183" i="9"/>
  <c r="L183" i="9"/>
  <c r="K183" i="9"/>
  <c r="Q183" i="9" s="1"/>
  <c r="R183" i="9" s="1"/>
  <c r="J183" i="9"/>
  <c r="O182" i="9"/>
  <c r="M182" i="9"/>
  <c r="L182" i="9"/>
  <c r="K182" i="9"/>
  <c r="P182" i="9" s="1"/>
  <c r="J182" i="9"/>
  <c r="O181" i="9"/>
  <c r="M181" i="9"/>
  <c r="L181" i="9"/>
  <c r="K181" i="9"/>
  <c r="P181" i="9" s="1"/>
  <c r="J181" i="9"/>
  <c r="O180" i="9"/>
  <c r="M180" i="9"/>
  <c r="L180" i="9"/>
  <c r="K180" i="9"/>
  <c r="Q180" i="9" s="1"/>
  <c r="R180" i="9" s="1"/>
  <c r="J180" i="9"/>
  <c r="O179" i="9"/>
  <c r="M179" i="9"/>
  <c r="L179" i="9"/>
  <c r="K179" i="9"/>
  <c r="J179" i="9"/>
  <c r="O178" i="9"/>
  <c r="M178" i="9"/>
  <c r="L178" i="9"/>
  <c r="K178" i="9"/>
  <c r="P178" i="9" s="1"/>
  <c r="J178" i="9"/>
  <c r="O177" i="9"/>
  <c r="M177" i="9"/>
  <c r="L177" i="9"/>
  <c r="K177" i="9"/>
  <c r="J177" i="9"/>
  <c r="O176" i="9"/>
  <c r="M176" i="9"/>
  <c r="L176" i="9"/>
  <c r="K176" i="9"/>
  <c r="P176" i="9" s="1"/>
  <c r="J176" i="9"/>
  <c r="O175" i="9"/>
  <c r="M175" i="9"/>
  <c r="L175" i="9"/>
  <c r="K175" i="9"/>
  <c r="J175" i="9"/>
  <c r="O174" i="9"/>
  <c r="M174" i="9"/>
  <c r="L174" i="9"/>
  <c r="K174" i="9"/>
  <c r="P174" i="9" s="1"/>
  <c r="J174" i="9"/>
  <c r="O173" i="9"/>
  <c r="M173" i="9"/>
  <c r="L173" i="9"/>
  <c r="K173" i="9"/>
  <c r="Q173" i="9" s="1"/>
  <c r="R173" i="9" s="1"/>
  <c r="J173" i="9"/>
  <c r="O172" i="9"/>
  <c r="M172" i="9"/>
  <c r="L172" i="9"/>
  <c r="K172" i="9"/>
  <c r="Q172" i="9" s="1"/>
  <c r="R172" i="9" s="1"/>
  <c r="J172" i="9"/>
  <c r="O171" i="9"/>
  <c r="M171" i="9"/>
  <c r="L171" i="9"/>
  <c r="K171" i="9"/>
  <c r="Q171" i="9" s="1"/>
  <c r="R171" i="9" s="1"/>
  <c r="J171" i="9"/>
  <c r="O170" i="9"/>
  <c r="M170" i="9"/>
  <c r="L170" i="9"/>
  <c r="K170" i="9"/>
  <c r="J170" i="9"/>
  <c r="O169" i="9"/>
  <c r="M169" i="9"/>
  <c r="L169" i="9"/>
  <c r="K169" i="9"/>
  <c r="P169" i="9" s="1"/>
  <c r="J169" i="9"/>
  <c r="O168" i="9"/>
  <c r="M168" i="9"/>
  <c r="L168" i="9"/>
  <c r="K168" i="9"/>
  <c r="J168" i="9"/>
  <c r="O167" i="9"/>
  <c r="M167" i="9"/>
  <c r="L167" i="9"/>
  <c r="K167" i="9"/>
  <c r="J167" i="9"/>
  <c r="O166" i="9"/>
  <c r="M166" i="9"/>
  <c r="L166" i="9"/>
  <c r="K166" i="9"/>
  <c r="P166" i="9" s="1"/>
  <c r="J166" i="9"/>
  <c r="O165" i="9"/>
  <c r="M165" i="9"/>
  <c r="L165" i="9"/>
  <c r="K165" i="9"/>
  <c r="Q165" i="9" s="1"/>
  <c r="R165" i="9" s="1"/>
  <c r="J165" i="9"/>
  <c r="O164" i="9"/>
  <c r="M164" i="9"/>
  <c r="L164" i="9"/>
  <c r="K164" i="9"/>
  <c r="Q164" i="9" s="1"/>
  <c r="R164" i="9" s="1"/>
  <c r="J164" i="9"/>
  <c r="O163" i="9"/>
  <c r="M163" i="9"/>
  <c r="L163" i="9"/>
  <c r="K163" i="9"/>
  <c r="Q163" i="9" s="1"/>
  <c r="R163" i="9" s="1"/>
  <c r="J163" i="9"/>
  <c r="O162" i="9"/>
  <c r="M162" i="9"/>
  <c r="L162" i="9"/>
  <c r="K162" i="9"/>
  <c r="Q162" i="9" s="1"/>
  <c r="R162" i="9" s="1"/>
  <c r="J162" i="9"/>
  <c r="O161" i="9"/>
  <c r="M161" i="9"/>
  <c r="L161" i="9"/>
  <c r="K161" i="9"/>
  <c r="J161" i="9"/>
  <c r="O160" i="9"/>
  <c r="M160" i="9"/>
  <c r="L160" i="9"/>
  <c r="K160" i="9"/>
  <c r="P160" i="9" s="1"/>
  <c r="J160" i="9"/>
  <c r="O159" i="9"/>
  <c r="M159" i="9"/>
  <c r="L159" i="9"/>
  <c r="K159" i="9"/>
  <c r="Q159" i="9" s="1"/>
  <c r="R159" i="9" s="1"/>
  <c r="J159" i="9"/>
  <c r="O158" i="9"/>
  <c r="M158" i="9"/>
  <c r="L158" i="9"/>
  <c r="K158" i="9"/>
  <c r="P158" i="9" s="1"/>
  <c r="J158" i="9"/>
  <c r="O157" i="9"/>
  <c r="M157" i="9"/>
  <c r="L157" i="9"/>
  <c r="K157" i="9"/>
  <c r="Q157" i="9" s="1"/>
  <c r="R157" i="9" s="1"/>
  <c r="J157" i="9"/>
  <c r="O156" i="9"/>
  <c r="M156" i="9"/>
  <c r="L156" i="9"/>
  <c r="K156" i="9"/>
  <c r="Q156" i="9" s="1"/>
  <c r="R156" i="9" s="1"/>
  <c r="J156" i="9"/>
  <c r="O155" i="9"/>
  <c r="M155" i="9"/>
  <c r="L155" i="9"/>
  <c r="K155" i="9"/>
  <c r="Q155" i="9" s="1"/>
  <c r="R155" i="9" s="1"/>
  <c r="J155" i="9"/>
  <c r="O154" i="9"/>
  <c r="M154" i="9"/>
  <c r="L154" i="9"/>
  <c r="K154" i="9"/>
  <c r="Q154" i="9" s="1"/>
  <c r="R154" i="9" s="1"/>
  <c r="J154" i="9"/>
  <c r="O153" i="9"/>
  <c r="M153" i="9"/>
  <c r="L153" i="9"/>
  <c r="K153" i="9"/>
  <c r="P153" i="9" s="1"/>
  <c r="J153" i="9"/>
  <c r="O152" i="9"/>
  <c r="M152" i="9"/>
  <c r="L152" i="9"/>
  <c r="K152" i="9"/>
  <c r="J152" i="9"/>
  <c r="O151" i="9"/>
  <c r="M151" i="9"/>
  <c r="L151" i="9"/>
  <c r="K151" i="9"/>
  <c r="Q151" i="9" s="1"/>
  <c r="R151" i="9" s="1"/>
  <c r="J151" i="9"/>
  <c r="O150" i="9"/>
  <c r="M150" i="9"/>
  <c r="L150" i="9"/>
  <c r="K150" i="9"/>
  <c r="J150" i="9"/>
  <c r="O149" i="9"/>
  <c r="M149" i="9"/>
  <c r="L149" i="9"/>
  <c r="K149" i="9"/>
  <c r="P149" i="9" s="1"/>
  <c r="J149" i="9"/>
  <c r="O148" i="9"/>
  <c r="M148" i="9"/>
  <c r="L148" i="9"/>
  <c r="K148" i="9"/>
  <c r="J148" i="9"/>
  <c r="O147" i="9"/>
  <c r="M147" i="9"/>
  <c r="L147" i="9"/>
  <c r="K147" i="9"/>
  <c r="Q147" i="9" s="1"/>
  <c r="R147" i="9" s="1"/>
  <c r="J147" i="9"/>
  <c r="O146" i="9"/>
  <c r="M146" i="9"/>
  <c r="L146" i="9"/>
  <c r="K146" i="9"/>
  <c r="J146" i="9"/>
  <c r="O145" i="9"/>
  <c r="M145" i="9"/>
  <c r="L145" i="9"/>
  <c r="K145" i="9"/>
  <c r="Q145" i="9" s="1"/>
  <c r="R145" i="9" s="1"/>
  <c r="J145" i="9"/>
  <c r="O144" i="9"/>
  <c r="M144" i="9"/>
  <c r="L144" i="9"/>
  <c r="K144" i="9"/>
  <c r="Q144" i="9" s="1"/>
  <c r="R144" i="9" s="1"/>
  <c r="J144" i="9"/>
  <c r="O143" i="9"/>
  <c r="M143" i="9"/>
  <c r="L143" i="9"/>
  <c r="K143" i="9"/>
  <c r="J143" i="9"/>
  <c r="O142" i="9"/>
  <c r="M142" i="9"/>
  <c r="L142" i="9"/>
  <c r="K142" i="9"/>
  <c r="Q142" i="9" s="1"/>
  <c r="R142" i="9" s="1"/>
  <c r="J142" i="9"/>
  <c r="O141" i="9"/>
  <c r="M141" i="9"/>
  <c r="L141" i="9"/>
  <c r="K141" i="9"/>
  <c r="J141" i="9"/>
  <c r="O140" i="9"/>
  <c r="M140" i="9"/>
  <c r="L140" i="9"/>
  <c r="K140" i="9"/>
  <c r="P140" i="9" s="1"/>
  <c r="J140" i="9"/>
  <c r="O139" i="9"/>
  <c r="M139" i="9"/>
  <c r="L139" i="9"/>
  <c r="K139" i="9"/>
  <c r="P139" i="9" s="1"/>
  <c r="J139" i="9"/>
  <c r="O138" i="9"/>
  <c r="M138" i="9"/>
  <c r="L138" i="9"/>
  <c r="K138" i="9"/>
  <c r="J138" i="9"/>
  <c r="O137" i="9"/>
  <c r="M137" i="9"/>
  <c r="L137" i="9"/>
  <c r="K137" i="9"/>
  <c r="Q137" i="9" s="1"/>
  <c r="R137" i="9" s="1"/>
  <c r="J137" i="9"/>
  <c r="O136" i="9"/>
  <c r="M136" i="9"/>
  <c r="L136" i="9"/>
  <c r="K136" i="9"/>
  <c r="J136" i="9"/>
  <c r="O135" i="9"/>
  <c r="M135" i="9"/>
  <c r="L135" i="9"/>
  <c r="K135" i="9"/>
  <c r="Q135" i="9" s="1"/>
  <c r="R135" i="9" s="1"/>
  <c r="J135" i="9"/>
  <c r="O134" i="9"/>
  <c r="M134" i="9"/>
  <c r="L134" i="9"/>
  <c r="K134" i="9"/>
  <c r="Q134" i="9" s="1"/>
  <c r="R134" i="9" s="1"/>
  <c r="J134" i="9"/>
  <c r="O133" i="9"/>
  <c r="M133" i="9"/>
  <c r="L133" i="9"/>
  <c r="K133" i="9"/>
  <c r="P133" i="9" s="1"/>
  <c r="J133" i="9"/>
  <c r="O132" i="9"/>
  <c r="M132" i="9"/>
  <c r="L132" i="9"/>
  <c r="K132" i="9"/>
  <c r="J132" i="9"/>
  <c r="O131" i="9"/>
  <c r="M131" i="9"/>
  <c r="L131" i="9"/>
  <c r="K131" i="9"/>
  <c r="Q131" i="9" s="1"/>
  <c r="R131" i="9" s="1"/>
  <c r="J131" i="9"/>
  <c r="O130" i="9"/>
  <c r="M130" i="9"/>
  <c r="L130" i="9"/>
  <c r="K130" i="9"/>
  <c r="P130" i="9" s="1"/>
  <c r="J130" i="9"/>
  <c r="O129" i="9"/>
  <c r="M129" i="9"/>
  <c r="L129" i="9"/>
  <c r="K129" i="9"/>
  <c r="Q129" i="9" s="1"/>
  <c r="R129" i="9" s="1"/>
  <c r="J129" i="9"/>
  <c r="O128" i="9"/>
  <c r="M128" i="9"/>
  <c r="L128" i="9"/>
  <c r="K128" i="9"/>
  <c r="Q128" i="9" s="1"/>
  <c r="R128" i="9" s="1"/>
  <c r="J128" i="9"/>
  <c r="O127" i="9"/>
  <c r="M127" i="9"/>
  <c r="L127" i="9"/>
  <c r="K127" i="9"/>
  <c r="P127" i="9" s="1"/>
  <c r="J127" i="9"/>
  <c r="O126" i="9"/>
  <c r="M126" i="9"/>
  <c r="L126" i="9"/>
  <c r="K126" i="9"/>
  <c r="J126" i="9"/>
  <c r="O125" i="9"/>
  <c r="M125" i="9"/>
  <c r="L125" i="9"/>
  <c r="K125" i="9"/>
  <c r="P125" i="9" s="1"/>
  <c r="J125" i="9"/>
  <c r="O124" i="9"/>
  <c r="M124" i="9"/>
  <c r="L124" i="9"/>
  <c r="K124" i="9"/>
  <c r="Q124" i="9" s="1"/>
  <c r="R124" i="9" s="1"/>
  <c r="J124" i="9"/>
  <c r="O123" i="9"/>
  <c r="M123" i="9"/>
  <c r="L123" i="9"/>
  <c r="K123" i="9"/>
  <c r="J123" i="9"/>
  <c r="O122" i="9"/>
  <c r="M122" i="9"/>
  <c r="L122" i="9"/>
  <c r="K122" i="9"/>
  <c r="Q122" i="9" s="1"/>
  <c r="R122" i="9" s="1"/>
  <c r="J122" i="9"/>
  <c r="O121" i="9"/>
  <c r="M121" i="9"/>
  <c r="L121" i="9"/>
  <c r="K121" i="9"/>
  <c r="J121" i="9"/>
  <c r="O120" i="9"/>
  <c r="M120" i="9"/>
  <c r="L120" i="9"/>
  <c r="K120" i="9"/>
  <c r="P120" i="9" s="1"/>
  <c r="J120" i="9"/>
  <c r="O119" i="9"/>
  <c r="M119" i="9"/>
  <c r="L119" i="9"/>
  <c r="K119" i="9"/>
  <c r="J119" i="9"/>
  <c r="O118" i="9"/>
  <c r="M118" i="9"/>
  <c r="L118" i="9"/>
  <c r="K118" i="9"/>
  <c r="J118" i="9"/>
  <c r="O117" i="9"/>
  <c r="M117" i="9"/>
  <c r="L117" i="9"/>
  <c r="K117" i="9"/>
  <c r="P117" i="9" s="1"/>
  <c r="J117" i="9"/>
  <c r="O116" i="9"/>
  <c r="M116" i="9"/>
  <c r="L116" i="9"/>
  <c r="K116" i="9"/>
  <c r="Q116" i="9" s="1"/>
  <c r="R116" i="9" s="1"/>
  <c r="J116" i="9"/>
  <c r="O115" i="9"/>
  <c r="M115" i="9"/>
  <c r="L115" i="9"/>
  <c r="K115" i="9"/>
  <c r="Q115" i="9" s="1"/>
  <c r="R115" i="9" s="1"/>
  <c r="J115" i="9"/>
  <c r="O114" i="9"/>
  <c r="M114" i="9"/>
  <c r="L114" i="9"/>
  <c r="K114" i="9"/>
  <c r="Q114" i="9" s="1"/>
  <c r="R114" i="9" s="1"/>
  <c r="J114" i="9"/>
  <c r="O113" i="9"/>
  <c r="M113" i="9"/>
  <c r="L113" i="9"/>
  <c r="K113" i="9"/>
  <c r="Q113" i="9" s="1"/>
  <c r="R113" i="9" s="1"/>
  <c r="J113" i="9"/>
  <c r="O112" i="9"/>
  <c r="M112" i="9"/>
  <c r="L112" i="9"/>
  <c r="K112" i="9"/>
  <c r="P112" i="9" s="1"/>
  <c r="J112" i="9"/>
  <c r="O111" i="9"/>
  <c r="M111" i="9"/>
  <c r="L111" i="9"/>
  <c r="K111" i="9"/>
  <c r="P111" i="9" s="1"/>
  <c r="J111" i="9"/>
  <c r="O110" i="9"/>
  <c r="M110" i="9"/>
  <c r="L110" i="9"/>
  <c r="K110" i="9"/>
  <c r="J110" i="9"/>
  <c r="O109" i="9"/>
  <c r="M109" i="9"/>
  <c r="L109" i="9"/>
  <c r="K109" i="9"/>
  <c r="P109" i="9" s="1"/>
  <c r="J109" i="9"/>
  <c r="O108" i="9"/>
  <c r="M108" i="9"/>
  <c r="L108" i="9"/>
  <c r="K108" i="9"/>
  <c r="J108" i="9"/>
  <c r="O107" i="9"/>
  <c r="M107" i="9"/>
  <c r="L107" i="9"/>
  <c r="K107" i="9"/>
  <c r="Q107" i="9" s="1"/>
  <c r="R107" i="9" s="1"/>
  <c r="J107" i="9"/>
  <c r="O106" i="9"/>
  <c r="M106" i="9"/>
  <c r="L106" i="9"/>
  <c r="K106" i="9"/>
  <c r="J106" i="9"/>
  <c r="O105" i="9"/>
  <c r="M105" i="9"/>
  <c r="L105" i="9"/>
  <c r="K105" i="9"/>
  <c r="Q105" i="9" s="1"/>
  <c r="R105" i="9" s="1"/>
  <c r="J105" i="9"/>
  <c r="O104" i="9"/>
  <c r="M104" i="9"/>
  <c r="L104" i="9"/>
  <c r="K104" i="9"/>
  <c r="J104" i="9"/>
  <c r="O103" i="9"/>
  <c r="M103" i="9"/>
  <c r="L103" i="9"/>
  <c r="K103" i="9"/>
  <c r="Q103" i="9" s="1"/>
  <c r="R103" i="9" s="1"/>
  <c r="J103" i="9"/>
  <c r="O102" i="9"/>
  <c r="M102" i="9"/>
  <c r="L102" i="9"/>
  <c r="K102" i="9"/>
  <c r="J102" i="9"/>
  <c r="O101" i="9"/>
  <c r="M101" i="9"/>
  <c r="L101" i="9"/>
  <c r="K101" i="9"/>
  <c r="P101" i="9" s="1"/>
  <c r="J101" i="9"/>
  <c r="O100" i="9"/>
  <c r="M100" i="9"/>
  <c r="L100" i="9"/>
  <c r="K100" i="9"/>
  <c r="J100" i="9"/>
  <c r="O99" i="9"/>
  <c r="M99" i="9"/>
  <c r="L99" i="9"/>
  <c r="K99" i="9"/>
  <c r="P99" i="9" s="1"/>
  <c r="J99" i="9"/>
  <c r="O98" i="9"/>
  <c r="M98" i="9"/>
  <c r="L98" i="9"/>
  <c r="K98" i="9"/>
  <c r="J98" i="9"/>
  <c r="O97" i="9"/>
  <c r="M97" i="9"/>
  <c r="L97" i="9"/>
  <c r="K97" i="9"/>
  <c r="J97" i="9"/>
  <c r="O96" i="9"/>
  <c r="M96" i="9"/>
  <c r="L96" i="9"/>
  <c r="K96" i="9"/>
  <c r="Q96" i="9" s="1"/>
  <c r="R96" i="9" s="1"/>
  <c r="J96" i="9"/>
  <c r="O95" i="9"/>
  <c r="M95" i="9"/>
  <c r="L95" i="9"/>
  <c r="K95" i="9"/>
  <c r="J95" i="9"/>
  <c r="O94" i="9"/>
  <c r="M94" i="9"/>
  <c r="L94" i="9"/>
  <c r="K94" i="9"/>
  <c r="Q94" i="9" s="1"/>
  <c r="R94" i="9" s="1"/>
  <c r="J94" i="9"/>
  <c r="O93" i="9"/>
  <c r="M93" i="9"/>
  <c r="L93" i="9"/>
  <c r="K93" i="9"/>
  <c r="J93" i="9"/>
  <c r="O92" i="9"/>
  <c r="M92" i="9"/>
  <c r="L92" i="9"/>
  <c r="K92" i="9"/>
  <c r="P92" i="9" s="1"/>
  <c r="J92" i="9"/>
  <c r="O91" i="9"/>
  <c r="M91" i="9"/>
  <c r="L91" i="9"/>
  <c r="K91" i="9"/>
  <c r="J91" i="9"/>
  <c r="O90" i="9"/>
  <c r="M90" i="9"/>
  <c r="L90" i="9"/>
  <c r="K90" i="9"/>
  <c r="P90" i="9" s="1"/>
  <c r="J90" i="9"/>
  <c r="O89" i="9"/>
  <c r="M89" i="9"/>
  <c r="L89" i="9"/>
  <c r="K89" i="9"/>
  <c r="J89" i="9"/>
  <c r="O88" i="9"/>
  <c r="M88" i="9"/>
  <c r="L88" i="9"/>
  <c r="K88" i="9"/>
  <c r="Q88" i="9" s="1"/>
  <c r="R88" i="9" s="1"/>
  <c r="J88" i="9"/>
  <c r="O87" i="9"/>
  <c r="M87" i="9"/>
  <c r="L87" i="9"/>
  <c r="K87" i="9"/>
  <c r="Q87" i="9" s="1"/>
  <c r="R87" i="9" s="1"/>
  <c r="J87" i="9"/>
  <c r="O86" i="9"/>
  <c r="M86" i="9"/>
  <c r="L86" i="9"/>
  <c r="K86" i="9"/>
  <c r="P86" i="9" s="1"/>
  <c r="J86" i="9"/>
  <c r="O85" i="9"/>
  <c r="M85" i="9"/>
  <c r="L85" i="9"/>
  <c r="K85" i="9"/>
  <c r="Q85" i="9" s="1"/>
  <c r="R85" i="9" s="1"/>
  <c r="J85" i="9"/>
  <c r="O84" i="9"/>
  <c r="M84" i="9"/>
  <c r="L84" i="9"/>
  <c r="K84" i="9"/>
  <c r="Q84" i="9" s="1"/>
  <c r="R84" i="9" s="1"/>
  <c r="J84" i="9"/>
  <c r="O83" i="9"/>
  <c r="M83" i="9"/>
  <c r="L83" i="9"/>
  <c r="K83" i="9"/>
  <c r="P83" i="9" s="1"/>
  <c r="J83" i="9"/>
  <c r="O82" i="9"/>
  <c r="M82" i="9"/>
  <c r="L82" i="9"/>
  <c r="K82" i="9"/>
  <c r="J82" i="9"/>
  <c r="O81" i="9"/>
  <c r="M81" i="9"/>
  <c r="L81" i="9"/>
  <c r="K81" i="9"/>
  <c r="P81" i="9" s="1"/>
  <c r="J81" i="9"/>
  <c r="O80" i="9"/>
  <c r="M80" i="9"/>
  <c r="L80" i="9"/>
  <c r="K80" i="9"/>
  <c r="J80" i="9"/>
  <c r="O79" i="9"/>
  <c r="M79" i="9"/>
  <c r="L79" i="9"/>
  <c r="K79" i="9"/>
  <c r="Q79" i="9" s="1"/>
  <c r="R79" i="9" s="1"/>
  <c r="J79" i="9"/>
  <c r="O78" i="9"/>
  <c r="M78" i="9"/>
  <c r="L78" i="9"/>
  <c r="K78" i="9"/>
  <c r="J78" i="9"/>
  <c r="O77" i="9"/>
  <c r="M77" i="9"/>
  <c r="L77" i="9"/>
  <c r="K77" i="9"/>
  <c r="P77" i="9" s="1"/>
  <c r="J77" i="9"/>
  <c r="O76" i="9"/>
  <c r="M76" i="9"/>
  <c r="L76" i="9"/>
  <c r="K76" i="9"/>
  <c r="P76" i="9" s="1"/>
  <c r="J76" i="9"/>
  <c r="O75" i="9"/>
  <c r="M75" i="9"/>
  <c r="L75" i="9"/>
  <c r="K75" i="9"/>
  <c r="Q75" i="9" s="1"/>
  <c r="R75" i="9" s="1"/>
  <c r="J75" i="9"/>
  <c r="O74" i="9"/>
  <c r="M74" i="9"/>
  <c r="L74" i="9"/>
  <c r="K74" i="9"/>
  <c r="Q74" i="9" s="1"/>
  <c r="R74" i="9" s="1"/>
  <c r="J74" i="9"/>
  <c r="O73" i="9"/>
  <c r="M73" i="9"/>
  <c r="L73" i="9"/>
  <c r="K73" i="9"/>
  <c r="Q73" i="9" s="1"/>
  <c r="R73" i="9" s="1"/>
  <c r="J73" i="9"/>
  <c r="O72" i="9"/>
  <c r="M72" i="9"/>
  <c r="L72" i="9"/>
  <c r="K72" i="9"/>
  <c r="P72" i="9" s="1"/>
  <c r="J72" i="9"/>
  <c r="O71" i="9"/>
  <c r="M71" i="9"/>
  <c r="L71" i="9"/>
  <c r="K71" i="9"/>
  <c r="J71" i="9"/>
  <c r="O70" i="9"/>
  <c r="M70" i="9"/>
  <c r="L70" i="9"/>
  <c r="K70" i="9"/>
  <c r="P70" i="9" s="1"/>
  <c r="J70" i="9"/>
  <c r="O69" i="9"/>
  <c r="M69" i="9"/>
  <c r="L69" i="9"/>
  <c r="K69" i="9"/>
  <c r="J69" i="9"/>
  <c r="O68" i="9"/>
  <c r="M68" i="9"/>
  <c r="L68" i="9"/>
  <c r="K68" i="9"/>
  <c r="P68" i="9" s="1"/>
  <c r="J68" i="9"/>
  <c r="O67" i="9"/>
  <c r="M67" i="9"/>
  <c r="L67" i="9"/>
  <c r="K67" i="9"/>
  <c r="Q67" i="9" s="1"/>
  <c r="R67" i="9" s="1"/>
  <c r="J67" i="9"/>
  <c r="O66" i="9"/>
  <c r="M66" i="9"/>
  <c r="L66" i="9"/>
  <c r="K66" i="9"/>
  <c r="Q66" i="9" s="1"/>
  <c r="R66" i="9" s="1"/>
  <c r="J66" i="9"/>
  <c r="O65" i="9"/>
  <c r="M65" i="9"/>
  <c r="L65" i="9"/>
  <c r="K65" i="9"/>
  <c r="Q65" i="9" s="1"/>
  <c r="R65" i="9" s="1"/>
  <c r="J65" i="9"/>
  <c r="O64" i="9"/>
  <c r="M64" i="9"/>
  <c r="L64" i="9"/>
  <c r="K64" i="9"/>
  <c r="Q64" i="9" s="1"/>
  <c r="R64" i="9" s="1"/>
  <c r="J64" i="9"/>
  <c r="O63" i="9"/>
  <c r="M63" i="9"/>
  <c r="L63" i="9"/>
  <c r="K63" i="9"/>
  <c r="P63" i="9" s="1"/>
  <c r="J63" i="9"/>
  <c r="O62" i="9"/>
  <c r="M62" i="9"/>
  <c r="L62" i="9"/>
  <c r="K62" i="9"/>
  <c r="J62" i="9"/>
  <c r="O61" i="9"/>
  <c r="M61" i="9"/>
  <c r="L61" i="9"/>
  <c r="K61" i="9"/>
  <c r="Q61" i="9" s="1"/>
  <c r="R61" i="9" s="1"/>
  <c r="J61" i="9"/>
  <c r="O60" i="9"/>
  <c r="M60" i="9"/>
  <c r="L60" i="9"/>
  <c r="K60" i="9"/>
  <c r="J60" i="9"/>
  <c r="O59" i="9"/>
  <c r="M59" i="9"/>
  <c r="L59" i="9"/>
  <c r="K59" i="9"/>
  <c r="Q59" i="9" s="1"/>
  <c r="R59" i="9" s="1"/>
  <c r="J59" i="9"/>
  <c r="O58" i="9"/>
  <c r="M58" i="9"/>
  <c r="L58" i="9"/>
  <c r="K58" i="9"/>
  <c r="J58" i="9"/>
  <c r="O57" i="9"/>
  <c r="M57" i="9"/>
  <c r="L57" i="9"/>
  <c r="K57" i="9"/>
  <c r="Q57" i="9" s="1"/>
  <c r="R57" i="9" s="1"/>
  <c r="J57" i="9"/>
  <c r="O56" i="9"/>
  <c r="M56" i="9"/>
  <c r="L56" i="9"/>
  <c r="K56" i="9"/>
  <c r="J56" i="9"/>
  <c r="O55" i="9"/>
  <c r="M55" i="9"/>
  <c r="L55" i="9"/>
  <c r="K55" i="9"/>
  <c r="P55" i="9" s="1"/>
  <c r="J55" i="9"/>
  <c r="O54" i="9"/>
  <c r="M54" i="9"/>
  <c r="L54" i="9"/>
  <c r="K54" i="9"/>
  <c r="J54" i="9"/>
  <c r="O53" i="9"/>
  <c r="M53" i="9"/>
  <c r="L53" i="9"/>
  <c r="K53" i="9"/>
  <c r="P53" i="9" s="1"/>
  <c r="J53" i="9"/>
  <c r="O52" i="9"/>
  <c r="M52" i="9"/>
  <c r="L52" i="9"/>
  <c r="K52" i="9"/>
  <c r="J52" i="9"/>
  <c r="O51" i="9"/>
  <c r="M51" i="9"/>
  <c r="L51" i="9"/>
  <c r="K51" i="9"/>
  <c r="J51" i="9"/>
  <c r="O50" i="9"/>
  <c r="M50" i="9"/>
  <c r="L50" i="9"/>
  <c r="K50" i="9"/>
  <c r="J50" i="9"/>
  <c r="O49" i="9"/>
  <c r="M49" i="9"/>
  <c r="L49" i="9"/>
  <c r="K49" i="9"/>
  <c r="Q49" i="9" s="1"/>
  <c r="R49" i="9" s="1"/>
  <c r="J49" i="9"/>
  <c r="O48" i="9"/>
  <c r="M48" i="9"/>
  <c r="L48" i="9"/>
  <c r="K48" i="9"/>
  <c r="J48" i="9"/>
  <c r="O47" i="9"/>
  <c r="M47" i="9"/>
  <c r="L47" i="9"/>
  <c r="K47" i="9"/>
  <c r="Q47" i="9" s="1"/>
  <c r="R47" i="9" s="1"/>
  <c r="J47" i="9"/>
  <c r="O46" i="9"/>
  <c r="M46" i="9"/>
  <c r="L46" i="9"/>
  <c r="K46" i="9"/>
  <c r="Q46" i="9" s="1"/>
  <c r="R46" i="9" s="1"/>
  <c r="J46" i="9"/>
  <c r="O45" i="9"/>
  <c r="M45" i="9"/>
  <c r="L45" i="9"/>
  <c r="K45" i="9"/>
  <c r="J45" i="9"/>
  <c r="O44" i="9"/>
  <c r="M44" i="9"/>
  <c r="L44" i="9"/>
  <c r="K44" i="9"/>
  <c r="Q44" i="9" s="1"/>
  <c r="R44" i="9" s="1"/>
  <c r="J44" i="9"/>
  <c r="O43" i="9"/>
  <c r="M43" i="9"/>
  <c r="L43" i="9"/>
  <c r="K43" i="9"/>
  <c r="J43" i="9"/>
  <c r="O42" i="9"/>
  <c r="M42" i="9"/>
  <c r="L42" i="9"/>
  <c r="K42" i="9"/>
  <c r="P42" i="9" s="1"/>
  <c r="J42" i="9"/>
  <c r="O41" i="9"/>
  <c r="M41" i="9"/>
  <c r="L41" i="9"/>
  <c r="K41" i="9"/>
  <c r="P41" i="9" s="1"/>
  <c r="J41" i="9"/>
  <c r="O40" i="9"/>
  <c r="M40" i="9"/>
  <c r="L40" i="9"/>
  <c r="K40" i="9"/>
  <c r="J40" i="9"/>
  <c r="O39" i="9"/>
  <c r="M39" i="9"/>
  <c r="L39" i="9"/>
  <c r="K39" i="9"/>
  <c r="Q39" i="9" s="1"/>
  <c r="R39" i="9" s="1"/>
  <c r="J39" i="9"/>
  <c r="O38" i="9"/>
  <c r="M38" i="9"/>
  <c r="L38" i="9"/>
  <c r="K38" i="9"/>
  <c r="J38" i="9"/>
  <c r="O37" i="9"/>
  <c r="M37" i="9"/>
  <c r="L37" i="9"/>
  <c r="K37" i="9"/>
  <c r="Q37" i="9" s="1"/>
  <c r="R37" i="9" s="1"/>
  <c r="J37" i="9"/>
  <c r="O36" i="9"/>
  <c r="M36" i="9"/>
  <c r="L36" i="9"/>
  <c r="K36" i="9"/>
  <c r="Q36" i="9" s="1"/>
  <c r="R36" i="9" s="1"/>
  <c r="J36" i="9"/>
  <c r="O35" i="9"/>
  <c r="M35" i="9"/>
  <c r="L35" i="9"/>
  <c r="K35" i="9"/>
  <c r="Q35" i="9" s="1"/>
  <c r="R35" i="9" s="1"/>
  <c r="J35" i="9"/>
  <c r="O34" i="9"/>
  <c r="M34" i="9"/>
  <c r="L34" i="9"/>
  <c r="K34" i="9"/>
  <c r="J34" i="9"/>
  <c r="O33" i="9"/>
  <c r="M33" i="9"/>
  <c r="L33" i="9"/>
  <c r="K33" i="9"/>
  <c r="Q33" i="9" s="1"/>
  <c r="R33" i="9" s="1"/>
  <c r="J33" i="9"/>
  <c r="O32" i="9"/>
  <c r="M32" i="9"/>
  <c r="L32" i="9"/>
  <c r="K32" i="9"/>
  <c r="J32" i="9"/>
  <c r="O31" i="9"/>
  <c r="M31" i="9"/>
  <c r="L31" i="9"/>
  <c r="K31" i="9"/>
  <c r="P31" i="9" s="1"/>
  <c r="J31" i="9"/>
  <c r="O30" i="9"/>
  <c r="M30" i="9"/>
  <c r="L30" i="9"/>
  <c r="K30" i="9"/>
  <c r="J30" i="9"/>
  <c r="O29" i="9"/>
  <c r="M29" i="9"/>
  <c r="L29" i="9"/>
  <c r="K29" i="9"/>
  <c r="P29" i="9" s="1"/>
  <c r="J29" i="9"/>
  <c r="O28" i="9"/>
  <c r="M28" i="9"/>
  <c r="L28" i="9"/>
  <c r="K28" i="9"/>
  <c r="J28" i="9"/>
  <c r="O27" i="9"/>
  <c r="M27" i="9"/>
  <c r="L27" i="9"/>
  <c r="K27" i="9"/>
  <c r="P27" i="9" s="1"/>
  <c r="J27" i="9"/>
  <c r="O26" i="9"/>
  <c r="M26" i="9"/>
  <c r="L26" i="9"/>
  <c r="K26" i="9"/>
  <c r="Q26" i="9" s="1"/>
  <c r="R26" i="9" s="1"/>
  <c r="J26" i="9"/>
  <c r="O25" i="9"/>
  <c r="M25" i="9"/>
  <c r="L25" i="9"/>
  <c r="K25" i="9"/>
  <c r="Q25" i="9" s="1"/>
  <c r="R25" i="9" s="1"/>
  <c r="J25" i="9"/>
  <c r="O24" i="9"/>
  <c r="M24" i="9"/>
  <c r="L24" i="9"/>
  <c r="K24" i="9"/>
  <c r="P24" i="9" s="1"/>
  <c r="J24" i="9"/>
  <c r="O23" i="9"/>
  <c r="M23" i="9"/>
  <c r="L23" i="9"/>
  <c r="K23" i="9"/>
  <c r="J23" i="9"/>
  <c r="O22" i="9"/>
  <c r="M22" i="9"/>
  <c r="L22" i="9"/>
  <c r="K22" i="9"/>
  <c r="P22" i="9" s="1"/>
  <c r="J22" i="9"/>
  <c r="O21" i="9"/>
  <c r="M21" i="9"/>
  <c r="L21" i="9"/>
  <c r="K21" i="9"/>
  <c r="J21" i="9"/>
  <c r="O20" i="9"/>
  <c r="M20" i="9"/>
  <c r="L20" i="9"/>
  <c r="K20" i="9"/>
  <c r="J20" i="9"/>
  <c r="O19" i="9"/>
  <c r="M19" i="9"/>
  <c r="L19" i="9"/>
  <c r="K19" i="9"/>
  <c r="P19" i="9" s="1"/>
  <c r="J19" i="9"/>
  <c r="O18" i="9"/>
  <c r="M18" i="9"/>
  <c r="L18" i="9"/>
  <c r="K18" i="9"/>
  <c r="J18" i="9"/>
  <c r="O17" i="9"/>
  <c r="M17" i="9"/>
  <c r="L17" i="9"/>
  <c r="K17" i="9"/>
  <c r="Q17" i="9" s="1"/>
  <c r="R17" i="9" s="1"/>
  <c r="J17" i="9"/>
  <c r="O16" i="9"/>
  <c r="M16" i="9"/>
  <c r="L16" i="9"/>
  <c r="K16" i="9"/>
  <c r="J16" i="9"/>
  <c r="O15" i="9"/>
  <c r="M15" i="9"/>
  <c r="L15" i="9"/>
  <c r="K15" i="9"/>
  <c r="P15" i="9" s="1"/>
  <c r="J15" i="9"/>
  <c r="O14" i="9"/>
  <c r="M14" i="9"/>
  <c r="L14" i="9"/>
  <c r="K14" i="9"/>
  <c r="J14" i="9"/>
  <c r="O13" i="9"/>
  <c r="M13" i="9"/>
  <c r="L13" i="9"/>
  <c r="K13" i="9"/>
  <c r="P13" i="9" s="1"/>
  <c r="J13" i="9"/>
  <c r="O12" i="9"/>
  <c r="M12" i="9"/>
  <c r="L12" i="9"/>
  <c r="K12" i="9"/>
  <c r="J12" i="9"/>
  <c r="O11" i="9"/>
  <c r="M11" i="9"/>
  <c r="L11" i="9"/>
  <c r="K11" i="9"/>
  <c r="Q11" i="9" s="1"/>
  <c r="R11" i="9" s="1"/>
  <c r="J11" i="9"/>
  <c r="O10" i="9"/>
  <c r="M10" i="9"/>
  <c r="L10" i="9"/>
  <c r="K10" i="9"/>
  <c r="J10" i="9"/>
  <c r="O9" i="9"/>
  <c r="M9" i="9"/>
  <c r="L9" i="9"/>
  <c r="K9" i="9"/>
  <c r="Q9" i="9" s="1"/>
  <c r="R9" i="9" s="1"/>
  <c r="J9" i="9"/>
  <c r="O8" i="9"/>
  <c r="M8" i="9"/>
  <c r="L8" i="9"/>
  <c r="K8" i="9"/>
  <c r="J8" i="9"/>
  <c r="O7" i="9"/>
  <c r="M7" i="9"/>
  <c r="L7" i="9"/>
  <c r="K7" i="9"/>
  <c r="P7" i="9" s="1"/>
  <c r="J7" i="9"/>
  <c r="O6" i="9"/>
  <c r="M6" i="9"/>
  <c r="L6" i="9"/>
  <c r="K6" i="9"/>
  <c r="P6" i="9" s="1"/>
  <c r="J6" i="9"/>
  <c r="O5" i="9"/>
  <c r="M5" i="9"/>
  <c r="L5" i="9"/>
  <c r="K5" i="9"/>
  <c r="P5" i="9" s="1"/>
  <c r="J5" i="9"/>
  <c r="O4" i="9"/>
  <c r="M4" i="9"/>
  <c r="L4" i="9"/>
  <c r="K4" i="9"/>
  <c r="Q4" i="9" s="1"/>
  <c r="R4" i="9" s="1"/>
  <c r="J4" i="9"/>
  <c r="O312" i="8"/>
  <c r="M312" i="8"/>
  <c r="L312" i="8"/>
  <c r="K312" i="8"/>
  <c r="Q312" i="8" s="1"/>
  <c r="J312" i="8"/>
  <c r="O311" i="8"/>
  <c r="M311" i="8"/>
  <c r="L311" i="8"/>
  <c r="K311" i="8"/>
  <c r="Q311" i="8" s="1"/>
  <c r="J311" i="8"/>
  <c r="O310" i="8"/>
  <c r="M310" i="8"/>
  <c r="L310" i="8"/>
  <c r="K310" i="8"/>
  <c r="Q310" i="8" s="1"/>
  <c r="J310" i="8"/>
  <c r="O309" i="8"/>
  <c r="M309" i="8"/>
  <c r="L309" i="8"/>
  <c r="K309" i="8"/>
  <c r="Q309" i="8" s="1"/>
  <c r="J309" i="8"/>
  <c r="O308" i="8"/>
  <c r="M308" i="8"/>
  <c r="L308" i="8"/>
  <c r="K308" i="8"/>
  <c r="J308" i="8"/>
  <c r="O307" i="8"/>
  <c r="M307" i="8"/>
  <c r="L307" i="8"/>
  <c r="K307" i="8"/>
  <c r="Q307" i="8" s="1"/>
  <c r="J307" i="8"/>
  <c r="O306" i="8"/>
  <c r="M306" i="8"/>
  <c r="L306" i="8"/>
  <c r="K306" i="8"/>
  <c r="Q306" i="8" s="1"/>
  <c r="J306" i="8"/>
  <c r="O305" i="8"/>
  <c r="M305" i="8"/>
  <c r="L305" i="8"/>
  <c r="K305" i="8"/>
  <c r="Q305" i="8" s="1"/>
  <c r="J305" i="8"/>
  <c r="O304" i="8"/>
  <c r="M304" i="8"/>
  <c r="L304" i="8"/>
  <c r="K304" i="8"/>
  <c r="Q304" i="8" s="1"/>
  <c r="J304" i="8"/>
  <c r="O303" i="8"/>
  <c r="M303" i="8"/>
  <c r="L303" i="8"/>
  <c r="K303" i="8"/>
  <c r="Q303" i="8" s="1"/>
  <c r="J303" i="8"/>
  <c r="O302" i="8"/>
  <c r="M302" i="8"/>
  <c r="L302" i="8"/>
  <c r="K302" i="8"/>
  <c r="Q302" i="8" s="1"/>
  <c r="J302" i="8"/>
  <c r="O301" i="8"/>
  <c r="M301" i="8"/>
  <c r="L301" i="8"/>
  <c r="K301" i="8"/>
  <c r="Q301" i="8" s="1"/>
  <c r="J301" i="8"/>
  <c r="O300" i="8"/>
  <c r="M300" i="8"/>
  <c r="L300" i="8"/>
  <c r="K300" i="8"/>
  <c r="Q300" i="8" s="1"/>
  <c r="J300" i="8"/>
  <c r="O299" i="8"/>
  <c r="M299" i="8"/>
  <c r="L299" i="8"/>
  <c r="K299" i="8"/>
  <c r="J299" i="8"/>
  <c r="O298" i="8"/>
  <c r="M298" i="8"/>
  <c r="L298" i="8"/>
  <c r="K298" i="8"/>
  <c r="J298" i="8"/>
  <c r="O297" i="8"/>
  <c r="M297" i="8"/>
  <c r="L297" i="8"/>
  <c r="K297" i="8"/>
  <c r="J297" i="8"/>
  <c r="O296" i="8"/>
  <c r="M296" i="8"/>
  <c r="L296" i="8"/>
  <c r="K296" i="8"/>
  <c r="Q296" i="8" s="1"/>
  <c r="J296" i="8"/>
  <c r="O295" i="8"/>
  <c r="M295" i="8"/>
  <c r="L295" i="8"/>
  <c r="K295" i="8"/>
  <c r="Q295" i="8" s="1"/>
  <c r="J295" i="8"/>
  <c r="O294" i="8"/>
  <c r="M294" i="8"/>
  <c r="L294" i="8"/>
  <c r="K294" i="8"/>
  <c r="Q294" i="8" s="1"/>
  <c r="J294" i="8"/>
  <c r="O293" i="8"/>
  <c r="M293" i="8"/>
  <c r="L293" i="8"/>
  <c r="K293" i="8"/>
  <c r="Q293" i="8" s="1"/>
  <c r="J293" i="8"/>
  <c r="O292" i="8"/>
  <c r="M292" i="8"/>
  <c r="L292" i="8"/>
  <c r="K292" i="8"/>
  <c r="Q292" i="8" s="1"/>
  <c r="J292" i="8"/>
  <c r="O291" i="8"/>
  <c r="M291" i="8"/>
  <c r="L291" i="8"/>
  <c r="K291" i="8"/>
  <c r="J291" i="8"/>
  <c r="O290" i="8"/>
  <c r="M290" i="8"/>
  <c r="L290" i="8"/>
  <c r="K290" i="8"/>
  <c r="Q290" i="8" s="1"/>
  <c r="J290" i="8"/>
  <c r="O289" i="8"/>
  <c r="M289" i="8"/>
  <c r="L289" i="8"/>
  <c r="K289" i="8"/>
  <c r="Q289" i="8" s="1"/>
  <c r="J289" i="8"/>
  <c r="O288" i="8"/>
  <c r="M288" i="8"/>
  <c r="L288" i="8"/>
  <c r="K288" i="8"/>
  <c r="Q288" i="8" s="1"/>
  <c r="J288" i="8"/>
  <c r="O287" i="8"/>
  <c r="M287" i="8"/>
  <c r="L287" i="8"/>
  <c r="K287" i="8"/>
  <c r="Q287" i="8" s="1"/>
  <c r="J287" i="8"/>
  <c r="O286" i="8"/>
  <c r="M286" i="8"/>
  <c r="L286" i="8"/>
  <c r="K286" i="8"/>
  <c r="Q286" i="8" s="1"/>
  <c r="J286" i="8"/>
  <c r="O285" i="8"/>
  <c r="M285" i="8"/>
  <c r="L285" i="8"/>
  <c r="K285" i="8"/>
  <c r="Q285" i="8" s="1"/>
  <c r="J285" i="8"/>
  <c r="O284" i="8"/>
  <c r="M284" i="8"/>
  <c r="L284" i="8"/>
  <c r="K284" i="8"/>
  <c r="J284" i="8"/>
  <c r="O283" i="8"/>
  <c r="M283" i="8"/>
  <c r="L283" i="8"/>
  <c r="K283" i="8"/>
  <c r="Q283" i="8" s="1"/>
  <c r="J283" i="8"/>
  <c r="O282" i="8"/>
  <c r="M282" i="8"/>
  <c r="L282" i="8"/>
  <c r="K282" i="8"/>
  <c r="J282" i="8"/>
  <c r="O281" i="8"/>
  <c r="M281" i="8"/>
  <c r="L281" i="8"/>
  <c r="K281" i="8"/>
  <c r="Q281" i="8" s="1"/>
  <c r="J281" i="8"/>
  <c r="O280" i="8"/>
  <c r="M280" i="8"/>
  <c r="L280" i="8"/>
  <c r="K280" i="8"/>
  <c r="J280" i="8"/>
  <c r="O279" i="8"/>
  <c r="M279" i="8"/>
  <c r="L279" i="8"/>
  <c r="K279" i="8"/>
  <c r="J279" i="8"/>
  <c r="O278" i="8"/>
  <c r="M278" i="8"/>
  <c r="L278" i="8"/>
  <c r="K278" i="8"/>
  <c r="J278" i="8"/>
  <c r="O277" i="8"/>
  <c r="M277" i="8"/>
  <c r="L277" i="8"/>
  <c r="K277" i="8"/>
  <c r="J277" i="8"/>
  <c r="O276" i="8"/>
  <c r="M276" i="8"/>
  <c r="L276" i="8"/>
  <c r="K276" i="8"/>
  <c r="Q276" i="8" s="1"/>
  <c r="J276" i="8"/>
  <c r="O275" i="8"/>
  <c r="M275" i="8"/>
  <c r="L275" i="8"/>
  <c r="K275" i="8"/>
  <c r="Q275" i="8" s="1"/>
  <c r="J275" i="8"/>
  <c r="O274" i="8"/>
  <c r="M274" i="8"/>
  <c r="L274" i="8"/>
  <c r="K274" i="8"/>
  <c r="Q274" i="8" s="1"/>
  <c r="J274" i="8"/>
  <c r="O273" i="8"/>
  <c r="M273" i="8"/>
  <c r="L273" i="8"/>
  <c r="K273" i="8"/>
  <c r="Q273" i="8" s="1"/>
  <c r="J273" i="8"/>
  <c r="O272" i="8"/>
  <c r="M272" i="8"/>
  <c r="L272" i="8"/>
  <c r="K272" i="8"/>
  <c r="Q272" i="8" s="1"/>
  <c r="J272" i="8"/>
  <c r="O271" i="8"/>
  <c r="M271" i="8"/>
  <c r="L271" i="8"/>
  <c r="K271" i="8"/>
  <c r="Q271" i="8" s="1"/>
  <c r="J271" i="8"/>
  <c r="O270" i="8"/>
  <c r="M270" i="8"/>
  <c r="L270" i="8"/>
  <c r="K270" i="8"/>
  <c r="J270" i="8"/>
  <c r="O269" i="8"/>
  <c r="M269" i="8"/>
  <c r="L269" i="8"/>
  <c r="K269" i="8"/>
  <c r="Q269" i="8" s="1"/>
  <c r="J269" i="8"/>
  <c r="O268" i="8"/>
  <c r="M268" i="8"/>
  <c r="L268" i="8"/>
  <c r="K268" i="8"/>
  <c r="J268" i="8"/>
  <c r="O267" i="8"/>
  <c r="M267" i="8"/>
  <c r="L267" i="8"/>
  <c r="K267" i="8"/>
  <c r="Q267" i="8" s="1"/>
  <c r="J267" i="8"/>
  <c r="O266" i="8"/>
  <c r="M266" i="8"/>
  <c r="L266" i="8"/>
  <c r="K266" i="8"/>
  <c r="J266" i="8"/>
  <c r="O265" i="8"/>
  <c r="M265" i="8"/>
  <c r="L265" i="8"/>
  <c r="K265" i="8"/>
  <c r="Q265" i="8" s="1"/>
  <c r="J265" i="8"/>
  <c r="O264" i="8"/>
  <c r="M264" i="8"/>
  <c r="L264" i="8"/>
  <c r="K264" i="8"/>
  <c r="Q264" i="8" s="1"/>
  <c r="R264" i="8" s="1"/>
  <c r="J264" i="8"/>
  <c r="O263" i="8"/>
  <c r="M263" i="8"/>
  <c r="L263" i="8"/>
  <c r="K263" i="8"/>
  <c r="P263" i="8" s="1"/>
  <c r="J263" i="8"/>
  <c r="O262" i="8"/>
  <c r="M262" i="8"/>
  <c r="L262" i="8"/>
  <c r="K262" i="8"/>
  <c r="Q262" i="8" s="1"/>
  <c r="R262" i="8" s="1"/>
  <c r="J262" i="8"/>
  <c r="O261" i="8"/>
  <c r="M261" i="8"/>
  <c r="L261" i="8"/>
  <c r="K261" i="8"/>
  <c r="P261" i="8" s="1"/>
  <c r="J261" i="8"/>
  <c r="O260" i="8"/>
  <c r="M260" i="8"/>
  <c r="L260" i="8"/>
  <c r="K260" i="8"/>
  <c r="Q260" i="8" s="1"/>
  <c r="J260" i="8"/>
  <c r="O259" i="8"/>
  <c r="M259" i="8"/>
  <c r="L259" i="8"/>
  <c r="K259" i="8"/>
  <c r="J259" i="8"/>
  <c r="O258" i="8"/>
  <c r="M258" i="8"/>
  <c r="L258" i="8"/>
  <c r="K258" i="8"/>
  <c r="Q258" i="8" s="1"/>
  <c r="J258" i="8"/>
  <c r="O257" i="8"/>
  <c r="M257" i="8"/>
  <c r="L257" i="8"/>
  <c r="K257" i="8"/>
  <c r="Q257" i="8" s="1"/>
  <c r="J257" i="8"/>
  <c r="O256" i="8"/>
  <c r="M256" i="8"/>
  <c r="L256" i="8"/>
  <c r="K256" i="8"/>
  <c r="Q256" i="8" s="1"/>
  <c r="J256" i="8"/>
  <c r="O255" i="8"/>
  <c r="M255" i="8"/>
  <c r="L255" i="8"/>
  <c r="K255" i="8"/>
  <c r="Q255" i="8" s="1"/>
  <c r="J255" i="8"/>
  <c r="O254" i="8"/>
  <c r="M254" i="8"/>
  <c r="L254" i="8"/>
  <c r="K254" i="8"/>
  <c r="Q254" i="8" s="1"/>
  <c r="J254" i="8"/>
  <c r="O253" i="8"/>
  <c r="M253" i="8"/>
  <c r="L253" i="8"/>
  <c r="K253" i="8"/>
  <c r="Q253" i="8" s="1"/>
  <c r="J253" i="8"/>
  <c r="O252" i="8"/>
  <c r="M252" i="8"/>
  <c r="L252" i="8"/>
  <c r="K252" i="8"/>
  <c r="Q252" i="8" s="1"/>
  <c r="J252" i="8"/>
  <c r="O251" i="8"/>
  <c r="M251" i="8"/>
  <c r="L251" i="8"/>
  <c r="K251" i="8"/>
  <c r="J251" i="8"/>
  <c r="O250" i="8"/>
  <c r="M250" i="8"/>
  <c r="L250" i="8"/>
  <c r="K250" i="8"/>
  <c r="J250" i="8"/>
  <c r="O249" i="8"/>
  <c r="M249" i="8"/>
  <c r="L249" i="8"/>
  <c r="K249" i="8"/>
  <c r="J249" i="8"/>
  <c r="O248" i="8"/>
  <c r="M248" i="8"/>
  <c r="L248" i="8"/>
  <c r="K248" i="8"/>
  <c r="J248" i="8"/>
  <c r="O247" i="8"/>
  <c r="M247" i="8"/>
  <c r="L247" i="8"/>
  <c r="K247" i="8"/>
  <c r="Q247" i="8" s="1"/>
  <c r="R247" i="8" s="1"/>
  <c r="J247" i="8"/>
  <c r="O246" i="8"/>
  <c r="M246" i="8"/>
  <c r="L246" i="8"/>
  <c r="K246" i="8"/>
  <c r="Q246" i="8" s="1"/>
  <c r="R246" i="8" s="1"/>
  <c r="J246" i="8"/>
  <c r="O245" i="8"/>
  <c r="M245" i="8"/>
  <c r="L245" i="8"/>
  <c r="K245" i="8"/>
  <c r="Q245" i="8" s="1"/>
  <c r="R245" i="8" s="1"/>
  <c r="J245" i="8"/>
  <c r="O244" i="8"/>
  <c r="M244" i="8"/>
  <c r="L244" i="8"/>
  <c r="K244" i="8"/>
  <c r="P244" i="8" s="1"/>
  <c r="J244" i="8"/>
  <c r="O243" i="8"/>
  <c r="M243" i="8"/>
  <c r="L243" i="8"/>
  <c r="K243" i="8"/>
  <c r="J243" i="8"/>
  <c r="O242" i="8"/>
  <c r="M242" i="8"/>
  <c r="L242" i="8"/>
  <c r="K242" i="8"/>
  <c r="P242" i="8" s="1"/>
  <c r="J242" i="8"/>
  <c r="O241" i="8"/>
  <c r="M241" i="8"/>
  <c r="L241" i="8"/>
  <c r="K241" i="8"/>
  <c r="J241" i="8"/>
  <c r="O240" i="8"/>
  <c r="M240" i="8"/>
  <c r="L240" i="8"/>
  <c r="K240" i="8"/>
  <c r="Q240" i="8" s="1"/>
  <c r="R240" i="8" s="1"/>
  <c r="J240" i="8"/>
  <c r="O239" i="8"/>
  <c r="M239" i="8"/>
  <c r="L239" i="8"/>
  <c r="K239" i="8"/>
  <c r="P239" i="8" s="1"/>
  <c r="J239" i="8"/>
  <c r="O238" i="8"/>
  <c r="M238" i="8"/>
  <c r="L238" i="8"/>
  <c r="K238" i="8"/>
  <c r="P238" i="8" s="1"/>
  <c r="J238" i="8"/>
  <c r="O237" i="8"/>
  <c r="M237" i="8"/>
  <c r="L237" i="8"/>
  <c r="K237" i="8"/>
  <c r="J237" i="8"/>
  <c r="O236" i="8"/>
  <c r="M236" i="8"/>
  <c r="L236" i="8"/>
  <c r="K236" i="8"/>
  <c r="Q236" i="8" s="1"/>
  <c r="R236" i="8" s="1"/>
  <c r="J236" i="8"/>
  <c r="O235" i="8"/>
  <c r="M235" i="8"/>
  <c r="L235" i="8"/>
  <c r="K235" i="8"/>
  <c r="P235" i="8" s="1"/>
  <c r="J235" i="8"/>
  <c r="O234" i="8"/>
  <c r="M234" i="8"/>
  <c r="L234" i="8"/>
  <c r="K234" i="8"/>
  <c r="Q234" i="8" s="1"/>
  <c r="J234" i="8"/>
  <c r="O233" i="8"/>
  <c r="M233" i="8"/>
  <c r="L233" i="8"/>
  <c r="K233" i="8"/>
  <c r="Q233" i="8" s="1"/>
  <c r="R233" i="8" s="1"/>
  <c r="J233" i="8"/>
  <c r="O232" i="8"/>
  <c r="M232" i="8"/>
  <c r="L232" i="8"/>
  <c r="K232" i="8"/>
  <c r="Q232" i="8" s="1"/>
  <c r="J232" i="8"/>
  <c r="O231" i="8"/>
  <c r="M231" i="8"/>
  <c r="L231" i="8"/>
  <c r="K231" i="8"/>
  <c r="Q231" i="8" s="1"/>
  <c r="R231" i="8" s="1"/>
  <c r="J231" i="8"/>
  <c r="O230" i="8"/>
  <c r="M230" i="8"/>
  <c r="L230" i="8"/>
  <c r="K230" i="8"/>
  <c r="J230" i="8"/>
  <c r="O229" i="8"/>
  <c r="M229" i="8"/>
  <c r="L229" i="8"/>
  <c r="K229" i="8"/>
  <c r="Q229" i="8" s="1"/>
  <c r="R229" i="8" s="1"/>
  <c r="J229" i="8"/>
  <c r="O228" i="8"/>
  <c r="M228" i="8"/>
  <c r="L228" i="8"/>
  <c r="K228" i="8"/>
  <c r="J228" i="8"/>
  <c r="O227" i="8"/>
  <c r="M227" i="8"/>
  <c r="L227" i="8"/>
  <c r="K227" i="8"/>
  <c r="P227" i="8" s="1"/>
  <c r="J227" i="8"/>
  <c r="O226" i="8"/>
  <c r="M226" i="8"/>
  <c r="L226" i="8"/>
  <c r="K226" i="8"/>
  <c r="Q226" i="8" s="1"/>
  <c r="R226" i="8" s="1"/>
  <c r="J226" i="8"/>
  <c r="O225" i="8"/>
  <c r="M225" i="8"/>
  <c r="L225" i="8"/>
  <c r="K225" i="8"/>
  <c r="Q225" i="8" s="1"/>
  <c r="R225" i="8" s="1"/>
  <c r="J225" i="8"/>
  <c r="O224" i="8"/>
  <c r="M224" i="8"/>
  <c r="L224" i="8"/>
  <c r="K224" i="8"/>
  <c r="J224" i="8"/>
  <c r="O223" i="8"/>
  <c r="M223" i="8"/>
  <c r="L223" i="8"/>
  <c r="K223" i="8"/>
  <c r="P223" i="8" s="1"/>
  <c r="J223" i="8"/>
  <c r="O222" i="8"/>
  <c r="M222" i="8"/>
  <c r="L222" i="8"/>
  <c r="K222" i="8"/>
  <c r="J222" i="8"/>
  <c r="O221" i="8"/>
  <c r="M221" i="8"/>
  <c r="L221" i="8"/>
  <c r="K221" i="8"/>
  <c r="J221" i="8"/>
  <c r="O220" i="8"/>
  <c r="M220" i="8"/>
  <c r="L220" i="8"/>
  <c r="K220" i="8"/>
  <c r="J220" i="8"/>
  <c r="O219" i="8"/>
  <c r="M219" i="8"/>
  <c r="L219" i="8"/>
  <c r="K219" i="8"/>
  <c r="J219" i="8"/>
  <c r="O218" i="8"/>
  <c r="M218" i="8"/>
  <c r="L218" i="8"/>
  <c r="K218" i="8"/>
  <c r="Q218" i="8" s="1"/>
  <c r="J218" i="8"/>
  <c r="O217" i="8"/>
  <c r="M217" i="8"/>
  <c r="L217" i="8"/>
  <c r="K217" i="8"/>
  <c r="Q217" i="8" s="1"/>
  <c r="R217" i="8" s="1"/>
  <c r="J217" i="8"/>
  <c r="O216" i="8"/>
  <c r="M216" i="8"/>
  <c r="L216" i="8"/>
  <c r="K216" i="8"/>
  <c r="Q216" i="8" s="1"/>
  <c r="R216" i="8" s="1"/>
  <c r="J216" i="8"/>
  <c r="O215" i="8"/>
  <c r="M215" i="8"/>
  <c r="L215" i="8"/>
  <c r="K215" i="8"/>
  <c r="P215" i="8" s="1"/>
  <c r="J215" i="8"/>
  <c r="O214" i="8"/>
  <c r="M214" i="8"/>
  <c r="L214" i="8"/>
  <c r="K214" i="8"/>
  <c r="P214" i="8" s="1"/>
  <c r="J214" i="8"/>
  <c r="O213" i="8"/>
  <c r="M213" i="8"/>
  <c r="L213" i="8"/>
  <c r="K213" i="8"/>
  <c r="Q213" i="8" s="1"/>
  <c r="R213" i="8" s="1"/>
  <c r="J213" i="8"/>
  <c r="O212" i="8"/>
  <c r="M212" i="8"/>
  <c r="L212" i="8"/>
  <c r="K212" i="8"/>
  <c r="J212" i="8"/>
  <c r="O211" i="8"/>
  <c r="M211" i="8"/>
  <c r="L211" i="8"/>
  <c r="K211" i="8"/>
  <c r="Q211" i="8" s="1"/>
  <c r="R211" i="8" s="1"/>
  <c r="J211" i="8"/>
  <c r="O210" i="8"/>
  <c r="M210" i="8"/>
  <c r="L210" i="8"/>
  <c r="K210" i="8"/>
  <c r="J210" i="8"/>
  <c r="O209" i="8"/>
  <c r="M209" i="8"/>
  <c r="L209" i="8"/>
  <c r="K209" i="8"/>
  <c r="P209" i="8" s="1"/>
  <c r="J209" i="8"/>
  <c r="O208" i="8"/>
  <c r="M208" i="8"/>
  <c r="L208" i="8"/>
  <c r="K208" i="8"/>
  <c r="J208" i="8"/>
  <c r="O207" i="8"/>
  <c r="M207" i="8"/>
  <c r="L207" i="8"/>
  <c r="K207" i="8"/>
  <c r="P207" i="8" s="1"/>
  <c r="J207" i="8"/>
  <c r="O206" i="8"/>
  <c r="M206" i="8"/>
  <c r="L206" i="8"/>
  <c r="K206" i="8"/>
  <c r="J206" i="8"/>
  <c r="O205" i="8"/>
  <c r="M205" i="8"/>
  <c r="L205" i="8"/>
  <c r="K205" i="8"/>
  <c r="Q205" i="8" s="1"/>
  <c r="R205" i="8" s="1"/>
  <c r="J205" i="8"/>
  <c r="O204" i="8"/>
  <c r="M204" i="8"/>
  <c r="L204" i="8"/>
  <c r="K204" i="8"/>
  <c r="Q204" i="8" s="1"/>
  <c r="R204" i="8" s="1"/>
  <c r="J204" i="8"/>
  <c r="O203" i="8"/>
  <c r="M203" i="8"/>
  <c r="L203" i="8"/>
  <c r="K203" i="8"/>
  <c r="Q203" i="8" s="1"/>
  <c r="R203" i="8" s="1"/>
  <c r="J203" i="8"/>
  <c r="O202" i="8"/>
  <c r="M202" i="8"/>
  <c r="L202" i="8"/>
  <c r="K202" i="8"/>
  <c r="Q202" i="8" s="1"/>
  <c r="R202" i="8" s="1"/>
  <c r="J202" i="8"/>
  <c r="O201" i="8"/>
  <c r="M201" i="8"/>
  <c r="L201" i="8"/>
  <c r="K201" i="8"/>
  <c r="J201" i="8"/>
  <c r="O200" i="8"/>
  <c r="M200" i="8"/>
  <c r="L200" i="8"/>
  <c r="K200" i="8"/>
  <c r="P200" i="8" s="1"/>
  <c r="J200" i="8"/>
  <c r="O199" i="8"/>
  <c r="M199" i="8"/>
  <c r="L199" i="8"/>
  <c r="K199" i="8"/>
  <c r="J199" i="8"/>
  <c r="O198" i="8"/>
  <c r="M198" i="8"/>
  <c r="L198" i="8"/>
  <c r="K198" i="8"/>
  <c r="J198" i="8"/>
  <c r="O197" i="8"/>
  <c r="M197" i="8"/>
  <c r="L197" i="8"/>
  <c r="K197" i="8"/>
  <c r="Q197" i="8" s="1"/>
  <c r="R197" i="8" s="1"/>
  <c r="J197" i="8"/>
  <c r="O196" i="8"/>
  <c r="M196" i="8"/>
  <c r="L196" i="8"/>
  <c r="K196" i="8"/>
  <c r="Q196" i="8" s="1"/>
  <c r="R196" i="8" s="1"/>
  <c r="J196" i="8"/>
  <c r="O195" i="8"/>
  <c r="M195" i="8"/>
  <c r="L195" i="8"/>
  <c r="K195" i="8"/>
  <c r="Q195" i="8" s="1"/>
  <c r="J195" i="8"/>
  <c r="O194" i="8"/>
  <c r="M194" i="8"/>
  <c r="L194" i="8"/>
  <c r="K194" i="8"/>
  <c r="Q194" i="8" s="1"/>
  <c r="J194" i="8"/>
  <c r="O193" i="8"/>
  <c r="M193" i="8"/>
  <c r="L193" i="8"/>
  <c r="K193" i="8"/>
  <c r="P193" i="8" s="1"/>
  <c r="J193" i="8"/>
  <c r="O192" i="8"/>
  <c r="M192" i="8"/>
  <c r="L192" i="8"/>
  <c r="K192" i="8"/>
  <c r="P192" i="8" s="1"/>
  <c r="J192" i="8"/>
  <c r="O191" i="8"/>
  <c r="M191" i="8"/>
  <c r="L191" i="8"/>
  <c r="K191" i="8"/>
  <c r="P191" i="8" s="1"/>
  <c r="J191" i="8"/>
  <c r="O190" i="8"/>
  <c r="M190" i="8"/>
  <c r="L190" i="8"/>
  <c r="K190" i="8"/>
  <c r="Q190" i="8" s="1"/>
  <c r="R190" i="8" s="1"/>
  <c r="J190" i="8"/>
  <c r="O189" i="8"/>
  <c r="M189" i="8"/>
  <c r="L189" i="8"/>
  <c r="K189" i="8"/>
  <c r="J189" i="8"/>
  <c r="O188" i="8"/>
  <c r="M188" i="8"/>
  <c r="L188" i="8"/>
  <c r="K188" i="8"/>
  <c r="Q188" i="8" s="1"/>
  <c r="R188" i="8" s="1"/>
  <c r="J188" i="8"/>
  <c r="O187" i="8"/>
  <c r="M187" i="8"/>
  <c r="L187" i="8"/>
  <c r="K187" i="8"/>
  <c r="P187" i="8" s="1"/>
  <c r="J187" i="8"/>
  <c r="O186" i="8"/>
  <c r="M186" i="8"/>
  <c r="L186" i="8"/>
  <c r="K186" i="8"/>
  <c r="P186" i="8" s="1"/>
  <c r="J186" i="8"/>
  <c r="O185" i="8"/>
  <c r="M185" i="8"/>
  <c r="L185" i="8"/>
  <c r="K185" i="8"/>
  <c r="P185" i="8" s="1"/>
  <c r="J185" i="8"/>
  <c r="O184" i="8"/>
  <c r="M184" i="8"/>
  <c r="L184" i="8"/>
  <c r="K184" i="8"/>
  <c r="Q184" i="8" s="1"/>
  <c r="R184" i="8" s="1"/>
  <c r="J184" i="8"/>
  <c r="O183" i="8"/>
  <c r="M183" i="8"/>
  <c r="L183" i="8"/>
  <c r="K183" i="8"/>
  <c r="P183" i="8" s="1"/>
  <c r="J183" i="8"/>
  <c r="O182" i="8"/>
  <c r="M182" i="8"/>
  <c r="L182" i="8"/>
  <c r="K182" i="8"/>
  <c r="P182" i="8" s="1"/>
  <c r="J182" i="8"/>
  <c r="O181" i="8"/>
  <c r="M181" i="8"/>
  <c r="L181" i="8"/>
  <c r="K181" i="8"/>
  <c r="J181" i="8"/>
  <c r="O180" i="8"/>
  <c r="M180" i="8"/>
  <c r="L180" i="8"/>
  <c r="K180" i="8"/>
  <c r="P180" i="8" s="1"/>
  <c r="J180" i="8"/>
  <c r="O179" i="8"/>
  <c r="M179" i="8"/>
  <c r="L179" i="8"/>
  <c r="K179" i="8"/>
  <c r="J179" i="8"/>
  <c r="O178" i="8"/>
  <c r="M178" i="8"/>
  <c r="L178" i="8"/>
  <c r="K178" i="8"/>
  <c r="Q178" i="8" s="1"/>
  <c r="R178" i="8" s="1"/>
  <c r="J178" i="8"/>
  <c r="O177" i="8"/>
  <c r="M177" i="8"/>
  <c r="L177" i="8"/>
  <c r="K177" i="8"/>
  <c r="J177" i="8"/>
  <c r="O176" i="8"/>
  <c r="M176" i="8"/>
  <c r="L176" i="8"/>
  <c r="K176" i="8"/>
  <c r="Q176" i="8" s="1"/>
  <c r="R176" i="8" s="1"/>
  <c r="J176" i="8"/>
  <c r="O175" i="8"/>
  <c r="M175" i="8"/>
  <c r="L175" i="8"/>
  <c r="K175" i="8"/>
  <c r="J175" i="8"/>
  <c r="O174" i="8"/>
  <c r="M174" i="8"/>
  <c r="L174" i="8"/>
  <c r="K174" i="8"/>
  <c r="Q174" i="8" s="1"/>
  <c r="R174" i="8" s="1"/>
  <c r="J174" i="8"/>
  <c r="O173" i="8"/>
  <c r="M173" i="8"/>
  <c r="L173" i="8"/>
  <c r="K173" i="8"/>
  <c r="J173" i="8"/>
  <c r="O172" i="8"/>
  <c r="M172" i="8"/>
  <c r="L172" i="8"/>
  <c r="K172" i="8"/>
  <c r="J172" i="8"/>
  <c r="O171" i="8"/>
  <c r="M171" i="8"/>
  <c r="L171" i="8"/>
  <c r="K171" i="8"/>
  <c r="Q171" i="8" s="1"/>
  <c r="R171" i="8" s="1"/>
  <c r="J171" i="8"/>
  <c r="O170" i="8"/>
  <c r="M170" i="8"/>
  <c r="L170" i="8"/>
  <c r="K170" i="8"/>
  <c r="J170" i="8"/>
  <c r="O169" i="8"/>
  <c r="M169" i="8"/>
  <c r="L169" i="8"/>
  <c r="K169" i="8"/>
  <c r="Q169" i="8" s="1"/>
  <c r="R169" i="8" s="1"/>
  <c r="J169" i="8"/>
  <c r="O168" i="8"/>
  <c r="M168" i="8"/>
  <c r="L168" i="8"/>
  <c r="K168" i="8"/>
  <c r="Q168" i="8" s="1"/>
  <c r="R168" i="8" s="1"/>
  <c r="J168" i="8"/>
  <c r="O167" i="8"/>
  <c r="M167" i="8"/>
  <c r="L167" i="8"/>
  <c r="K167" i="8"/>
  <c r="Q167" i="8" s="1"/>
  <c r="R167" i="8" s="1"/>
  <c r="J167" i="8"/>
  <c r="O166" i="8"/>
  <c r="M166" i="8"/>
  <c r="L166" i="8"/>
  <c r="K166" i="8"/>
  <c r="P166" i="8" s="1"/>
  <c r="J166" i="8"/>
  <c r="O165" i="8"/>
  <c r="M165" i="8"/>
  <c r="L165" i="8"/>
  <c r="K165" i="8"/>
  <c r="P165" i="8" s="1"/>
  <c r="J165" i="8"/>
  <c r="O164" i="8"/>
  <c r="M164" i="8"/>
  <c r="L164" i="8"/>
  <c r="K164" i="8"/>
  <c r="J164" i="8"/>
  <c r="O163" i="8"/>
  <c r="M163" i="8"/>
  <c r="L163" i="8"/>
  <c r="K163" i="8"/>
  <c r="P163" i="8" s="1"/>
  <c r="J163" i="8"/>
  <c r="O162" i="8"/>
  <c r="M162" i="8"/>
  <c r="L162" i="8"/>
  <c r="K162" i="8"/>
  <c r="Q162" i="8" s="1"/>
  <c r="R162" i="8" s="1"/>
  <c r="J162" i="8"/>
  <c r="O161" i="8"/>
  <c r="M161" i="8"/>
  <c r="L161" i="8"/>
  <c r="K161" i="8"/>
  <c r="J161" i="8"/>
  <c r="O160" i="8"/>
  <c r="M160" i="8"/>
  <c r="L160" i="8"/>
  <c r="K160" i="8"/>
  <c r="J160" i="8"/>
  <c r="O159" i="8"/>
  <c r="M159" i="8"/>
  <c r="L159" i="8"/>
  <c r="K159" i="8"/>
  <c r="P159" i="8" s="1"/>
  <c r="J159" i="8"/>
  <c r="O158" i="8"/>
  <c r="M158" i="8"/>
  <c r="L158" i="8"/>
  <c r="K158" i="8"/>
  <c r="P158" i="8" s="1"/>
  <c r="J158" i="8"/>
  <c r="O157" i="8"/>
  <c r="M157" i="8"/>
  <c r="L157" i="8"/>
  <c r="K157" i="8"/>
  <c r="P157" i="8" s="1"/>
  <c r="J157" i="8"/>
  <c r="O156" i="8"/>
  <c r="M156" i="8"/>
  <c r="L156" i="8"/>
  <c r="K156" i="8"/>
  <c r="Q156" i="8" s="1"/>
  <c r="R156" i="8" s="1"/>
  <c r="J156" i="8"/>
  <c r="O155" i="8"/>
  <c r="M155" i="8"/>
  <c r="L155" i="8"/>
  <c r="K155" i="8"/>
  <c r="P155" i="8" s="1"/>
  <c r="J155" i="8"/>
  <c r="O154" i="8"/>
  <c r="M154" i="8"/>
  <c r="L154" i="8"/>
  <c r="K154" i="8"/>
  <c r="Q154" i="8" s="1"/>
  <c r="R154" i="8" s="1"/>
  <c r="J154" i="8"/>
  <c r="O153" i="8"/>
  <c r="M153" i="8"/>
  <c r="L153" i="8"/>
  <c r="K153" i="8"/>
  <c r="Q153" i="8" s="1"/>
  <c r="R153" i="8" s="1"/>
  <c r="J153" i="8"/>
  <c r="O152" i="8"/>
  <c r="M152" i="8"/>
  <c r="L152" i="8"/>
  <c r="K152" i="8"/>
  <c r="J152" i="8"/>
  <c r="O151" i="8"/>
  <c r="M151" i="8"/>
  <c r="L151" i="8"/>
  <c r="K151" i="8"/>
  <c r="P151" i="8" s="1"/>
  <c r="J151" i="8"/>
  <c r="O150" i="8"/>
  <c r="M150" i="8"/>
  <c r="L150" i="8"/>
  <c r="K150" i="8"/>
  <c r="J150" i="8"/>
  <c r="O149" i="8"/>
  <c r="M149" i="8"/>
  <c r="L149" i="8"/>
  <c r="K149" i="8"/>
  <c r="P149" i="8" s="1"/>
  <c r="J149" i="8"/>
  <c r="O148" i="8"/>
  <c r="M148" i="8"/>
  <c r="L148" i="8"/>
  <c r="K148" i="8"/>
  <c r="Q148" i="8" s="1"/>
  <c r="R148" i="8" s="1"/>
  <c r="J148" i="8"/>
  <c r="O147" i="8"/>
  <c r="M147" i="8"/>
  <c r="L147" i="8"/>
  <c r="K147" i="8"/>
  <c r="P147" i="8" s="1"/>
  <c r="J147" i="8"/>
  <c r="O146" i="8"/>
  <c r="M146" i="8"/>
  <c r="L146" i="8"/>
  <c r="K146" i="8"/>
  <c r="P146" i="8" s="1"/>
  <c r="J146" i="8"/>
  <c r="O145" i="8"/>
  <c r="M145" i="8"/>
  <c r="L145" i="8"/>
  <c r="K145" i="8"/>
  <c r="Q145" i="8" s="1"/>
  <c r="J145" i="8"/>
  <c r="O144" i="8"/>
  <c r="M144" i="8"/>
  <c r="L144" i="8"/>
  <c r="K144" i="8"/>
  <c r="P144" i="8" s="1"/>
  <c r="J144" i="8"/>
  <c r="O143" i="8"/>
  <c r="M143" i="8"/>
  <c r="L143" i="8"/>
  <c r="K143" i="8"/>
  <c r="P143" i="8" s="1"/>
  <c r="J143" i="8"/>
  <c r="O142" i="8"/>
  <c r="M142" i="8"/>
  <c r="L142" i="8"/>
  <c r="K142" i="8"/>
  <c r="Q142" i="8" s="1"/>
  <c r="R142" i="8" s="1"/>
  <c r="J142" i="8"/>
  <c r="O141" i="8"/>
  <c r="M141" i="8"/>
  <c r="L141" i="8"/>
  <c r="K141" i="8"/>
  <c r="P141" i="8" s="1"/>
  <c r="J141" i="8"/>
  <c r="O140" i="8"/>
  <c r="M140" i="8"/>
  <c r="L140" i="8"/>
  <c r="K140" i="8"/>
  <c r="Q140" i="8" s="1"/>
  <c r="R140" i="8" s="1"/>
  <c r="J140" i="8"/>
  <c r="O139" i="8"/>
  <c r="M139" i="8"/>
  <c r="L139" i="8"/>
  <c r="K139" i="8"/>
  <c r="J139" i="8"/>
  <c r="O138" i="8"/>
  <c r="M138" i="8"/>
  <c r="L138" i="8"/>
  <c r="K138" i="8"/>
  <c r="P138" i="8" s="1"/>
  <c r="J138" i="8"/>
  <c r="O137" i="8"/>
  <c r="M137" i="8"/>
  <c r="L137" i="8"/>
  <c r="K137" i="8"/>
  <c r="J137" i="8"/>
  <c r="O136" i="8"/>
  <c r="M136" i="8"/>
  <c r="L136" i="8"/>
  <c r="K136" i="8"/>
  <c r="Q136" i="8" s="1"/>
  <c r="R136" i="8" s="1"/>
  <c r="J136" i="8"/>
  <c r="O135" i="8"/>
  <c r="M135" i="8"/>
  <c r="L135" i="8"/>
  <c r="K135" i="8"/>
  <c r="J135" i="8"/>
  <c r="O134" i="8"/>
  <c r="M134" i="8"/>
  <c r="L134" i="8"/>
  <c r="K134" i="8"/>
  <c r="Q134" i="8" s="1"/>
  <c r="R134" i="8" s="1"/>
  <c r="J134" i="8"/>
  <c r="O133" i="8"/>
  <c r="M133" i="8"/>
  <c r="L133" i="8"/>
  <c r="K133" i="8"/>
  <c r="Q133" i="8" s="1"/>
  <c r="R133" i="8" s="1"/>
  <c r="J133" i="8"/>
  <c r="O132" i="8"/>
  <c r="M132" i="8"/>
  <c r="L132" i="8"/>
  <c r="K132" i="8"/>
  <c r="J132" i="8"/>
  <c r="O131" i="8"/>
  <c r="M131" i="8"/>
  <c r="L131" i="8"/>
  <c r="K131" i="8"/>
  <c r="P131" i="8" s="1"/>
  <c r="J131" i="8"/>
  <c r="O130" i="8"/>
  <c r="M130" i="8"/>
  <c r="L130" i="8"/>
  <c r="K130" i="8"/>
  <c r="P130" i="8" s="1"/>
  <c r="J130" i="8"/>
  <c r="O129" i="8"/>
  <c r="M129" i="8"/>
  <c r="L129" i="8"/>
  <c r="K129" i="8"/>
  <c r="P129" i="8" s="1"/>
  <c r="J129" i="8"/>
  <c r="O128" i="8"/>
  <c r="M128" i="8"/>
  <c r="L128" i="8"/>
  <c r="K128" i="8"/>
  <c r="Q128" i="8" s="1"/>
  <c r="R128" i="8" s="1"/>
  <c r="J128" i="8"/>
  <c r="O127" i="8"/>
  <c r="M127" i="8"/>
  <c r="L127" i="8"/>
  <c r="K127" i="8"/>
  <c r="Q127" i="8" s="1"/>
  <c r="R127" i="8" s="1"/>
  <c r="J127" i="8"/>
  <c r="O126" i="8"/>
  <c r="M126" i="8"/>
  <c r="L126" i="8"/>
  <c r="K126" i="8"/>
  <c r="J126" i="8"/>
  <c r="O125" i="8"/>
  <c r="M125" i="8"/>
  <c r="L125" i="8"/>
  <c r="K125" i="8"/>
  <c r="Q125" i="8" s="1"/>
  <c r="R125" i="8" s="1"/>
  <c r="J125" i="8"/>
  <c r="O124" i="8"/>
  <c r="M124" i="8"/>
  <c r="L124" i="8"/>
  <c r="K124" i="8"/>
  <c r="J124" i="8"/>
  <c r="O123" i="8"/>
  <c r="M123" i="8"/>
  <c r="L123" i="8"/>
  <c r="K123" i="8"/>
  <c r="J123" i="8"/>
  <c r="O122" i="8"/>
  <c r="M122" i="8"/>
  <c r="L122" i="8"/>
  <c r="K122" i="8"/>
  <c r="J122" i="8"/>
  <c r="O121" i="8"/>
  <c r="M121" i="8"/>
  <c r="L121" i="8"/>
  <c r="K121" i="8"/>
  <c r="J121" i="8"/>
  <c r="O120" i="8"/>
  <c r="M120" i="8"/>
  <c r="L120" i="8"/>
  <c r="K120" i="8"/>
  <c r="Q120" i="8" s="1"/>
  <c r="R120" i="8" s="1"/>
  <c r="J120" i="8"/>
  <c r="O119" i="8"/>
  <c r="M119" i="8"/>
  <c r="L119" i="8"/>
  <c r="K119" i="8"/>
  <c r="Q119" i="8" s="1"/>
  <c r="R119" i="8" s="1"/>
  <c r="J119" i="8"/>
  <c r="O118" i="8"/>
  <c r="M118" i="8"/>
  <c r="L118" i="8"/>
  <c r="K118" i="8"/>
  <c r="Q118" i="8" s="1"/>
  <c r="R118" i="8" s="1"/>
  <c r="J118" i="8"/>
  <c r="O117" i="8"/>
  <c r="M117" i="8"/>
  <c r="L117" i="8"/>
  <c r="K117" i="8"/>
  <c r="Q117" i="8" s="1"/>
  <c r="R117" i="8" s="1"/>
  <c r="J117" i="8"/>
  <c r="O116" i="8"/>
  <c r="M116" i="8"/>
  <c r="L116" i="8"/>
  <c r="K116" i="8"/>
  <c r="J116" i="8"/>
  <c r="O115" i="8"/>
  <c r="M115" i="8"/>
  <c r="L115" i="8"/>
  <c r="K115" i="8"/>
  <c r="P115" i="8" s="1"/>
  <c r="J115" i="8"/>
  <c r="O114" i="8"/>
  <c r="M114" i="8"/>
  <c r="L114" i="8"/>
  <c r="K114" i="8"/>
  <c r="Q114" i="8" s="1"/>
  <c r="R114" i="8" s="1"/>
  <c r="J114" i="8"/>
  <c r="O113" i="8"/>
  <c r="M113" i="8"/>
  <c r="L113" i="8"/>
  <c r="K113" i="8"/>
  <c r="Q113" i="8" s="1"/>
  <c r="J113" i="8"/>
  <c r="O112" i="8"/>
  <c r="M112" i="8"/>
  <c r="L112" i="8"/>
  <c r="K112" i="8"/>
  <c r="J112" i="8"/>
  <c r="O111" i="8"/>
  <c r="M111" i="8"/>
  <c r="L111" i="8"/>
  <c r="K111" i="8"/>
  <c r="Q111" i="8" s="1"/>
  <c r="R111" i="8" s="1"/>
  <c r="J111" i="8"/>
  <c r="O110" i="8"/>
  <c r="M110" i="8"/>
  <c r="L110" i="8"/>
  <c r="K110" i="8"/>
  <c r="Q110" i="8" s="1"/>
  <c r="R110" i="8" s="1"/>
  <c r="J110" i="8"/>
  <c r="O109" i="8"/>
  <c r="M109" i="8"/>
  <c r="L109" i="8"/>
  <c r="K109" i="8"/>
  <c r="P109" i="8" s="1"/>
  <c r="J109" i="8"/>
  <c r="O108" i="8"/>
  <c r="M108" i="8"/>
  <c r="L108" i="8"/>
  <c r="K108" i="8"/>
  <c r="Q108" i="8" s="1"/>
  <c r="R108" i="8" s="1"/>
  <c r="J108" i="8"/>
  <c r="O107" i="8"/>
  <c r="M107" i="8"/>
  <c r="L107" i="8"/>
  <c r="K107" i="8"/>
  <c r="Q107" i="8" s="1"/>
  <c r="R107" i="8" s="1"/>
  <c r="J107" i="8"/>
  <c r="O106" i="8"/>
  <c r="M106" i="8"/>
  <c r="L106" i="8"/>
  <c r="K106" i="8"/>
  <c r="Q106" i="8" s="1"/>
  <c r="J106" i="8"/>
  <c r="O105" i="8"/>
  <c r="M105" i="8"/>
  <c r="L105" i="8"/>
  <c r="K105" i="8"/>
  <c r="J105" i="8"/>
  <c r="O104" i="8"/>
  <c r="M104" i="8"/>
  <c r="L104" i="8"/>
  <c r="K104" i="8"/>
  <c r="P104" i="8" s="1"/>
  <c r="J104" i="8"/>
  <c r="O103" i="8"/>
  <c r="M103" i="8"/>
  <c r="L103" i="8"/>
  <c r="K103" i="8"/>
  <c r="J103" i="8"/>
  <c r="O102" i="8"/>
  <c r="M102" i="8"/>
  <c r="L102" i="8"/>
  <c r="K102" i="8"/>
  <c r="P102" i="8" s="1"/>
  <c r="J102" i="8"/>
  <c r="O101" i="8"/>
  <c r="M101" i="8"/>
  <c r="L101" i="8"/>
  <c r="K101" i="8"/>
  <c r="J101" i="8"/>
  <c r="O100" i="8"/>
  <c r="M100" i="8"/>
  <c r="L100" i="8"/>
  <c r="K100" i="8"/>
  <c r="Q100" i="8" s="1"/>
  <c r="R100" i="8" s="1"/>
  <c r="J100" i="8"/>
  <c r="O99" i="8"/>
  <c r="M99" i="8"/>
  <c r="L99" i="8"/>
  <c r="K99" i="8"/>
  <c r="Q99" i="8" s="1"/>
  <c r="J99" i="8"/>
  <c r="O98" i="8"/>
  <c r="M98" i="8"/>
  <c r="L98" i="8"/>
  <c r="K98" i="8"/>
  <c r="Q98" i="8" s="1"/>
  <c r="J98" i="8"/>
  <c r="O97" i="8"/>
  <c r="M97" i="8"/>
  <c r="L97" i="8"/>
  <c r="K97" i="8"/>
  <c r="J97" i="8"/>
  <c r="O96" i="8"/>
  <c r="M96" i="8"/>
  <c r="L96" i="8"/>
  <c r="K96" i="8"/>
  <c r="Q96" i="8" s="1"/>
  <c r="R96" i="8" s="1"/>
  <c r="J96" i="8"/>
  <c r="O95" i="8"/>
  <c r="M95" i="8"/>
  <c r="L95" i="8"/>
  <c r="K95" i="8"/>
  <c r="J95" i="8"/>
  <c r="O94" i="8"/>
  <c r="M94" i="8"/>
  <c r="L94" i="8"/>
  <c r="K94" i="8"/>
  <c r="P94" i="8" s="1"/>
  <c r="J94" i="8"/>
  <c r="O93" i="8"/>
  <c r="M93" i="8"/>
  <c r="L93" i="8"/>
  <c r="K93" i="8"/>
  <c r="J93" i="8"/>
  <c r="O92" i="8"/>
  <c r="M92" i="8"/>
  <c r="L92" i="8"/>
  <c r="K92" i="8"/>
  <c r="P92" i="8" s="1"/>
  <c r="J92" i="8"/>
  <c r="O91" i="8"/>
  <c r="M91" i="8"/>
  <c r="L91" i="8"/>
  <c r="K91" i="8"/>
  <c r="P91" i="8" s="1"/>
  <c r="J91" i="8"/>
  <c r="O90" i="8"/>
  <c r="M90" i="8"/>
  <c r="L90" i="8"/>
  <c r="K90" i="8"/>
  <c r="Q90" i="8" s="1"/>
  <c r="R90" i="8" s="1"/>
  <c r="J90" i="8"/>
  <c r="O89" i="8"/>
  <c r="M89" i="8"/>
  <c r="L89" i="8"/>
  <c r="K89" i="8"/>
  <c r="P89" i="8" s="1"/>
  <c r="J89" i="8"/>
  <c r="O88" i="8"/>
  <c r="M88" i="8"/>
  <c r="L88" i="8"/>
  <c r="K88" i="8"/>
  <c r="J88" i="8"/>
  <c r="O87" i="8"/>
  <c r="M87" i="8"/>
  <c r="L87" i="8"/>
  <c r="K87" i="8"/>
  <c r="P87" i="8" s="1"/>
  <c r="J87" i="8"/>
  <c r="O86" i="8"/>
  <c r="M86" i="8"/>
  <c r="L86" i="8"/>
  <c r="K86" i="8"/>
  <c r="J86" i="8"/>
  <c r="O85" i="8"/>
  <c r="M85" i="8"/>
  <c r="L85" i="8"/>
  <c r="K85" i="8"/>
  <c r="Q85" i="8" s="1"/>
  <c r="R85" i="8" s="1"/>
  <c r="J85" i="8"/>
  <c r="O84" i="8"/>
  <c r="M84" i="8"/>
  <c r="L84" i="8"/>
  <c r="K84" i="8"/>
  <c r="J84" i="8"/>
  <c r="O83" i="8"/>
  <c r="M83" i="8"/>
  <c r="L83" i="8"/>
  <c r="K83" i="8"/>
  <c r="J83" i="8"/>
  <c r="O82" i="8"/>
  <c r="M82" i="8"/>
  <c r="L82" i="8"/>
  <c r="K82" i="8"/>
  <c r="J82" i="8"/>
  <c r="O81" i="8"/>
  <c r="M81" i="8"/>
  <c r="L81" i="8"/>
  <c r="K81" i="8"/>
  <c r="P81" i="8" s="1"/>
  <c r="J81" i="8"/>
  <c r="O80" i="8"/>
  <c r="M80" i="8"/>
  <c r="L80" i="8"/>
  <c r="K80" i="8"/>
  <c r="Q80" i="8" s="1"/>
  <c r="R80" i="8" s="1"/>
  <c r="J80" i="8"/>
  <c r="O79" i="8"/>
  <c r="M79" i="8"/>
  <c r="L79" i="8"/>
  <c r="K79" i="8"/>
  <c r="P79" i="8" s="1"/>
  <c r="J79" i="8"/>
  <c r="O78" i="8"/>
  <c r="M78" i="8"/>
  <c r="L78" i="8"/>
  <c r="K78" i="8"/>
  <c r="P78" i="8" s="1"/>
  <c r="J78" i="8"/>
  <c r="O77" i="8"/>
  <c r="M77" i="8"/>
  <c r="L77" i="8"/>
  <c r="K77" i="8"/>
  <c r="P77" i="8" s="1"/>
  <c r="J77" i="8"/>
  <c r="O76" i="8"/>
  <c r="M76" i="8"/>
  <c r="L76" i="8"/>
  <c r="K76" i="8"/>
  <c r="Q76" i="8" s="1"/>
  <c r="R76" i="8" s="1"/>
  <c r="J76" i="8"/>
  <c r="O75" i="8"/>
  <c r="M75" i="8"/>
  <c r="L75" i="8"/>
  <c r="K75" i="8"/>
  <c r="P75" i="8" s="1"/>
  <c r="J75" i="8"/>
  <c r="O74" i="8"/>
  <c r="M74" i="8"/>
  <c r="L74" i="8"/>
  <c r="K74" i="8"/>
  <c r="J74" i="8"/>
  <c r="O73" i="8"/>
  <c r="M73" i="8"/>
  <c r="L73" i="8"/>
  <c r="K73" i="8"/>
  <c r="P73" i="8" s="1"/>
  <c r="J73" i="8"/>
  <c r="O72" i="8"/>
  <c r="M72" i="8"/>
  <c r="L72" i="8"/>
  <c r="K72" i="8"/>
  <c r="J72" i="8"/>
  <c r="O71" i="8"/>
  <c r="M71" i="8"/>
  <c r="L71" i="8"/>
  <c r="K71" i="8"/>
  <c r="Q71" i="8" s="1"/>
  <c r="R71" i="8" s="1"/>
  <c r="J71" i="8"/>
  <c r="O70" i="8"/>
  <c r="M70" i="8"/>
  <c r="L70" i="8"/>
  <c r="K70" i="8"/>
  <c r="Q70" i="8" s="1"/>
  <c r="J70" i="8"/>
  <c r="O69" i="8"/>
  <c r="M69" i="8"/>
  <c r="L69" i="8"/>
  <c r="K69" i="8"/>
  <c r="P69" i="8" s="1"/>
  <c r="J69" i="8"/>
  <c r="O68" i="8"/>
  <c r="M68" i="8"/>
  <c r="L68" i="8"/>
  <c r="K68" i="8"/>
  <c r="Q68" i="8" s="1"/>
  <c r="R68" i="8" s="1"/>
  <c r="J68" i="8"/>
  <c r="O67" i="8"/>
  <c r="M67" i="8"/>
  <c r="L67" i="8"/>
  <c r="K67" i="8"/>
  <c r="J67" i="8"/>
  <c r="O66" i="8"/>
  <c r="M66" i="8"/>
  <c r="L66" i="8"/>
  <c r="K66" i="8"/>
  <c r="P66" i="8" s="1"/>
  <c r="J66" i="8"/>
  <c r="O65" i="8"/>
  <c r="M65" i="8"/>
  <c r="L65" i="8"/>
  <c r="K65" i="8"/>
  <c r="J65" i="8"/>
  <c r="O64" i="8"/>
  <c r="M64" i="8"/>
  <c r="L64" i="8"/>
  <c r="K64" i="8"/>
  <c r="P64" i="8" s="1"/>
  <c r="J64" i="8"/>
  <c r="O63" i="8"/>
  <c r="M63" i="8"/>
  <c r="L63" i="8"/>
  <c r="K63" i="8"/>
  <c r="J63" i="8"/>
  <c r="O62" i="8"/>
  <c r="M62" i="8"/>
  <c r="L62" i="8"/>
  <c r="K62" i="8"/>
  <c r="Q62" i="8" s="1"/>
  <c r="R62" i="8" s="1"/>
  <c r="J62" i="8"/>
  <c r="O61" i="8"/>
  <c r="M61" i="8"/>
  <c r="L61" i="8"/>
  <c r="K61" i="8"/>
  <c r="J61" i="8"/>
  <c r="O60" i="8"/>
  <c r="M60" i="8"/>
  <c r="L60" i="8"/>
  <c r="K60" i="8"/>
  <c r="P60" i="8" s="1"/>
  <c r="J60" i="8"/>
  <c r="O59" i="8"/>
  <c r="M59" i="8"/>
  <c r="L59" i="8"/>
  <c r="K59" i="8"/>
  <c r="J59" i="8"/>
  <c r="O58" i="8"/>
  <c r="M58" i="8"/>
  <c r="L58" i="8"/>
  <c r="K58" i="8"/>
  <c r="Q58" i="8" s="1"/>
  <c r="R58" i="8" s="1"/>
  <c r="J58" i="8"/>
  <c r="O57" i="8"/>
  <c r="M57" i="8"/>
  <c r="L57" i="8"/>
  <c r="K57" i="8"/>
  <c r="Q57" i="8" s="1"/>
  <c r="R57" i="8" s="1"/>
  <c r="J57" i="8"/>
  <c r="O56" i="8"/>
  <c r="M56" i="8"/>
  <c r="L56" i="8"/>
  <c r="K56" i="8"/>
  <c r="Q56" i="8" s="1"/>
  <c r="J56" i="8"/>
  <c r="O55" i="8"/>
  <c r="M55" i="8"/>
  <c r="L55" i="8"/>
  <c r="K55" i="8"/>
  <c r="Q55" i="8" s="1"/>
  <c r="R55" i="8" s="1"/>
  <c r="J55" i="8"/>
  <c r="O54" i="8"/>
  <c r="M54" i="8"/>
  <c r="L54" i="8"/>
  <c r="K54" i="8"/>
  <c r="J54" i="8"/>
  <c r="O53" i="8"/>
  <c r="M53" i="8"/>
  <c r="L53" i="8"/>
  <c r="K53" i="8"/>
  <c r="P53" i="8" s="1"/>
  <c r="J53" i="8"/>
  <c r="O52" i="8"/>
  <c r="M52" i="8"/>
  <c r="L52" i="8"/>
  <c r="K52" i="8"/>
  <c r="Q52" i="8" s="1"/>
  <c r="R52" i="8" s="1"/>
  <c r="J52" i="8"/>
  <c r="O51" i="8"/>
  <c r="M51" i="8"/>
  <c r="L51" i="8"/>
  <c r="K51" i="8"/>
  <c r="Q51" i="8" s="1"/>
  <c r="R51" i="8" s="1"/>
  <c r="J51" i="8"/>
  <c r="O50" i="8"/>
  <c r="M50" i="8"/>
  <c r="L50" i="8"/>
  <c r="K50" i="8"/>
  <c r="Q50" i="8" s="1"/>
  <c r="R50" i="8" s="1"/>
  <c r="J50" i="8"/>
  <c r="O49" i="8"/>
  <c r="M49" i="8"/>
  <c r="L49" i="8"/>
  <c r="K49" i="8"/>
  <c r="P49" i="8" s="1"/>
  <c r="J49" i="8"/>
  <c r="O48" i="8"/>
  <c r="M48" i="8"/>
  <c r="L48" i="8"/>
  <c r="K48" i="8"/>
  <c r="Q48" i="8" s="1"/>
  <c r="R48" i="8" s="1"/>
  <c r="J48" i="8"/>
  <c r="O47" i="8"/>
  <c r="M47" i="8"/>
  <c r="L47" i="8"/>
  <c r="K47" i="8"/>
  <c r="Q47" i="8" s="1"/>
  <c r="R47" i="8" s="1"/>
  <c r="J47" i="8"/>
  <c r="O46" i="8"/>
  <c r="M46" i="8"/>
  <c r="L46" i="8"/>
  <c r="K46" i="8"/>
  <c r="J46" i="8"/>
  <c r="O45" i="8"/>
  <c r="M45" i="8"/>
  <c r="L45" i="8"/>
  <c r="K45" i="8"/>
  <c r="P45" i="8" s="1"/>
  <c r="J45" i="8"/>
  <c r="O44" i="8"/>
  <c r="M44" i="8"/>
  <c r="L44" i="8"/>
  <c r="K44" i="8"/>
  <c r="J44" i="8"/>
  <c r="O43" i="8"/>
  <c r="M43" i="8"/>
  <c r="L43" i="8"/>
  <c r="K43" i="8"/>
  <c r="Q43" i="8" s="1"/>
  <c r="R43" i="8" s="1"/>
  <c r="J43" i="8"/>
  <c r="O42" i="8"/>
  <c r="M42" i="8"/>
  <c r="L42" i="8"/>
  <c r="K42" i="8"/>
  <c r="J42" i="8"/>
  <c r="O41" i="8"/>
  <c r="M41" i="8"/>
  <c r="L41" i="8"/>
  <c r="K41" i="8"/>
  <c r="Q41" i="8" s="1"/>
  <c r="R41" i="8" s="1"/>
  <c r="J41" i="8"/>
  <c r="O40" i="8"/>
  <c r="M40" i="8"/>
  <c r="L40" i="8"/>
  <c r="K40" i="8"/>
  <c r="P40" i="8" s="1"/>
  <c r="J40" i="8"/>
  <c r="O39" i="8"/>
  <c r="M39" i="8"/>
  <c r="L39" i="8"/>
  <c r="K39" i="8"/>
  <c r="P39" i="8" s="1"/>
  <c r="J39" i="8"/>
  <c r="O38" i="8"/>
  <c r="M38" i="8"/>
  <c r="L38" i="8"/>
  <c r="K38" i="8"/>
  <c r="Q38" i="8" s="1"/>
  <c r="R38" i="8" s="1"/>
  <c r="J38" i="8"/>
  <c r="O37" i="8"/>
  <c r="M37" i="8"/>
  <c r="L37" i="8"/>
  <c r="K37" i="8"/>
  <c r="P37" i="8" s="1"/>
  <c r="J37" i="8"/>
  <c r="O36" i="8"/>
  <c r="M36" i="8"/>
  <c r="L36" i="8"/>
  <c r="K36" i="8"/>
  <c r="Q36" i="8" s="1"/>
  <c r="R36" i="8" s="1"/>
  <c r="J36" i="8"/>
  <c r="O35" i="8"/>
  <c r="M35" i="8"/>
  <c r="L35" i="8"/>
  <c r="K35" i="8"/>
  <c r="J35" i="8"/>
  <c r="O34" i="8"/>
  <c r="M34" i="8"/>
  <c r="L34" i="8"/>
  <c r="K34" i="8"/>
  <c r="J34" i="8"/>
  <c r="O33" i="8"/>
  <c r="M33" i="8"/>
  <c r="L33" i="8"/>
  <c r="K33" i="8"/>
  <c r="Q33" i="8" s="1"/>
  <c r="J33" i="8"/>
  <c r="O32" i="8"/>
  <c r="M32" i="8"/>
  <c r="L32" i="8"/>
  <c r="K32" i="8"/>
  <c r="P32" i="8" s="1"/>
  <c r="J32" i="8"/>
  <c r="O31" i="8"/>
  <c r="M31" i="8"/>
  <c r="L31" i="8"/>
  <c r="K31" i="8"/>
  <c r="Q31" i="8" s="1"/>
  <c r="R31" i="8" s="1"/>
  <c r="J31" i="8"/>
  <c r="O30" i="8"/>
  <c r="M30" i="8"/>
  <c r="L30" i="8"/>
  <c r="K30" i="8"/>
  <c r="Q30" i="8" s="1"/>
  <c r="R30" i="8" s="1"/>
  <c r="J30" i="8"/>
  <c r="O29" i="8"/>
  <c r="M29" i="8"/>
  <c r="L29" i="8"/>
  <c r="K29" i="8"/>
  <c r="Q29" i="8" s="1"/>
  <c r="R29" i="8" s="1"/>
  <c r="J29" i="8"/>
  <c r="O28" i="8"/>
  <c r="M28" i="8"/>
  <c r="L28" i="8"/>
  <c r="K28" i="8"/>
  <c r="Q28" i="8" s="1"/>
  <c r="R28" i="8" s="1"/>
  <c r="J28" i="8"/>
  <c r="O27" i="8"/>
  <c r="M27" i="8"/>
  <c r="L27" i="8"/>
  <c r="K27" i="8"/>
  <c r="J27" i="8"/>
  <c r="O26" i="8"/>
  <c r="M26" i="8"/>
  <c r="L26" i="8"/>
  <c r="K26" i="8"/>
  <c r="Q26" i="8" s="1"/>
  <c r="R26" i="8" s="1"/>
  <c r="J26" i="8"/>
  <c r="O25" i="8"/>
  <c r="M25" i="8"/>
  <c r="L25" i="8"/>
  <c r="K25" i="8"/>
  <c r="J25" i="8"/>
  <c r="O24" i="8"/>
  <c r="M24" i="8"/>
  <c r="L24" i="8"/>
  <c r="K24" i="8"/>
  <c r="Q24" i="8" s="1"/>
  <c r="R24" i="8" s="1"/>
  <c r="J24" i="8"/>
  <c r="O23" i="8"/>
  <c r="M23" i="8"/>
  <c r="L23" i="8"/>
  <c r="K23" i="8"/>
  <c r="J23" i="8"/>
  <c r="O22" i="8"/>
  <c r="M22" i="8"/>
  <c r="L22" i="8"/>
  <c r="K22" i="8"/>
  <c r="Q22" i="8" s="1"/>
  <c r="R22" i="8" s="1"/>
  <c r="J22" i="8"/>
  <c r="O21" i="8"/>
  <c r="M21" i="8"/>
  <c r="L21" i="8"/>
  <c r="K21" i="8"/>
  <c r="J21" i="8"/>
  <c r="O20" i="8"/>
  <c r="M20" i="8"/>
  <c r="L20" i="8"/>
  <c r="K20" i="8"/>
  <c r="Q20" i="8" s="1"/>
  <c r="J20" i="8"/>
  <c r="O19" i="8"/>
  <c r="M19" i="8"/>
  <c r="L19" i="8"/>
  <c r="K19" i="8"/>
  <c r="Q19" i="8" s="1"/>
  <c r="R19" i="8" s="1"/>
  <c r="J19" i="8"/>
  <c r="O18" i="8"/>
  <c r="M18" i="8"/>
  <c r="L18" i="8"/>
  <c r="K18" i="8"/>
  <c r="P18" i="8" s="1"/>
  <c r="J18" i="8"/>
  <c r="O17" i="8"/>
  <c r="M17" i="8"/>
  <c r="L17" i="8"/>
  <c r="K17" i="8"/>
  <c r="Q17" i="8" s="1"/>
  <c r="R17" i="8" s="1"/>
  <c r="J17" i="8"/>
  <c r="O16" i="8"/>
  <c r="M16" i="8"/>
  <c r="L16" i="8"/>
  <c r="K16" i="8"/>
  <c r="P16" i="8" s="1"/>
  <c r="J16" i="8"/>
  <c r="O15" i="8"/>
  <c r="M15" i="8"/>
  <c r="L15" i="8"/>
  <c r="K15" i="8"/>
  <c r="P15" i="8" s="1"/>
  <c r="J15" i="8"/>
  <c r="O14" i="8"/>
  <c r="M14" i="8"/>
  <c r="L14" i="8"/>
  <c r="K14" i="8"/>
  <c r="Q14" i="8" s="1"/>
  <c r="J14" i="8"/>
  <c r="O13" i="8"/>
  <c r="M13" i="8"/>
  <c r="L13" i="8"/>
  <c r="K13" i="8"/>
  <c r="Q13" i="8" s="1"/>
  <c r="R13" i="8" s="1"/>
  <c r="J13" i="8"/>
  <c r="O12" i="8"/>
  <c r="M12" i="8"/>
  <c r="L12" i="8"/>
  <c r="K12" i="8"/>
  <c r="J12" i="8"/>
  <c r="O11" i="8"/>
  <c r="M11" i="8"/>
  <c r="L11" i="8"/>
  <c r="K11" i="8"/>
  <c r="P11" i="8" s="1"/>
  <c r="J11" i="8"/>
  <c r="O10" i="8"/>
  <c r="M10" i="8"/>
  <c r="L10" i="8"/>
  <c r="K10" i="8"/>
  <c r="J10" i="8"/>
  <c r="O9" i="8"/>
  <c r="M9" i="8"/>
  <c r="L9" i="8"/>
  <c r="K9" i="8"/>
  <c r="P9" i="8" s="1"/>
  <c r="J9" i="8"/>
  <c r="O8" i="8"/>
  <c r="M8" i="8"/>
  <c r="L8" i="8"/>
  <c r="K8" i="8"/>
  <c r="J8" i="8"/>
  <c r="O7" i="8"/>
  <c r="M7" i="8"/>
  <c r="L7" i="8"/>
  <c r="K7" i="8"/>
  <c r="Q7" i="8" s="1"/>
  <c r="R7" i="8" s="1"/>
  <c r="J7" i="8"/>
  <c r="O6" i="8"/>
  <c r="M6" i="8"/>
  <c r="L6" i="8"/>
  <c r="K6" i="8"/>
  <c r="Q6" i="8" s="1"/>
  <c r="R6" i="8" s="1"/>
  <c r="J6" i="8"/>
  <c r="O5" i="8"/>
  <c r="M5" i="8"/>
  <c r="L5" i="8"/>
  <c r="K5" i="8"/>
  <c r="P5" i="8" s="1"/>
  <c r="J5" i="8"/>
  <c r="O4" i="8"/>
  <c r="M4" i="8"/>
  <c r="L4" i="8"/>
  <c r="K4" i="8"/>
  <c r="J4" i="8"/>
  <c r="O312" i="7"/>
  <c r="M312" i="7"/>
  <c r="L312" i="7"/>
  <c r="K312" i="7"/>
  <c r="J312" i="7"/>
  <c r="O311" i="7"/>
  <c r="M311" i="7"/>
  <c r="L311" i="7"/>
  <c r="K311" i="7"/>
  <c r="Q311" i="7" s="1"/>
  <c r="J311" i="7"/>
  <c r="O310" i="7"/>
  <c r="M310" i="7"/>
  <c r="L310" i="7"/>
  <c r="K310" i="7"/>
  <c r="Q310" i="7" s="1"/>
  <c r="J310" i="7"/>
  <c r="O309" i="7"/>
  <c r="M309" i="7"/>
  <c r="L309" i="7"/>
  <c r="K309" i="7"/>
  <c r="Q309" i="7" s="1"/>
  <c r="J309" i="7"/>
  <c r="O308" i="7"/>
  <c r="M308" i="7"/>
  <c r="L308" i="7"/>
  <c r="K308" i="7"/>
  <c r="J308" i="7"/>
  <c r="O307" i="7"/>
  <c r="M307" i="7"/>
  <c r="L307" i="7"/>
  <c r="K307" i="7"/>
  <c r="J307" i="7"/>
  <c r="O306" i="7"/>
  <c r="M306" i="7"/>
  <c r="L306" i="7"/>
  <c r="K306" i="7"/>
  <c r="J306" i="7"/>
  <c r="O305" i="7"/>
  <c r="M305" i="7"/>
  <c r="L305" i="7"/>
  <c r="K305" i="7"/>
  <c r="J305" i="7"/>
  <c r="O304" i="7"/>
  <c r="M304" i="7"/>
  <c r="L304" i="7"/>
  <c r="K304" i="7"/>
  <c r="Q304" i="7" s="1"/>
  <c r="J304" i="7"/>
  <c r="O303" i="7"/>
  <c r="M303" i="7"/>
  <c r="L303" i="7"/>
  <c r="K303" i="7"/>
  <c r="Q303" i="7" s="1"/>
  <c r="J303" i="7"/>
  <c r="O302" i="7"/>
  <c r="M302" i="7"/>
  <c r="L302" i="7"/>
  <c r="K302" i="7"/>
  <c r="Q302" i="7" s="1"/>
  <c r="J302" i="7"/>
  <c r="O301" i="7"/>
  <c r="M301" i="7"/>
  <c r="L301" i="7"/>
  <c r="K301" i="7"/>
  <c r="J301" i="7"/>
  <c r="O300" i="7"/>
  <c r="M300" i="7"/>
  <c r="L300" i="7"/>
  <c r="K300" i="7"/>
  <c r="J300" i="7"/>
  <c r="O299" i="7"/>
  <c r="M299" i="7"/>
  <c r="L299" i="7"/>
  <c r="K299" i="7"/>
  <c r="Q299" i="7" s="1"/>
  <c r="J299" i="7"/>
  <c r="O298" i="7"/>
  <c r="M298" i="7"/>
  <c r="L298" i="7"/>
  <c r="K298" i="7"/>
  <c r="J298" i="7"/>
  <c r="O297" i="7"/>
  <c r="M297" i="7"/>
  <c r="L297" i="7"/>
  <c r="K297" i="7"/>
  <c r="Q297" i="7" s="1"/>
  <c r="J297" i="7"/>
  <c r="O296" i="7"/>
  <c r="M296" i="7"/>
  <c r="L296" i="7"/>
  <c r="K296" i="7"/>
  <c r="J296" i="7"/>
  <c r="O295" i="7"/>
  <c r="M295" i="7"/>
  <c r="L295" i="7"/>
  <c r="K295" i="7"/>
  <c r="Q295" i="7" s="1"/>
  <c r="J295" i="7"/>
  <c r="O294" i="7"/>
  <c r="M294" i="7"/>
  <c r="L294" i="7"/>
  <c r="K294" i="7"/>
  <c r="Q294" i="7" s="1"/>
  <c r="J294" i="7"/>
  <c r="O293" i="7"/>
  <c r="M293" i="7"/>
  <c r="L293" i="7"/>
  <c r="K293" i="7"/>
  <c r="J293" i="7"/>
  <c r="O292" i="7"/>
  <c r="M292" i="7"/>
  <c r="L292" i="7"/>
  <c r="K292" i="7"/>
  <c r="J292" i="7"/>
  <c r="O291" i="7"/>
  <c r="M291" i="7"/>
  <c r="L291" i="7"/>
  <c r="K291" i="7"/>
  <c r="J291" i="7"/>
  <c r="O290" i="7"/>
  <c r="M290" i="7"/>
  <c r="L290" i="7"/>
  <c r="K290" i="7"/>
  <c r="Q290" i="7" s="1"/>
  <c r="J290" i="7"/>
  <c r="O289" i="7"/>
  <c r="M289" i="7"/>
  <c r="L289" i="7"/>
  <c r="K289" i="7"/>
  <c r="Q289" i="7" s="1"/>
  <c r="J289" i="7"/>
  <c r="O288" i="7"/>
  <c r="M288" i="7"/>
  <c r="L288" i="7"/>
  <c r="K288" i="7"/>
  <c r="Q288" i="7" s="1"/>
  <c r="J288" i="7"/>
  <c r="O287" i="7"/>
  <c r="M287" i="7"/>
  <c r="L287" i="7"/>
  <c r="K287" i="7"/>
  <c r="Q287" i="7" s="1"/>
  <c r="J287" i="7"/>
  <c r="O286" i="7"/>
  <c r="M286" i="7"/>
  <c r="L286" i="7"/>
  <c r="K286" i="7"/>
  <c r="J286" i="7"/>
  <c r="O285" i="7"/>
  <c r="M285" i="7"/>
  <c r="L285" i="7"/>
  <c r="K285" i="7"/>
  <c r="J285" i="7"/>
  <c r="O284" i="7"/>
  <c r="M284" i="7"/>
  <c r="L284" i="7"/>
  <c r="K284" i="7"/>
  <c r="J284" i="7"/>
  <c r="O283" i="7"/>
  <c r="M283" i="7"/>
  <c r="L283" i="7"/>
  <c r="K283" i="7"/>
  <c r="Q283" i="7" s="1"/>
  <c r="J283" i="7"/>
  <c r="O282" i="7"/>
  <c r="M282" i="7"/>
  <c r="L282" i="7"/>
  <c r="K282" i="7"/>
  <c r="Q282" i="7" s="1"/>
  <c r="J282" i="7"/>
  <c r="O281" i="7"/>
  <c r="M281" i="7"/>
  <c r="L281" i="7"/>
  <c r="K281" i="7"/>
  <c r="J281" i="7"/>
  <c r="O280" i="7"/>
  <c r="M280" i="7"/>
  <c r="L280" i="7"/>
  <c r="K280" i="7"/>
  <c r="J280" i="7"/>
  <c r="O279" i="7"/>
  <c r="M279" i="7"/>
  <c r="L279" i="7"/>
  <c r="K279" i="7"/>
  <c r="J279" i="7"/>
  <c r="O278" i="7"/>
  <c r="M278" i="7"/>
  <c r="L278" i="7"/>
  <c r="K278" i="7"/>
  <c r="Q278" i="7" s="1"/>
  <c r="J278" i="7"/>
  <c r="O277" i="7"/>
  <c r="M277" i="7"/>
  <c r="L277" i="7"/>
  <c r="K277" i="7"/>
  <c r="J277" i="7"/>
  <c r="O276" i="7"/>
  <c r="M276" i="7"/>
  <c r="L276" i="7"/>
  <c r="K276" i="7"/>
  <c r="Q276" i="7" s="1"/>
  <c r="J276" i="7"/>
  <c r="O275" i="7"/>
  <c r="M275" i="7"/>
  <c r="L275" i="7"/>
  <c r="K275" i="7"/>
  <c r="J275" i="7"/>
  <c r="O274" i="7"/>
  <c r="M274" i="7"/>
  <c r="L274" i="7"/>
  <c r="K274" i="7"/>
  <c r="Q274" i="7" s="1"/>
  <c r="J274" i="7"/>
  <c r="O273" i="7"/>
  <c r="M273" i="7"/>
  <c r="L273" i="7"/>
  <c r="K273" i="7"/>
  <c r="Q273" i="7" s="1"/>
  <c r="J273" i="7"/>
  <c r="O272" i="7"/>
  <c r="M272" i="7"/>
  <c r="L272" i="7"/>
  <c r="K272" i="7"/>
  <c r="J272" i="7"/>
  <c r="O271" i="7"/>
  <c r="M271" i="7"/>
  <c r="L271" i="7"/>
  <c r="K271" i="7"/>
  <c r="Q271" i="7" s="1"/>
  <c r="J271" i="7"/>
  <c r="O270" i="7"/>
  <c r="M270" i="7"/>
  <c r="L270" i="7"/>
  <c r="K270" i="7"/>
  <c r="J270" i="7"/>
  <c r="O269" i="7"/>
  <c r="M269" i="7"/>
  <c r="L269" i="7"/>
  <c r="K269" i="7"/>
  <c r="Q269" i="7" s="1"/>
  <c r="J269" i="7"/>
  <c r="O268" i="7"/>
  <c r="M268" i="7"/>
  <c r="L268" i="7"/>
  <c r="K268" i="7"/>
  <c r="Q268" i="7" s="1"/>
  <c r="J268" i="7"/>
  <c r="O267" i="7"/>
  <c r="M267" i="7"/>
  <c r="L267" i="7"/>
  <c r="K267" i="7"/>
  <c r="Q267" i="7" s="1"/>
  <c r="J267" i="7"/>
  <c r="O266" i="7"/>
  <c r="M266" i="7"/>
  <c r="L266" i="7"/>
  <c r="K266" i="7"/>
  <c r="J266" i="7"/>
  <c r="O265" i="7"/>
  <c r="M265" i="7"/>
  <c r="L265" i="7"/>
  <c r="K265" i="7"/>
  <c r="J265" i="7"/>
  <c r="O264" i="7"/>
  <c r="M264" i="7"/>
  <c r="L264" i="7"/>
  <c r="K264" i="7"/>
  <c r="Q264" i="7" s="1"/>
  <c r="R264" i="7" s="1"/>
  <c r="J264" i="7"/>
  <c r="O263" i="7"/>
  <c r="M263" i="7"/>
  <c r="L263" i="7"/>
  <c r="K263" i="7"/>
  <c r="P263" i="7" s="1"/>
  <c r="J263" i="7"/>
  <c r="O262" i="7"/>
  <c r="M262" i="7"/>
  <c r="L262" i="7"/>
  <c r="K262" i="7"/>
  <c r="Q262" i="7" s="1"/>
  <c r="R262" i="7" s="1"/>
  <c r="J262" i="7"/>
  <c r="O261" i="7"/>
  <c r="M261" i="7"/>
  <c r="L261" i="7"/>
  <c r="K261" i="7"/>
  <c r="Q261" i="7" s="1"/>
  <c r="R261" i="7" s="1"/>
  <c r="J261" i="7"/>
  <c r="O260" i="7"/>
  <c r="M260" i="7"/>
  <c r="L260" i="7"/>
  <c r="K260" i="7"/>
  <c r="Q260" i="7" s="1"/>
  <c r="J260" i="7"/>
  <c r="O259" i="7"/>
  <c r="M259" i="7"/>
  <c r="L259" i="7"/>
  <c r="K259" i="7"/>
  <c r="J259" i="7"/>
  <c r="O258" i="7"/>
  <c r="M258" i="7"/>
  <c r="L258" i="7"/>
  <c r="K258" i="7"/>
  <c r="J258" i="7"/>
  <c r="O257" i="7"/>
  <c r="M257" i="7"/>
  <c r="L257" i="7"/>
  <c r="K257" i="7"/>
  <c r="J257" i="7"/>
  <c r="O256" i="7"/>
  <c r="M256" i="7"/>
  <c r="L256" i="7"/>
  <c r="K256" i="7"/>
  <c r="J256" i="7"/>
  <c r="O255" i="7"/>
  <c r="M255" i="7"/>
  <c r="L255" i="7"/>
  <c r="K255" i="7"/>
  <c r="Q255" i="7" s="1"/>
  <c r="J255" i="7"/>
  <c r="O254" i="7"/>
  <c r="M254" i="7"/>
  <c r="L254" i="7"/>
  <c r="K254" i="7"/>
  <c r="J254" i="7"/>
  <c r="O253" i="7"/>
  <c r="M253" i="7"/>
  <c r="L253" i="7"/>
  <c r="K253" i="7"/>
  <c r="Q253" i="7" s="1"/>
  <c r="J253" i="7"/>
  <c r="O252" i="7"/>
  <c r="M252" i="7"/>
  <c r="L252" i="7"/>
  <c r="K252" i="7"/>
  <c r="J252" i="7"/>
  <c r="O251" i="7"/>
  <c r="M251" i="7"/>
  <c r="L251" i="7"/>
  <c r="K251" i="7"/>
  <c r="J251" i="7"/>
  <c r="O250" i="7"/>
  <c r="M250" i="7"/>
  <c r="L250" i="7"/>
  <c r="K250" i="7"/>
  <c r="Q250" i="7" s="1"/>
  <c r="J250" i="7"/>
  <c r="O249" i="7"/>
  <c r="M249" i="7"/>
  <c r="L249" i="7"/>
  <c r="K249" i="7"/>
  <c r="P249" i="7" s="1"/>
  <c r="J249" i="7"/>
  <c r="O248" i="7"/>
  <c r="M248" i="7"/>
  <c r="L248" i="7"/>
  <c r="K248" i="7"/>
  <c r="Q248" i="7" s="1"/>
  <c r="R248" i="7" s="1"/>
  <c r="J248" i="7"/>
  <c r="O247" i="7"/>
  <c r="M247" i="7"/>
  <c r="L247" i="7"/>
  <c r="K247" i="7"/>
  <c r="Q247" i="7" s="1"/>
  <c r="R247" i="7" s="1"/>
  <c r="J247" i="7"/>
  <c r="O246" i="7"/>
  <c r="M246" i="7"/>
  <c r="L246" i="7"/>
  <c r="K246" i="7"/>
  <c r="Q246" i="7" s="1"/>
  <c r="R246" i="7" s="1"/>
  <c r="J246" i="7"/>
  <c r="O245" i="7"/>
  <c r="M245" i="7"/>
  <c r="L245" i="7"/>
  <c r="K245" i="7"/>
  <c r="P245" i="7" s="1"/>
  <c r="J245" i="7"/>
  <c r="O244" i="7"/>
  <c r="M244" i="7"/>
  <c r="L244" i="7"/>
  <c r="K244" i="7"/>
  <c r="P244" i="7" s="1"/>
  <c r="J244" i="7"/>
  <c r="O243" i="7"/>
  <c r="M243" i="7"/>
  <c r="L243" i="7"/>
  <c r="K243" i="7"/>
  <c r="J243" i="7"/>
  <c r="O242" i="7"/>
  <c r="M242" i="7"/>
  <c r="L242" i="7"/>
  <c r="K242" i="7"/>
  <c r="J242" i="7"/>
  <c r="O241" i="7"/>
  <c r="M241" i="7"/>
  <c r="L241" i="7"/>
  <c r="K241" i="7"/>
  <c r="Q241" i="7" s="1"/>
  <c r="R241" i="7" s="1"/>
  <c r="J241" i="7"/>
  <c r="O240" i="7"/>
  <c r="M240" i="7"/>
  <c r="L240" i="7"/>
  <c r="K240" i="7"/>
  <c r="Q240" i="7" s="1"/>
  <c r="R240" i="7" s="1"/>
  <c r="J240" i="7"/>
  <c r="O239" i="7"/>
  <c r="M239" i="7"/>
  <c r="L239" i="7"/>
  <c r="K239" i="7"/>
  <c r="P239" i="7" s="1"/>
  <c r="J239" i="7"/>
  <c r="O238" i="7"/>
  <c r="M238" i="7"/>
  <c r="L238" i="7"/>
  <c r="K238" i="7"/>
  <c r="Q238" i="7" s="1"/>
  <c r="R238" i="7" s="1"/>
  <c r="J238" i="7"/>
  <c r="O237" i="7"/>
  <c r="M237" i="7"/>
  <c r="L237" i="7"/>
  <c r="K237" i="7"/>
  <c r="J237" i="7"/>
  <c r="O236" i="7"/>
  <c r="M236" i="7"/>
  <c r="L236" i="7"/>
  <c r="K236" i="7"/>
  <c r="P236" i="7" s="1"/>
  <c r="J236" i="7"/>
  <c r="O235" i="7"/>
  <c r="M235" i="7"/>
  <c r="L235" i="7"/>
  <c r="K235" i="7"/>
  <c r="J235" i="7"/>
  <c r="O234" i="7"/>
  <c r="M234" i="7"/>
  <c r="L234" i="7"/>
  <c r="K234" i="7"/>
  <c r="Q234" i="7" s="1"/>
  <c r="J234" i="7"/>
  <c r="O233" i="7"/>
  <c r="M233" i="7"/>
  <c r="L233" i="7"/>
  <c r="K233" i="7"/>
  <c r="J233" i="7"/>
  <c r="O232" i="7"/>
  <c r="M232" i="7"/>
  <c r="L232" i="7"/>
  <c r="K232" i="7"/>
  <c r="J232" i="7"/>
  <c r="O231" i="7"/>
  <c r="M231" i="7"/>
  <c r="L231" i="7"/>
  <c r="K231" i="7"/>
  <c r="Q231" i="7" s="1"/>
  <c r="J231" i="7"/>
  <c r="O230" i="7"/>
  <c r="M230" i="7"/>
  <c r="L230" i="7"/>
  <c r="K230" i="7"/>
  <c r="P230" i="7" s="1"/>
  <c r="J230" i="7"/>
  <c r="O229" i="7"/>
  <c r="M229" i="7"/>
  <c r="L229" i="7"/>
  <c r="K229" i="7"/>
  <c r="Q229" i="7" s="1"/>
  <c r="R229" i="7" s="1"/>
  <c r="J229" i="7"/>
  <c r="O228" i="7"/>
  <c r="M228" i="7"/>
  <c r="L228" i="7"/>
  <c r="K228" i="7"/>
  <c r="P228" i="7" s="1"/>
  <c r="J228" i="7"/>
  <c r="O227" i="7"/>
  <c r="M227" i="7"/>
  <c r="L227" i="7"/>
  <c r="K227" i="7"/>
  <c r="Q227" i="7" s="1"/>
  <c r="R227" i="7" s="1"/>
  <c r="J227" i="7"/>
  <c r="O226" i="7"/>
  <c r="M226" i="7"/>
  <c r="L226" i="7"/>
  <c r="K226" i="7"/>
  <c r="P226" i="7" s="1"/>
  <c r="J226" i="7"/>
  <c r="O225" i="7"/>
  <c r="M225" i="7"/>
  <c r="L225" i="7"/>
  <c r="K225" i="7"/>
  <c r="Q225" i="7" s="1"/>
  <c r="R225" i="7" s="1"/>
  <c r="J225" i="7"/>
  <c r="O224" i="7"/>
  <c r="M224" i="7"/>
  <c r="L224" i="7"/>
  <c r="K224" i="7"/>
  <c r="J224" i="7"/>
  <c r="O223" i="7"/>
  <c r="M223" i="7"/>
  <c r="L223" i="7"/>
  <c r="K223" i="7"/>
  <c r="P223" i="7" s="1"/>
  <c r="J223" i="7"/>
  <c r="O222" i="7"/>
  <c r="M222" i="7"/>
  <c r="L222" i="7"/>
  <c r="K222" i="7"/>
  <c r="P222" i="7" s="1"/>
  <c r="J222" i="7"/>
  <c r="O221" i="7"/>
  <c r="M221" i="7"/>
  <c r="L221" i="7"/>
  <c r="K221" i="7"/>
  <c r="P221" i="7" s="1"/>
  <c r="J221" i="7"/>
  <c r="O220" i="7"/>
  <c r="M220" i="7"/>
  <c r="L220" i="7"/>
  <c r="K220" i="7"/>
  <c r="P220" i="7" s="1"/>
  <c r="J220" i="7"/>
  <c r="O219" i="7"/>
  <c r="M219" i="7"/>
  <c r="L219" i="7"/>
  <c r="K219" i="7"/>
  <c r="P219" i="7" s="1"/>
  <c r="J219" i="7"/>
  <c r="O218" i="7"/>
  <c r="M218" i="7"/>
  <c r="L218" i="7"/>
  <c r="K218" i="7"/>
  <c r="Q218" i="7" s="1"/>
  <c r="J218" i="7"/>
  <c r="O217" i="7"/>
  <c r="M217" i="7"/>
  <c r="L217" i="7"/>
  <c r="K217" i="7"/>
  <c r="Q217" i="7" s="1"/>
  <c r="J217" i="7"/>
  <c r="O216" i="7"/>
  <c r="M216" i="7"/>
  <c r="L216" i="7"/>
  <c r="K216" i="7"/>
  <c r="J216" i="7"/>
  <c r="O215" i="7"/>
  <c r="M215" i="7"/>
  <c r="L215" i="7"/>
  <c r="K215" i="7"/>
  <c r="P215" i="7" s="1"/>
  <c r="J215" i="7"/>
  <c r="O214" i="7"/>
  <c r="M214" i="7"/>
  <c r="L214" i="7"/>
  <c r="K214" i="7"/>
  <c r="J214" i="7"/>
  <c r="O213" i="7"/>
  <c r="M213" i="7"/>
  <c r="L213" i="7"/>
  <c r="K213" i="7"/>
  <c r="Q213" i="7" s="1"/>
  <c r="R213" i="7" s="1"/>
  <c r="J213" i="7"/>
  <c r="O212" i="7"/>
  <c r="M212" i="7"/>
  <c r="L212" i="7"/>
  <c r="K212" i="7"/>
  <c r="Q212" i="7" s="1"/>
  <c r="R212" i="7" s="1"/>
  <c r="J212" i="7"/>
  <c r="O211" i="7"/>
  <c r="M211" i="7"/>
  <c r="L211" i="7"/>
  <c r="K211" i="7"/>
  <c r="P211" i="7" s="1"/>
  <c r="J211" i="7"/>
  <c r="O210" i="7"/>
  <c r="M210" i="7"/>
  <c r="L210" i="7"/>
  <c r="K210" i="7"/>
  <c r="J210" i="7"/>
  <c r="O209" i="7"/>
  <c r="M209" i="7"/>
  <c r="L209" i="7"/>
  <c r="K209" i="7"/>
  <c r="P209" i="7" s="1"/>
  <c r="J209" i="7"/>
  <c r="O208" i="7"/>
  <c r="M208" i="7"/>
  <c r="L208" i="7"/>
  <c r="K208" i="7"/>
  <c r="J208" i="7"/>
  <c r="O207" i="7"/>
  <c r="M207" i="7"/>
  <c r="L207" i="7"/>
  <c r="K207" i="7"/>
  <c r="P207" i="7" s="1"/>
  <c r="J207" i="7"/>
  <c r="O206" i="7"/>
  <c r="M206" i="7"/>
  <c r="L206" i="7"/>
  <c r="K206" i="7"/>
  <c r="P206" i="7" s="1"/>
  <c r="J206" i="7"/>
  <c r="O205" i="7"/>
  <c r="M205" i="7"/>
  <c r="L205" i="7"/>
  <c r="K205" i="7"/>
  <c r="Q205" i="7" s="1"/>
  <c r="R205" i="7" s="1"/>
  <c r="J205" i="7"/>
  <c r="O204" i="7"/>
  <c r="M204" i="7"/>
  <c r="L204" i="7"/>
  <c r="K204" i="7"/>
  <c r="Q204" i="7" s="1"/>
  <c r="R204" i="7" s="1"/>
  <c r="J204" i="7"/>
  <c r="O203" i="7"/>
  <c r="M203" i="7"/>
  <c r="L203" i="7"/>
  <c r="K203" i="7"/>
  <c r="J203" i="7"/>
  <c r="O202" i="7"/>
  <c r="M202" i="7"/>
  <c r="L202" i="7"/>
  <c r="K202" i="7"/>
  <c r="P202" i="7" s="1"/>
  <c r="J202" i="7"/>
  <c r="O201" i="7"/>
  <c r="M201" i="7"/>
  <c r="L201" i="7"/>
  <c r="K201" i="7"/>
  <c r="J201" i="7"/>
  <c r="O200" i="7"/>
  <c r="M200" i="7"/>
  <c r="L200" i="7"/>
  <c r="K200" i="7"/>
  <c r="P200" i="7" s="1"/>
  <c r="J200" i="7"/>
  <c r="O199" i="7"/>
  <c r="M199" i="7"/>
  <c r="L199" i="7"/>
  <c r="K199" i="7"/>
  <c r="Q199" i="7" s="1"/>
  <c r="R199" i="7" s="1"/>
  <c r="J199" i="7"/>
  <c r="O198" i="7"/>
  <c r="M198" i="7"/>
  <c r="L198" i="7"/>
  <c r="K198" i="7"/>
  <c r="Q198" i="7" s="1"/>
  <c r="R198" i="7" s="1"/>
  <c r="J198" i="7"/>
  <c r="O197" i="7"/>
  <c r="M197" i="7"/>
  <c r="L197" i="7"/>
  <c r="K197" i="7"/>
  <c r="Q197" i="7" s="1"/>
  <c r="R197" i="7" s="1"/>
  <c r="J197" i="7"/>
  <c r="O196" i="7"/>
  <c r="M196" i="7"/>
  <c r="L196" i="7"/>
  <c r="K196" i="7"/>
  <c r="Q196" i="7" s="1"/>
  <c r="R196" i="7" s="1"/>
  <c r="J196" i="7"/>
  <c r="O195" i="7"/>
  <c r="M195" i="7"/>
  <c r="L195" i="7"/>
  <c r="K195" i="7"/>
  <c r="J195" i="7"/>
  <c r="O194" i="7"/>
  <c r="M194" i="7"/>
  <c r="L194" i="7"/>
  <c r="K194" i="7"/>
  <c r="J194" i="7"/>
  <c r="O193" i="7"/>
  <c r="M193" i="7"/>
  <c r="L193" i="7"/>
  <c r="K193" i="7"/>
  <c r="J193" i="7"/>
  <c r="O192" i="7"/>
  <c r="M192" i="7"/>
  <c r="L192" i="7"/>
  <c r="K192" i="7"/>
  <c r="Q192" i="7" s="1"/>
  <c r="R192" i="7" s="1"/>
  <c r="J192" i="7"/>
  <c r="O191" i="7"/>
  <c r="M191" i="7"/>
  <c r="L191" i="7"/>
  <c r="K191" i="7"/>
  <c r="P191" i="7" s="1"/>
  <c r="J191" i="7"/>
  <c r="O190" i="7"/>
  <c r="M190" i="7"/>
  <c r="L190" i="7"/>
  <c r="K190" i="7"/>
  <c r="P190" i="7" s="1"/>
  <c r="J190" i="7"/>
  <c r="O189" i="7"/>
  <c r="M189" i="7"/>
  <c r="L189" i="7"/>
  <c r="K189" i="7"/>
  <c r="P189" i="7" s="1"/>
  <c r="J189" i="7"/>
  <c r="O188" i="7"/>
  <c r="M188" i="7"/>
  <c r="L188" i="7"/>
  <c r="K188" i="7"/>
  <c r="J188" i="7"/>
  <c r="O187" i="7"/>
  <c r="M187" i="7"/>
  <c r="L187" i="7"/>
  <c r="K187" i="7"/>
  <c r="Q187" i="7" s="1"/>
  <c r="R187" i="7" s="1"/>
  <c r="J187" i="7"/>
  <c r="O186" i="7"/>
  <c r="M186" i="7"/>
  <c r="L186" i="7"/>
  <c r="K186" i="7"/>
  <c r="J186" i="7"/>
  <c r="O185" i="7"/>
  <c r="M185" i="7"/>
  <c r="L185" i="7"/>
  <c r="K185" i="7"/>
  <c r="Q185" i="7" s="1"/>
  <c r="R185" i="7" s="1"/>
  <c r="J185" i="7"/>
  <c r="O184" i="7"/>
  <c r="M184" i="7"/>
  <c r="L184" i="7"/>
  <c r="K184" i="7"/>
  <c r="J184" i="7"/>
  <c r="O183" i="7"/>
  <c r="M183" i="7"/>
  <c r="L183" i="7"/>
  <c r="K183" i="7"/>
  <c r="Q183" i="7" s="1"/>
  <c r="R183" i="7" s="1"/>
  <c r="J183" i="7"/>
  <c r="O182" i="7"/>
  <c r="M182" i="7"/>
  <c r="L182" i="7"/>
  <c r="K182" i="7"/>
  <c r="Q182" i="7" s="1"/>
  <c r="R182" i="7" s="1"/>
  <c r="J182" i="7"/>
  <c r="O181" i="7"/>
  <c r="M181" i="7"/>
  <c r="L181" i="7"/>
  <c r="K181" i="7"/>
  <c r="P181" i="7" s="1"/>
  <c r="J181" i="7"/>
  <c r="O180" i="7"/>
  <c r="M180" i="7"/>
  <c r="L180" i="7"/>
  <c r="K180" i="7"/>
  <c r="Q180" i="7" s="1"/>
  <c r="R180" i="7" s="1"/>
  <c r="J180" i="7"/>
  <c r="O179" i="7"/>
  <c r="M179" i="7"/>
  <c r="L179" i="7"/>
  <c r="K179" i="7"/>
  <c r="P179" i="7" s="1"/>
  <c r="J179" i="7"/>
  <c r="O178" i="7"/>
  <c r="M178" i="7"/>
  <c r="L178" i="7"/>
  <c r="K178" i="7"/>
  <c r="P178" i="7" s="1"/>
  <c r="J178" i="7"/>
  <c r="O177" i="7"/>
  <c r="M177" i="7"/>
  <c r="L177" i="7"/>
  <c r="K177" i="7"/>
  <c r="Q177" i="7" s="1"/>
  <c r="R177" i="7" s="1"/>
  <c r="J177" i="7"/>
  <c r="O176" i="7"/>
  <c r="M176" i="7"/>
  <c r="L176" i="7"/>
  <c r="K176" i="7"/>
  <c r="P176" i="7" s="1"/>
  <c r="J176" i="7"/>
  <c r="O175" i="7"/>
  <c r="M175" i="7"/>
  <c r="L175" i="7"/>
  <c r="K175" i="7"/>
  <c r="Q175" i="7" s="1"/>
  <c r="R175" i="7" s="1"/>
  <c r="J175" i="7"/>
  <c r="O174" i="7"/>
  <c r="M174" i="7"/>
  <c r="L174" i="7"/>
  <c r="K174" i="7"/>
  <c r="P174" i="7" s="1"/>
  <c r="J174" i="7"/>
  <c r="O173" i="7"/>
  <c r="M173" i="7"/>
  <c r="L173" i="7"/>
  <c r="K173" i="7"/>
  <c r="P173" i="7" s="1"/>
  <c r="J173" i="7"/>
  <c r="O172" i="7"/>
  <c r="M172" i="7"/>
  <c r="L172" i="7"/>
  <c r="K172" i="7"/>
  <c r="J172" i="7"/>
  <c r="O171" i="7"/>
  <c r="M171" i="7"/>
  <c r="L171" i="7"/>
  <c r="K171" i="7"/>
  <c r="Q171" i="7" s="1"/>
  <c r="R171" i="7" s="1"/>
  <c r="J171" i="7"/>
  <c r="O170" i="7"/>
  <c r="M170" i="7"/>
  <c r="L170" i="7"/>
  <c r="K170" i="7"/>
  <c r="P170" i="7" s="1"/>
  <c r="J170" i="7"/>
  <c r="O169" i="7"/>
  <c r="M169" i="7"/>
  <c r="L169" i="7"/>
  <c r="K169" i="7"/>
  <c r="Q169" i="7" s="1"/>
  <c r="R169" i="7" s="1"/>
  <c r="J169" i="7"/>
  <c r="O168" i="7"/>
  <c r="M168" i="7"/>
  <c r="L168" i="7"/>
  <c r="K168" i="7"/>
  <c r="Q168" i="7" s="1"/>
  <c r="R168" i="7" s="1"/>
  <c r="J168" i="7"/>
  <c r="O167" i="7"/>
  <c r="M167" i="7"/>
  <c r="L167" i="7"/>
  <c r="K167" i="7"/>
  <c r="J167" i="7"/>
  <c r="O166" i="7"/>
  <c r="M166" i="7"/>
  <c r="L166" i="7"/>
  <c r="K166" i="7"/>
  <c r="Q166" i="7" s="1"/>
  <c r="R166" i="7" s="1"/>
  <c r="J166" i="7"/>
  <c r="O165" i="7"/>
  <c r="M165" i="7"/>
  <c r="L165" i="7"/>
  <c r="K165" i="7"/>
  <c r="J165" i="7"/>
  <c r="O164" i="7"/>
  <c r="M164" i="7"/>
  <c r="L164" i="7"/>
  <c r="K164" i="7"/>
  <c r="Q164" i="7" s="1"/>
  <c r="R164" i="7" s="1"/>
  <c r="J164" i="7"/>
  <c r="O163" i="7"/>
  <c r="M163" i="7"/>
  <c r="L163" i="7"/>
  <c r="K163" i="7"/>
  <c r="J163" i="7"/>
  <c r="O162" i="7"/>
  <c r="M162" i="7"/>
  <c r="L162" i="7"/>
  <c r="K162" i="7"/>
  <c r="Q162" i="7" s="1"/>
  <c r="R162" i="7" s="1"/>
  <c r="J162" i="7"/>
  <c r="O161" i="7"/>
  <c r="M161" i="7"/>
  <c r="L161" i="7"/>
  <c r="K161" i="7"/>
  <c r="P161" i="7" s="1"/>
  <c r="J161" i="7"/>
  <c r="O160" i="7"/>
  <c r="M160" i="7"/>
  <c r="L160" i="7"/>
  <c r="K160" i="7"/>
  <c r="P160" i="7" s="1"/>
  <c r="J160" i="7"/>
  <c r="O159" i="7"/>
  <c r="M159" i="7"/>
  <c r="L159" i="7"/>
  <c r="K159" i="7"/>
  <c r="Q159" i="7" s="1"/>
  <c r="R159" i="7" s="1"/>
  <c r="J159" i="7"/>
  <c r="O158" i="7"/>
  <c r="M158" i="7"/>
  <c r="L158" i="7"/>
  <c r="K158" i="7"/>
  <c r="P158" i="7" s="1"/>
  <c r="J158" i="7"/>
  <c r="O157" i="7"/>
  <c r="M157" i="7"/>
  <c r="L157" i="7"/>
  <c r="K157" i="7"/>
  <c r="Q157" i="7" s="1"/>
  <c r="R157" i="7" s="1"/>
  <c r="J157" i="7"/>
  <c r="O156" i="7"/>
  <c r="M156" i="7"/>
  <c r="L156" i="7"/>
  <c r="K156" i="7"/>
  <c r="Q156" i="7" s="1"/>
  <c r="R156" i="7" s="1"/>
  <c r="J156" i="7"/>
  <c r="O155" i="7"/>
  <c r="M155" i="7"/>
  <c r="L155" i="7"/>
  <c r="K155" i="7"/>
  <c r="Q155" i="7" s="1"/>
  <c r="R155" i="7" s="1"/>
  <c r="J155" i="7"/>
  <c r="O154" i="7"/>
  <c r="M154" i="7"/>
  <c r="L154" i="7"/>
  <c r="K154" i="7"/>
  <c r="J154" i="7"/>
  <c r="O153" i="7"/>
  <c r="M153" i="7"/>
  <c r="L153" i="7"/>
  <c r="K153" i="7"/>
  <c r="P153" i="7" s="1"/>
  <c r="J153" i="7"/>
  <c r="O152" i="7"/>
  <c r="M152" i="7"/>
  <c r="L152" i="7"/>
  <c r="K152" i="7"/>
  <c r="J152" i="7"/>
  <c r="O151" i="7"/>
  <c r="M151" i="7"/>
  <c r="L151" i="7"/>
  <c r="K151" i="7"/>
  <c r="P151" i="7" s="1"/>
  <c r="J151" i="7"/>
  <c r="O150" i="7"/>
  <c r="M150" i="7"/>
  <c r="L150" i="7"/>
  <c r="K150" i="7"/>
  <c r="Q150" i="7" s="1"/>
  <c r="R150" i="7" s="1"/>
  <c r="J150" i="7"/>
  <c r="O149" i="7"/>
  <c r="M149" i="7"/>
  <c r="L149" i="7"/>
  <c r="K149" i="7"/>
  <c r="Q149" i="7" s="1"/>
  <c r="R149" i="7" s="1"/>
  <c r="J149" i="7"/>
  <c r="O148" i="7"/>
  <c r="M148" i="7"/>
  <c r="L148" i="7"/>
  <c r="K148" i="7"/>
  <c r="P148" i="7" s="1"/>
  <c r="J148" i="7"/>
  <c r="O147" i="7"/>
  <c r="M147" i="7"/>
  <c r="L147" i="7"/>
  <c r="K147" i="7"/>
  <c r="Q147" i="7" s="1"/>
  <c r="R147" i="7" s="1"/>
  <c r="J147" i="7"/>
  <c r="O146" i="7"/>
  <c r="M146" i="7"/>
  <c r="L146" i="7"/>
  <c r="K146" i="7"/>
  <c r="P146" i="7" s="1"/>
  <c r="J146" i="7"/>
  <c r="O145" i="7"/>
  <c r="M145" i="7"/>
  <c r="L145" i="7"/>
  <c r="K145" i="7"/>
  <c r="J145" i="7"/>
  <c r="O144" i="7"/>
  <c r="M144" i="7"/>
  <c r="L144" i="7"/>
  <c r="K144" i="7"/>
  <c r="J144" i="7"/>
  <c r="O143" i="7"/>
  <c r="M143" i="7"/>
  <c r="L143" i="7"/>
  <c r="K143" i="7"/>
  <c r="Q143" i="7" s="1"/>
  <c r="R143" i="7" s="1"/>
  <c r="J143" i="7"/>
  <c r="O142" i="7"/>
  <c r="M142" i="7"/>
  <c r="L142" i="7"/>
  <c r="K142" i="7"/>
  <c r="P142" i="7" s="1"/>
  <c r="J142" i="7"/>
  <c r="O141" i="7"/>
  <c r="M141" i="7"/>
  <c r="L141" i="7"/>
  <c r="K141" i="7"/>
  <c r="Q141" i="7" s="1"/>
  <c r="R141" i="7" s="1"/>
  <c r="J141" i="7"/>
  <c r="O140" i="7"/>
  <c r="M140" i="7"/>
  <c r="L140" i="7"/>
  <c r="K140" i="7"/>
  <c r="P140" i="7" s="1"/>
  <c r="J140" i="7"/>
  <c r="O139" i="7"/>
  <c r="M139" i="7"/>
  <c r="L139" i="7"/>
  <c r="K139" i="7"/>
  <c r="J139" i="7"/>
  <c r="O138" i="7"/>
  <c r="M138" i="7"/>
  <c r="L138" i="7"/>
  <c r="K138" i="7"/>
  <c r="Q138" i="7" s="1"/>
  <c r="R138" i="7" s="1"/>
  <c r="J138" i="7"/>
  <c r="O137" i="7"/>
  <c r="M137" i="7"/>
  <c r="L137" i="7"/>
  <c r="K137" i="7"/>
  <c r="J137" i="7"/>
  <c r="O136" i="7"/>
  <c r="M136" i="7"/>
  <c r="L136" i="7"/>
  <c r="K136" i="7"/>
  <c r="P136" i="7" s="1"/>
  <c r="J136" i="7"/>
  <c r="O135" i="7"/>
  <c r="M135" i="7"/>
  <c r="L135" i="7"/>
  <c r="K135" i="7"/>
  <c r="J135" i="7"/>
  <c r="O134" i="7"/>
  <c r="M134" i="7"/>
  <c r="L134" i="7"/>
  <c r="K134" i="7"/>
  <c r="Q134" i="7" s="1"/>
  <c r="R134" i="7" s="1"/>
  <c r="J134" i="7"/>
  <c r="O133" i="7"/>
  <c r="M133" i="7"/>
  <c r="L133" i="7"/>
  <c r="K133" i="7"/>
  <c r="Q133" i="7" s="1"/>
  <c r="R133" i="7" s="1"/>
  <c r="J133" i="7"/>
  <c r="O132" i="7"/>
  <c r="M132" i="7"/>
  <c r="L132" i="7"/>
  <c r="K132" i="7"/>
  <c r="P132" i="7" s="1"/>
  <c r="J132" i="7"/>
  <c r="O131" i="7"/>
  <c r="M131" i="7"/>
  <c r="L131" i="7"/>
  <c r="K131" i="7"/>
  <c r="Q131" i="7" s="1"/>
  <c r="R131" i="7" s="1"/>
  <c r="J131" i="7"/>
  <c r="O130" i="7"/>
  <c r="M130" i="7"/>
  <c r="L130" i="7"/>
  <c r="K130" i="7"/>
  <c r="P130" i="7" s="1"/>
  <c r="J130" i="7"/>
  <c r="O129" i="7"/>
  <c r="M129" i="7"/>
  <c r="L129" i="7"/>
  <c r="K129" i="7"/>
  <c r="Q129" i="7" s="1"/>
  <c r="R129" i="7" s="1"/>
  <c r="J129" i="7"/>
  <c r="O128" i="7"/>
  <c r="M128" i="7"/>
  <c r="L128" i="7"/>
  <c r="K128" i="7"/>
  <c r="Q128" i="7" s="1"/>
  <c r="R128" i="7" s="1"/>
  <c r="J128" i="7"/>
  <c r="O127" i="7"/>
  <c r="M127" i="7"/>
  <c r="L127" i="7"/>
  <c r="K127" i="7"/>
  <c r="P127" i="7" s="1"/>
  <c r="J127" i="7"/>
  <c r="O126" i="7"/>
  <c r="M126" i="7"/>
  <c r="L126" i="7"/>
  <c r="K126" i="7"/>
  <c r="Q126" i="7" s="1"/>
  <c r="R126" i="7" s="1"/>
  <c r="J126" i="7"/>
  <c r="O125" i="7"/>
  <c r="M125" i="7"/>
  <c r="L125" i="7"/>
  <c r="K125" i="7"/>
  <c r="P125" i="7" s="1"/>
  <c r="J125" i="7"/>
  <c r="O124" i="7"/>
  <c r="M124" i="7"/>
  <c r="L124" i="7"/>
  <c r="K124" i="7"/>
  <c r="P124" i="7" s="1"/>
  <c r="J124" i="7"/>
  <c r="O123" i="7"/>
  <c r="M123" i="7"/>
  <c r="L123" i="7"/>
  <c r="K123" i="7"/>
  <c r="P123" i="7" s="1"/>
  <c r="J123" i="7"/>
  <c r="O122" i="7"/>
  <c r="M122" i="7"/>
  <c r="L122" i="7"/>
  <c r="K122" i="7"/>
  <c r="P122" i="7" s="1"/>
  <c r="J122" i="7"/>
  <c r="O121" i="7"/>
  <c r="M121" i="7"/>
  <c r="L121" i="7"/>
  <c r="K121" i="7"/>
  <c r="Q121" i="7" s="1"/>
  <c r="R121" i="7" s="1"/>
  <c r="J121" i="7"/>
  <c r="O120" i="7"/>
  <c r="M120" i="7"/>
  <c r="L120" i="7"/>
  <c r="K120" i="7"/>
  <c r="Q120" i="7" s="1"/>
  <c r="R120" i="7" s="1"/>
  <c r="J120" i="7"/>
  <c r="O119" i="7"/>
  <c r="M119" i="7"/>
  <c r="L119" i="7"/>
  <c r="K119" i="7"/>
  <c r="Q119" i="7" s="1"/>
  <c r="R119" i="7" s="1"/>
  <c r="J119" i="7"/>
  <c r="O118" i="7"/>
  <c r="M118" i="7"/>
  <c r="L118" i="7"/>
  <c r="K118" i="7"/>
  <c r="J118" i="7"/>
  <c r="O117" i="7"/>
  <c r="M117" i="7"/>
  <c r="L117" i="7"/>
  <c r="K117" i="7"/>
  <c r="Q117" i="7" s="1"/>
  <c r="R117" i="7" s="1"/>
  <c r="J117" i="7"/>
  <c r="O116" i="7"/>
  <c r="M116" i="7"/>
  <c r="L116" i="7"/>
  <c r="K116" i="7"/>
  <c r="J116" i="7"/>
  <c r="O115" i="7"/>
  <c r="M115" i="7"/>
  <c r="L115" i="7"/>
  <c r="K115" i="7"/>
  <c r="Q115" i="7" s="1"/>
  <c r="R115" i="7" s="1"/>
  <c r="J115" i="7"/>
  <c r="O114" i="7"/>
  <c r="M114" i="7"/>
  <c r="L114" i="7"/>
  <c r="K114" i="7"/>
  <c r="Q114" i="7" s="1"/>
  <c r="R114" i="7" s="1"/>
  <c r="J114" i="7"/>
  <c r="O113" i="7"/>
  <c r="M113" i="7"/>
  <c r="L113" i="7"/>
  <c r="K113" i="7"/>
  <c r="J113" i="7"/>
  <c r="O112" i="7"/>
  <c r="M112" i="7"/>
  <c r="L112" i="7"/>
  <c r="K112" i="7"/>
  <c r="Q112" i="7" s="1"/>
  <c r="J112" i="7"/>
  <c r="O111" i="7"/>
  <c r="M111" i="7"/>
  <c r="L111" i="7"/>
  <c r="K111" i="7"/>
  <c r="P111" i="7" s="1"/>
  <c r="J111" i="7"/>
  <c r="O110" i="7"/>
  <c r="M110" i="7"/>
  <c r="L110" i="7"/>
  <c r="K110" i="7"/>
  <c r="Q110" i="7" s="1"/>
  <c r="R110" i="7" s="1"/>
  <c r="J110" i="7"/>
  <c r="O109" i="7"/>
  <c r="M109" i="7"/>
  <c r="L109" i="7"/>
  <c r="K109" i="7"/>
  <c r="P109" i="7" s="1"/>
  <c r="J109" i="7"/>
  <c r="O108" i="7"/>
  <c r="M108" i="7"/>
  <c r="L108" i="7"/>
  <c r="K108" i="7"/>
  <c r="Q108" i="7" s="1"/>
  <c r="R108" i="7" s="1"/>
  <c r="J108" i="7"/>
  <c r="O107" i="7"/>
  <c r="M107" i="7"/>
  <c r="L107" i="7"/>
  <c r="K107" i="7"/>
  <c r="Q107" i="7" s="1"/>
  <c r="R107" i="7" s="1"/>
  <c r="J107" i="7"/>
  <c r="O106" i="7"/>
  <c r="M106" i="7"/>
  <c r="L106" i="7"/>
  <c r="K106" i="7"/>
  <c r="P106" i="7" s="1"/>
  <c r="J106" i="7"/>
  <c r="O105" i="7"/>
  <c r="M105" i="7"/>
  <c r="L105" i="7"/>
  <c r="K105" i="7"/>
  <c r="J105" i="7"/>
  <c r="O104" i="7"/>
  <c r="M104" i="7"/>
  <c r="L104" i="7"/>
  <c r="K104" i="7"/>
  <c r="P104" i="7" s="1"/>
  <c r="J104" i="7"/>
  <c r="O103" i="7"/>
  <c r="M103" i="7"/>
  <c r="L103" i="7"/>
  <c r="K103" i="7"/>
  <c r="J103" i="7"/>
  <c r="O102" i="7"/>
  <c r="M102" i="7"/>
  <c r="L102" i="7"/>
  <c r="K102" i="7"/>
  <c r="P102" i="7" s="1"/>
  <c r="J102" i="7"/>
  <c r="O101" i="7"/>
  <c r="M101" i="7"/>
  <c r="L101" i="7"/>
  <c r="K101" i="7"/>
  <c r="Q101" i="7" s="1"/>
  <c r="R101" i="7" s="1"/>
  <c r="J101" i="7"/>
  <c r="O100" i="7"/>
  <c r="M100" i="7"/>
  <c r="L100" i="7"/>
  <c r="K100" i="7"/>
  <c r="J100" i="7"/>
  <c r="O99" i="7"/>
  <c r="M99" i="7"/>
  <c r="L99" i="7"/>
  <c r="K99" i="7"/>
  <c r="P99" i="7" s="1"/>
  <c r="J99" i="7"/>
  <c r="O98" i="7"/>
  <c r="M98" i="7"/>
  <c r="L98" i="7"/>
  <c r="K98" i="7"/>
  <c r="Q98" i="7" s="1"/>
  <c r="R98" i="7" s="1"/>
  <c r="J98" i="7"/>
  <c r="O97" i="7"/>
  <c r="M97" i="7"/>
  <c r="L97" i="7"/>
  <c r="K97" i="7"/>
  <c r="P97" i="7" s="1"/>
  <c r="J97" i="7"/>
  <c r="O96" i="7"/>
  <c r="M96" i="7"/>
  <c r="L96" i="7"/>
  <c r="K96" i="7"/>
  <c r="P96" i="7" s="1"/>
  <c r="J96" i="7"/>
  <c r="O95" i="7"/>
  <c r="M95" i="7"/>
  <c r="L95" i="7"/>
  <c r="K95" i="7"/>
  <c r="P95" i="7" s="1"/>
  <c r="J95" i="7"/>
  <c r="O94" i="7"/>
  <c r="M94" i="7"/>
  <c r="L94" i="7"/>
  <c r="K94" i="7"/>
  <c r="P94" i="7" s="1"/>
  <c r="J94" i="7"/>
  <c r="O93" i="7"/>
  <c r="M93" i="7"/>
  <c r="L93" i="7"/>
  <c r="K93" i="7"/>
  <c r="P93" i="7" s="1"/>
  <c r="J93" i="7"/>
  <c r="O92" i="7"/>
  <c r="M92" i="7"/>
  <c r="L92" i="7"/>
  <c r="K92" i="7"/>
  <c r="P92" i="7" s="1"/>
  <c r="J92" i="7"/>
  <c r="O91" i="7"/>
  <c r="M91" i="7"/>
  <c r="L91" i="7"/>
  <c r="K91" i="7"/>
  <c r="Q91" i="7" s="1"/>
  <c r="R91" i="7" s="1"/>
  <c r="J91" i="7"/>
  <c r="O90" i="7"/>
  <c r="M90" i="7"/>
  <c r="L90" i="7"/>
  <c r="K90" i="7"/>
  <c r="J90" i="7"/>
  <c r="O89" i="7"/>
  <c r="M89" i="7"/>
  <c r="L89" i="7"/>
  <c r="K89" i="7"/>
  <c r="P89" i="7" s="1"/>
  <c r="J89" i="7"/>
  <c r="O88" i="7"/>
  <c r="M88" i="7"/>
  <c r="L88" i="7"/>
  <c r="K88" i="7"/>
  <c r="J88" i="7"/>
  <c r="O87" i="7"/>
  <c r="M87" i="7"/>
  <c r="L87" i="7"/>
  <c r="K87" i="7"/>
  <c r="Q87" i="7" s="1"/>
  <c r="J87" i="7"/>
  <c r="O86" i="7"/>
  <c r="M86" i="7"/>
  <c r="L86" i="7"/>
  <c r="K86" i="7"/>
  <c r="J86" i="7"/>
  <c r="O85" i="7"/>
  <c r="M85" i="7"/>
  <c r="L85" i="7"/>
  <c r="K85" i="7"/>
  <c r="P85" i="7" s="1"/>
  <c r="J85" i="7"/>
  <c r="O84" i="7"/>
  <c r="M84" i="7"/>
  <c r="L84" i="7"/>
  <c r="K84" i="7"/>
  <c r="J84" i="7"/>
  <c r="O83" i="7"/>
  <c r="M83" i="7"/>
  <c r="L83" i="7"/>
  <c r="K83" i="7"/>
  <c r="P83" i="7" s="1"/>
  <c r="J83" i="7"/>
  <c r="O82" i="7"/>
  <c r="M82" i="7"/>
  <c r="L82" i="7"/>
  <c r="K82" i="7"/>
  <c r="J82" i="7"/>
  <c r="O81" i="7"/>
  <c r="M81" i="7"/>
  <c r="L81" i="7"/>
  <c r="K81" i="7"/>
  <c r="P81" i="7" s="1"/>
  <c r="J81" i="7"/>
  <c r="O80" i="7"/>
  <c r="M80" i="7"/>
  <c r="L80" i="7"/>
  <c r="K80" i="7"/>
  <c r="Q80" i="7" s="1"/>
  <c r="R80" i="7" s="1"/>
  <c r="J80" i="7"/>
  <c r="O79" i="7"/>
  <c r="M79" i="7"/>
  <c r="L79" i="7"/>
  <c r="K79" i="7"/>
  <c r="Q79" i="7" s="1"/>
  <c r="R79" i="7" s="1"/>
  <c r="J79" i="7"/>
  <c r="O78" i="7"/>
  <c r="M78" i="7"/>
  <c r="L78" i="7"/>
  <c r="K78" i="7"/>
  <c r="Q78" i="7" s="1"/>
  <c r="R78" i="7" s="1"/>
  <c r="J78" i="7"/>
  <c r="O77" i="7"/>
  <c r="M77" i="7"/>
  <c r="L77" i="7"/>
  <c r="K77" i="7"/>
  <c r="Q77" i="7" s="1"/>
  <c r="R77" i="7" s="1"/>
  <c r="J77" i="7"/>
  <c r="O76" i="7"/>
  <c r="M76" i="7"/>
  <c r="L76" i="7"/>
  <c r="K76" i="7"/>
  <c r="J76" i="7"/>
  <c r="O75" i="7"/>
  <c r="M75" i="7"/>
  <c r="L75" i="7"/>
  <c r="K75" i="7"/>
  <c r="P75" i="7" s="1"/>
  <c r="J75" i="7"/>
  <c r="O74" i="7"/>
  <c r="M74" i="7"/>
  <c r="L74" i="7"/>
  <c r="K74" i="7"/>
  <c r="P74" i="7" s="1"/>
  <c r="J74" i="7"/>
  <c r="O73" i="7"/>
  <c r="M73" i="7"/>
  <c r="L73" i="7"/>
  <c r="K73" i="7"/>
  <c r="Q73" i="7" s="1"/>
  <c r="R73" i="7" s="1"/>
  <c r="J73" i="7"/>
  <c r="O72" i="7"/>
  <c r="M72" i="7"/>
  <c r="L72" i="7"/>
  <c r="K72" i="7"/>
  <c r="Q72" i="7" s="1"/>
  <c r="R72" i="7" s="1"/>
  <c r="J72" i="7"/>
  <c r="O71" i="7"/>
  <c r="M71" i="7"/>
  <c r="L71" i="7"/>
  <c r="K71" i="7"/>
  <c r="P71" i="7" s="1"/>
  <c r="J71" i="7"/>
  <c r="O70" i="7"/>
  <c r="M70" i="7"/>
  <c r="L70" i="7"/>
  <c r="K70" i="7"/>
  <c r="J70" i="7"/>
  <c r="O69" i="7"/>
  <c r="M69" i="7"/>
  <c r="L69" i="7"/>
  <c r="K69" i="7"/>
  <c r="J69" i="7"/>
  <c r="O68" i="7"/>
  <c r="M68" i="7"/>
  <c r="L68" i="7"/>
  <c r="K68" i="7"/>
  <c r="P68" i="7" s="1"/>
  <c r="J68" i="7"/>
  <c r="O67" i="7"/>
  <c r="M67" i="7"/>
  <c r="L67" i="7"/>
  <c r="K67" i="7"/>
  <c r="J67" i="7"/>
  <c r="O66" i="7"/>
  <c r="M66" i="7"/>
  <c r="L66" i="7"/>
  <c r="K66" i="7"/>
  <c r="Q66" i="7" s="1"/>
  <c r="J66" i="7"/>
  <c r="O65" i="7"/>
  <c r="M65" i="7"/>
  <c r="L65" i="7"/>
  <c r="K65" i="7"/>
  <c r="Q65" i="7" s="1"/>
  <c r="J65" i="7"/>
  <c r="O64" i="7"/>
  <c r="M64" i="7"/>
  <c r="L64" i="7"/>
  <c r="K64" i="7"/>
  <c r="P64" i="7" s="1"/>
  <c r="J64" i="7"/>
  <c r="O63" i="7"/>
  <c r="M63" i="7"/>
  <c r="L63" i="7"/>
  <c r="K63" i="7"/>
  <c r="P63" i="7" s="1"/>
  <c r="J63" i="7"/>
  <c r="O62" i="7"/>
  <c r="M62" i="7"/>
  <c r="L62" i="7"/>
  <c r="K62" i="7"/>
  <c r="P62" i="7" s="1"/>
  <c r="J62" i="7"/>
  <c r="O61" i="7"/>
  <c r="M61" i="7"/>
  <c r="L61" i="7"/>
  <c r="K61" i="7"/>
  <c r="Q61" i="7" s="1"/>
  <c r="R61" i="7" s="1"/>
  <c r="J61" i="7"/>
  <c r="O60" i="7"/>
  <c r="M60" i="7"/>
  <c r="L60" i="7"/>
  <c r="K60" i="7"/>
  <c r="P60" i="7" s="1"/>
  <c r="J60" i="7"/>
  <c r="O59" i="7"/>
  <c r="M59" i="7"/>
  <c r="L59" i="7"/>
  <c r="K59" i="7"/>
  <c r="Q59" i="7" s="1"/>
  <c r="R59" i="7" s="1"/>
  <c r="J59" i="7"/>
  <c r="O58" i="7"/>
  <c r="M58" i="7"/>
  <c r="L58" i="7"/>
  <c r="K58" i="7"/>
  <c r="J58" i="7"/>
  <c r="O57" i="7"/>
  <c r="M57" i="7"/>
  <c r="L57" i="7"/>
  <c r="K57" i="7"/>
  <c r="Q57" i="7" s="1"/>
  <c r="R57" i="7" s="1"/>
  <c r="J57" i="7"/>
  <c r="O56" i="7"/>
  <c r="M56" i="7"/>
  <c r="L56" i="7"/>
  <c r="K56" i="7"/>
  <c r="J56" i="7"/>
  <c r="O55" i="7"/>
  <c r="M55" i="7"/>
  <c r="L55" i="7"/>
  <c r="K55" i="7"/>
  <c r="P55" i="7" s="1"/>
  <c r="J55" i="7"/>
  <c r="O54" i="7"/>
  <c r="M54" i="7"/>
  <c r="L54" i="7"/>
  <c r="K54" i="7"/>
  <c r="J54" i="7"/>
  <c r="O53" i="7"/>
  <c r="M53" i="7"/>
  <c r="L53" i="7"/>
  <c r="K53" i="7"/>
  <c r="P53" i="7" s="1"/>
  <c r="J53" i="7"/>
  <c r="O52" i="7"/>
  <c r="M52" i="7"/>
  <c r="L52" i="7"/>
  <c r="K52" i="7"/>
  <c r="Q52" i="7" s="1"/>
  <c r="R52" i="7" s="1"/>
  <c r="J52" i="7"/>
  <c r="O51" i="7"/>
  <c r="M51" i="7"/>
  <c r="L51" i="7"/>
  <c r="K51" i="7"/>
  <c r="Q51" i="7" s="1"/>
  <c r="R51" i="7" s="1"/>
  <c r="J51" i="7"/>
  <c r="O50" i="7"/>
  <c r="M50" i="7"/>
  <c r="L50" i="7"/>
  <c r="K50" i="7"/>
  <c r="P50" i="7" s="1"/>
  <c r="J50" i="7"/>
  <c r="O49" i="7"/>
  <c r="M49" i="7"/>
  <c r="L49" i="7"/>
  <c r="K49" i="7"/>
  <c r="Q49" i="7" s="1"/>
  <c r="R49" i="7" s="1"/>
  <c r="J49" i="7"/>
  <c r="O48" i="7"/>
  <c r="M48" i="7"/>
  <c r="L48" i="7"/>
  <c r="K48" i="7"/>
  <c r="P48" i="7" s="1"/>
  <c r="J48" i="7"/>
  <c r="O47" i="7"/>
  <c r="M47" i="7"/>
  <c r="L47" i="7"/>
  <c r="K47" i="7"/>
  <c r="Q47" i="7" s="1"/>
  <c r="R47" i="7" s="1"/>
  <c r="J47" i="7"/>
  <c r="O46" i="7"/>
  <c r="M46" i="7"/>
  <c r="L46" i="7"/>
  <c r="K46" i="7"/>
  <c r="P46" i="7" s="1"/>
  <c r="J46" i="7"/>
  <c r="O45" i="7"/>
  <c r="M45" i="7"/>
  <c r="L45" i="7"/>
  <c r="K45" i="7"/>
  <c r="Q45" i="7" s="1"/>
  <c r="J45" i="7"/>
  <c r="O44" i="7"/>
  <c r="M44" i="7"/>
  <c r="L44" i="7"/>
  <c r="K44" i="7"/>
  <c r="J44" i="7"/>
  <c r="O43" i="7"/>
  <c r="M43" i="7"/>
  <c r="L43" i="7"/>
  <c r="K43" i="7"/>
  <c r="Q43" i="7" s="1"/>
  <c r="J43" i="7"/>
  <c r="O42" i="7"/>
  <c r="M42" i="7"/>
  <c r="L42" i="7"/>
  <c r="K42" i="7"/>
  <c r="Q42" i="7" s="1"/>
  <c r="J42" i="7"/>
  <c r="O41" i="7"/>
  <c r="M41" i="7"/>
  <c r="L41" i="7"/>
  <c r="K41" i="7"/>
  <c r="J41" i="7"/>
  <c r="O40" i="7"/>
  <c r="M40" i="7"/>
  <c r="L40" i="7"/>
  <c r="K40" i="7"/>
  <c r="Q40" i="7" s="1"/>
  <c r="R40" i="7" s="1"/>
  <c r="J40" i="7"/>
  <c r="O39" i="7"/>
  <c r="M39" i="7"/>
  <c r="L39" i="7"/>
  <c r="K39" i="7"/>
  <c r="J39" i="7"/>
  <c r="O38" i="7"/>
  <c r="M38" i="7"/>
  <c r="L38" i="7"/>
  <c r="K38" i="7"/>
  <c r="Q38" i="7" s="1"/>
  <c r="R38" i="7" s="1"/>
  <c r="J38" i="7"/>
  <c r="O37" i="7"/>
  <c r="M37" i="7"/>
  <c r="L37" i="7"/>
  <c r="K37" i="7"/>
  <c r="J37" i="7"/>
  <c r="O36" i="7"/>
  <c r="M36" i="7"/>
  <c r="L36" i="7"/>
  <c r="K36" i="7"/>
  <c r="Q36" i="7" s="1"/>
  <c r="J36" i="7"/>
  <c r="O35" i="7"/>
  <c r="M35" i="7"/>
  <c r="L35" i="7"/>
  <c r="K35" i="7"/>
  <c r="Q35" i="7" s="1"/>
  <c r="J35" i="7"/>
  <c r="O34" i="7"/>
  <c r="M34" i="7"/>
  <c r="L34" i="7"/>
  <c r="K34" i="7"/>
  <c r="J34" i="7"/>
  <c r="O33" i="7"/>
  <c r="M33" i="7"/>
  <c r="L33" i="7"/>
  <c r="K33" i="7"/>
  <c r="Q33" i="7" s="1"/>
  <c r="J33" i="7"/>
  <c r="O32" i="7"/>
  <c r="M32" i="7"/>
  <c r="L32" i="7"/>
  <c r="K32" i="7"/>
  <c r="Q32" i="7" s="1"/>
  <c r="J32" i="7"/>
  <c r="O31" i="7"/>
  <c r="M31" i="7"/>
  <c r="L31" i="7"/>
  <c r="K31" i="7"/>
  <c r="Q31" i="7" s="1"/>
  <c r="J31" i="7"/>
  <c r="O30" i="7"/>
  <c r="M30" i="7"/>
  <c r="L30" i="7"/>
  <c r="K30" i="7"/>
  <c r="Q30" i="7" s="1"/>
  <c r="J30" i="7"/>
  <c r="O29" i="7"/>
  <c r="M29" i="7"/>
  <c r="L29" i="7"/>
  <c r="K29" i="7"/>
  <c r="Q29" i="7" s="1"/>
  <c r="R29" i="7" s="1"/>
  <c r="J29" i="7"/>
  <c r="O28" i="7"/>
  <c r="M28" i="7"/>
  <c r="L28" i="7"/>
  <c r="K28" i="7"/>
  <c r="J28" i="7"/>
  <c r="O27" i="7"/>
  <c r="M27" i="7"/>
  <c r="L27" i="7"/>
  <c r="K27" i="7"/>
  <c r="P27" i="7" s="1"/>
  <c r="J27" i="7"/>
  <c r="O26" i="7"/>
  <c r="M26" i="7"/>
  <c r="L26" i="7"/>
  <c r="K26" i="7"/>
  <c r="J26" i="7"/>
  <c r="O25" i="7"/>
  <c r="M25" i="7"/>
  <c r="L25" i="7"/>
  <c r="K25" i="7"/>
  <c r="Q25" i="7" s="1"/>
  <c r="J25" i="7"/>
  <c r="O24" i="7"/>
  <c r="M24" i="7"/>
  <c r="L24" i="7"/>
  <c r="K24" i="7"/>
  <c r="Q24" i="7" s="1"/>
  <c r="J24" i="7"/>
  <c r="O23" i="7"/>
  <c r="M23" i="7"/>
  <c r="L23" i="7"/>
  <c r="K23" i="7"/>
  <c r="Q23" i="7" s="1"/>
  <c r="R23" i="7" s="1"/>
  <c r="J23" i="7"/>
  <c r="O22" i="7"/>
  <c r="M22" i="7"/>
  <c r="L22" i="7"/>
  <c r="K22" i="7"/>
  <c r="P22" i="7" s="1"/>
  <c r="J22" i="7"/>
  <c r="O21" i="7"/>
  <c r="M21" i="7"/>
  <c r="L21" i="7"/>
  <c r="K21" i="7"/>
  <c r="Q21" i="7" s="1"/>
  <c r="R21" i="7" s="1"/>
  <c r="J21" i="7"/>
  <c r="O20" i="7"/>
  <c r="M20" i="7"/>
  <c r="L20" i="7"/>
  <c r="K20" i="7"/>
  <c r="J20" i="7"/>
  <c r="O19" i="7"/>
  <c r="M19" i="7"/>
  <c r="L19" i="7"/>
  <c r="K19" i="7"/>
  <c r="Q19" i="7" s="1"/>
  <c r="J19" i="7"/>
  <c r="O18" i="7"/>
  <c r="M18" i="7"/>
  <c r="L18" i="7"/>
  <c r="K18" i="7"/>
  <c r="J18" i="7"/>
  <c r="O17" i="7"/>
  <c r="M17" i="7"/>
  <c r="L17" i="7"/>
  <c r="K17" i="7"/>
  <c r="Q17" i="7" s="1"/>
  <c r="R17" i="7" s="1"/>
  <c r="J17" i="7"/>
  <c r="O16" i="7"/>
  <c r="M16" i="7"/>
  <c r="L16" i="7"/>
  <c r="K16" i="7"/>
  <c r="J16" i="7"/>
  <c r="O15" i="7"/>
  <c r="M15" i="7"/>
  <c r="L15" i="7"/>
  <c r="K15" i="7"/>
  <c r="Q15" i="7" s="1"/>
  <c r="R15" i="7" s="1"/>
  <c r="J15" i="7"/>
  <c r="O14" i="7"/>
  <c r="M14" i="7"/>
  <c r="L14" i="7"/>
  <c r="K14" i="7"/>
  <c r="Q14" i="7" s="1"/>
  <c r="J14" i="7"/>
  <c r="O13" i="7"/>
  <c r="M13" i="7"/>
  <c r="L13" i="7"/>
  <c r="K13" i="7"/>
  <c r="J13" i="7"/>
  <c r="O12" i="7"/>
  <c r="M12" i="7"/>
  <c r="L12" i="7"/>
  <c r="K12" i="7"/>
  <c r="Q12" i="7" s="1"/>
  <c r="R12" i="7" s="1"/>
  <c r="J12" i="7"/>
  <c r="O11" i="7"/>
  <c r="M11" i="7"/>
  <c r="L11" i="7"/>
  <c r="K11" i="7"/>
  <c r="J11" i="7"/>
  <c r="O10" i="7"/>
  <c r="M10" i="7"/>
  <c r="L10" i="7"/>
  <c r="K10" i="7"/>
  <c r="Q10" i="7" s="1"/>
  <c r="R10" i="7" s="1"/>
  <c r="J10" i="7"/>
  <c r="O9" i="7"/>
  <c r="M9" i="7"/>
  <c r="L9" i="7"/>
  <c r="K9" i="7"/>
  <c r="Q9" i="7" s="1"/>
  <c r="R9" i="7" s="1"/>
  <c r="J9" i="7"/>
  <c r="O8" i="7"/>
  <c r="M8" i="7"/>
  <c r="L8" i="7"/>
  <c r="K8" i="7"/>
  <c r="Q8" i="7" s="1"/>
  <c r="J8" i="7"/>
  <c r="O7" i="7"/>
  <c r="M7" i="7"/>
  <c r="L7" i="7"/>
  <c r="K7" i="7"/>
  <c r="Q7" i="7" s="1"/>
  <c r="J7" i="7"/>
  <c r="O6" i="7"/>
  <c r="M6" i="7"/>
  <c r="L6" i="7"/>
  <c r="K6" i="7"/>
  <c r="P6" i="7" s="1"/>
  <c r="J6" i="7"/>
  <c r="O5" i="7"/>
  <c r="M5" i="7"/>
  <c r="L5" i="7"/>
  <c r="K5" i="7"/>
  <c r="Q5" i="7" s="1"/>
  <c r="R5" i="7" s="1"/>
  <c r="J5" i="7"/>
  <c r="O4" i="7"/>
  <c r="M4" i="7"/>
  <c r="L4" i="7"/>
  <c r="K4" i="7"/>
  <c r="J4" i="7"/>
  <c r="O312" i="6"/>
  <c r="M312" i="6"/>
  <c r="L312" i="6"/>
  <c r="K312" i="6"/>
  <c r="J312" i="6"/>
  <c r="O311" i="6"/>
  <c r="M311" i="6"/>
  <c r="L311" i="6"/>
  <c r="K311" i="6"/>
  <c r="Q311" i="6" s="1"/>
  <c r="R311" i="6" s="1"/>
  <c r="J311" i="6"/>
  <c r="O310" i="6"/>
  <c r="M310" i="6"/>
  <c r="L310" i="6"/>
  <c r="K310" i="6"/>
  <c r="Q310" i="6" s="1"/>
  <c r="R310" i="6" s="1"/>
  <c r="J310" i="6"/>
  <c r="O309" i="6"/>
  <c r="M309" i="6"/>
  <c r="L309" i="6"/>
  <c r="K309" i="6"/>
  <c r="Q309" i="6" s="1"/>
  <c r="R309" i="6" s="1"/>
  <c r="J309" i="6"/>
  <c r="O308" i="6"/>
  <c r="M308" i="6"/>
  <c r="L308" i="6"/>
  <c r="K308" i="6"/>
  <c r="J308" i="6"/>
  <c r="O307" i="6"/>
  <c r="M307" i="6"/>
  <c r="L307" i="6"/>
  <c r="K307" i="6"/>
  <c r="P307" i="6" s="1"/>
  <c r="J307" i="6"/>
  <c r="O306" i="6"/>
  <c r="M306" i="6"/>
  <c r="L306" i="6"/>
  <c r="K306" i="6"/>
  <c r="J306" i="6"/>
  <c r="O305" i="6"/>
  <c r="M305" i="6"/>
  <c r="L305" i="6"/>
  <c r="K305" i="6"/>
  <c r="J305" i="6"/>
  <c r="O304" i="6"/>
  <c r="M304" i="6"/>
  <c r="L304" i="6"/>
  <c r="K304" i="6"/>
  <c r="Q304" i="6" s="1"/>
  <c r="R304" i="6" s="1"/>
  <c r="J304" i="6"/>
  <c r="O303" i="6"/>
  <c r="M303" i="6"/>
  <c r="L303" i="6"/>
  <c r="K303" i="6"/>
  <c r="J303" i="6"/>
  <c r="O302" i="6"/>
  <c r="M302" i="6"/>
  <c r="L302" i="6"/>
  <c r="K302" i="6"/>
  <c r="J302" i="6"/>
  <c r="O301" i="6"/>
  <c r="M301" i="6"/>
  <c r="L301" i="6"/>
  <c r="K301" i="6"/>
  <c r="P301" i="6" s="1"/>
  <c r="J301" i="6"/>
  <c r="O300" i="6"/>
  <c r="M300" i="6"/>
  <c r="L300" i="6"/>
  <c r="K300" i="6"/>
  <c r="J300" i="6"/>
  <c r="O299" i="6"/>
  <c r="M299" i="6"/>
  <c r="L299" i="6"/>
  <c r="K299" i="6"/>
  <c r="Q299" i="6" s="1"/>
  <c r="R299" i="6" s="1"/>
  <c r="J299" i="6"/>
  <c r="O298" i="6"/>
  <c r="M298" i="6"/>
  <c r="L298" i="6"/>
  <c r="K298" i="6"/>
  <c r="Q298" i="6" s="1"/>
  <c r="R298" i="6" s="1"/>
  <c r="J298" i="6"/>
  <c r="O297" i="6"/>
  <c r="M297" i="6"/>
  <c r="L297" i="6"/>
  <c r="K297" i="6"/>
  <c r="Q297" i="6" s="1"/>
  <c r="R297" i="6" s="1"/>
  <c r="J297" i="6"/>
  <c r="O296" i="6"/>
  <c r="M296" i="6"/>
  <c r="L296" i="6"/>
  <c r="K296" i="6"/>
  <c r="Q296" i="6" s="1"/>
  <c r="R296" i="6" s="1"/>
  <c r="J296" i="6"/>
  <c r="O295" i="6"/>
  <c r="M295" i="6"/>
  <c r="L295" i="6"/>
  <c r="K295" i="6"/>
  <c r="J295" i="6"/>
  <c r="O294" i="6"/>
  <c r="M294" i="6"/>
  <c r="L294" i="6"/>
  <c r="K294" i="6"/>
  <c r="Q294" i="6" s="1"/>
  <c r="R294" i="6" s="1"/>
  <c r="J294" i="6"/>
  <c r="O293" i="6"/>
  <c r="M293" i="6"/>
  <c r="L293" i="6"/>
  <c r="K293" i="6"/>
  <c r="P293" i="6" s="1"/>
  <c r="J293" i="6"/>
  <c r="O292" i="6"/>
  <c r="M292" i="6"/>
  <c r="L292" i="6"/>
  <c r="K292" i="6"/>
  <c r="J292" i="6"/>
  <c r="O291" i="6"/>
  <c r="M291" i="6"/>
  <c r="L291" i="6"/>
  <c r="K291" i="6"/>
  <c r="Q291" i="6" s="1"/>
  <c r="R291" i="6" s="1"/>
  <c r="J291" i="6"/>
  <c r="O290" i="6"/>
  <c r="M290" i="6"/>
  <c r="L290" i="6"/>
  <c r="K290" i="6"/>
  <c r="Q290" i="6" s="1"/>
  <c r="R290" i="6" s="1"/>
  <c r="J290" i="6"/>
  <c r="O289" i="6"/>
  <c r="M289" i="6"/>
  <c r="L289" i="6"/>
  <c r="K289" i="6"/>
  <c r="J289" i="6"/>
  <c r="O288" i="6"/>
  <c r="M288" i="6"/>
  <c r="L288" i="6"/>
  <c r="K288" i="6"/>
  <c r="Q288" i="6" s="1"/>
  <c r="R288" i="6" s="1"/>
  <c r="J288" i="6"/>
  <c r="O287" i="6"/>
  <c r="M287" i="6"/>
  <c r="L287" i="6"/>
  <c r="K287" i="6"/>
  <c r="J287" i="6"/>
  <c r="O286" i="6"/>
  <c r="M286" i="6"/>
  <c r="L286" i="6"/>
  <c r="K286" i="6"/>
  <c r="J286" i="6"/>
  <c r="O285" i="6"/>
  <c r="M285" i="6"/>
  <c r="L285" i="6"/>
  <c r="K285" i="6"/>
  <c r="J285" i="6"/>
  <c r="O284" i="6"/>
  <c r="M284" i="6"/>
  <c r="L284" i="6"/>
  <c r="K284" i="6"/>
  <c r="J284" i="6"/>
  <c r="O283" i="6"/>
  <c r="M283" i="6"/>
  <c r="L283" i="6"/>
  <c r="K283" i="6"/>
  <c r="Q283" i="6" s="1"/>
  <c r="R283" i="6" s="1"/>
  <c r="J283" i="6"/>
  <c r="O282" i="6"/>
  <c r="M282" i="6"/>
  <c r="L282" i="6"/>
  <c r="K282" i="6"/>
  <c r="Q282" i="6" s="1"/>
  <c r="R282" i="6" s="1"/>
  <c r="J282" i="6"/>
  <c r="O281" i="6"/>
  <c r="M281" i="6"/>
  <c r="L281" i="6"/>
  <c r="K281" i="6"/>
  <c r="Q281" i="6" s="1"/>
  <c r="R281" i="6" s="1"/>
  <c r="J281" i="6"/>
  <c r="O280" i="6"/>
  <c r="M280" i="6"/>
  <c r="L280" i="6"/>
  <c r="K280" i="6"/>
  <c r="Q280" i="6" s="1"/>
  <c r="R280" i="6" s="1"/>
  <c r="J280" i="6"/>
  <c r="O279" i="6"/>
  <c r="M279" i="6"/>
  <c r="L279" i="6"/>
  <c r="K279" i="6"/>
  <c r="P279" i="6" s="1"/>
  <c r="J279" i="6"/>
  <c r="O278" i="6"/>
  <c r="M278" i="6"/>
  <c r="L278" i="6"/>
  <c r="K278" i="6"/>
  <c r="P278" i="6" s="1"/>
  <c r="J278" i="6"/>
  <c r="O277" i="6"/>
  <c r="M277" i="6"/>
  <c r="L277" i="6"/>
  <c r="K277" i="6"/>
  <c r="Q277" i="6" s="1"/>
  <c r="R277" i="6" s="1"/>
  <c r="J277" i="6"/>
  <c r="O276" i="6"/>
  <c r="M276" i="6"/>
  <c r="L276" i="6"/>
  <c r="K276" i="6"/>
  <c r="J276" i="6"/>
  <c r="O275" i="6"/>
  <c r="M275" i="6"/>
  <c r="L275" i="6"/>
  <c r="K275" i="6"/>
  <c r="J275" i="6"/>
  <c r="O274" i="6"/>
  <c r="M274" i="6"/>
  <c r="L274" i="6"/>
  <c r="K274" i="6"/>
  <c r="Q274" i="6" s="1"/>
  <c r="R274" i="6" s="1"/>
  <c r="J274" i="6"/>
  <c r="O273" i="6"/>
  <c r="M273" i="6"/>
  <c r="L273" i="6"/>
  <c r="K273" i="6"/>
  <c r="Q273" i="6" s="1"/>
  <c r="R273" i="6" s="1"/>
  <c r="J273" i="6"/>
  <c r="O272" i="6"/>
  <c r="M272" i="6"/>
  <c r="L272" i="6"/>
  <c r="K272" i="6"/>
  <c r="P272" i="6" s="1"/>
  <c r="J272" i="6"/>
  <c r="O271" i="6"/>
  <c r="M271" i="6"/>
  <c r="L271" i="6"/>
  <c r="K271" i="6"/>
  <c r="P271" i="6" s="1"/>
  <c r="J271" i="6"/>
  <c r="O270" i="6"/>
  <c r="M270" i="6"/>
  <c r="L270" i="6"/>
  <c r="K270" i="6"/>
  <c r="P270" i="6" s="1"/>
  <c r="J270" i="6"/>
  <c r="O269" i="6"/>
  <c r="M269" i="6"/>
  <c r="L269" i="6"/>
  <c r="K269" i="6"/>
  <c r="P269" i="6" s="1"/>
  <c r="J269" i="6"/>
  <c r="O268" i="6"/>
  <c r="M268" i="6"/>
  <c r="L268" i="6"/>
  <c r="K268" i="6"/>
  <c r="J268" i="6"/>
  <c r="O267" i="6"/>
  <c r="M267" i="6"/>
  <c r="L267" i="6"/>
  <c r="K267" i="6"/>
  <c r="J267" i="6"/>
  <c r="O266" i="6"/>
  <c r="M266" i="6"/>
  <c r="L266" i="6"/>
  <c r="K266" i="6"/>
  <c r="J266" i="6"/>
  <c r="O265" i="6"/>
  <c r="M265" i="6"/>
  <c r="L265" i="6"/>
  <c r="K265" i="6"/>
  <c r="P265" i="6" s="1"/>
  <c r="J265" i="6"/>
  <c r="O264" i="6"/>
  <c r="M264" i="6"/>
  <c r="L264" i="6"/>
  <c r="K264" i="6"/>
  <c r="J264" i="6"/>
  <c r="O263" i="6"/>
  <c r="M263" i="6"/>
  <c r="L263" i="6"/>
  <c r="K263" i="6"/>
  <c r="P263" i="6" s="1"/>
  <c r="J263" i="6"/>
  <c r="O262" i="6"/>
  <c r="M262" i="6"/>
  <c r="L262" i="6"/>
  <c r="K262" i="6"/>
  <c r="Q262" i="6" s="1"/>
  <c r="R262" i="6" s="1"/>
  <c r="J262" i="6"/>
  <c r="O261" i="6"/>
  <c r="M261" i="6"/>
  <c r="L261" i="6"/>
  <c r="K261" i="6"/>
  <c r="Q261" i="6" s="1"/>
  <c r="R261" i="6" s="1"/>
  <c r="J261" i="6"/>
  <c r="O260" i="6"/>
  <c r="M260" i="6"/>
  <c r="L260" i="6"/>
  <c r="K260" i="6"/>
  <c r="J260" i="6"/>
  <c r="O259" i="6"/>
  <c r="M259" i="6"/>
  <c r="L259" i="6"/>
  <c r="K259" i="6"/>
  <c r="Q259" i="6" s="1"/>
  <c r="R259" i="6" s="1"/>
  <c r="J259" i="6"/>
  <c r="O258" i="6"/>
  <c r="M258" i="6"/>
  <c r="L258" i="6"/>
  <c r="K258" i="6"/>
  <c r="P258" i="6" s="1"/>
  <c r="J258" i="6"/>
  <c r="O257" i="6"/>
  <c r="M257" i="6"/>
  <c r="L257" i="6"/>
  <c r="K257" i="6"/>
  <c r="P257" i="6" s="1"/>
  <c r="J257" i="6"/>
  <c r="O256" i="6"/>
  <c r="M256" i="6"/>
  <c r="L256" i="6"/>
  <c r="K256" i="6"/>
  <c r="Q256" i="6" s="1"/>
  <c r="R256" i="6" s="1"/>
  <c r="J256" i="6"/>
  <c r="O255" i="6"/>
  <c r="M255" i="6"/>
  <c r="L255" i="6"/>
  <c r="K255" i="6"/>
  <c r="Q255" i="6" s="1"/>
  <c r="R255" i="6" s="1"/>
  <c r="J255" i="6"/>
  <c r="O254" i="6"/>
  <c r="M254" i="6"/>
  <c r="L254" i="6"/>
  <c r="K254" i="6"/>
  <c r="Q254" i="6" s="1"/>
  <c r="R254" i="6" s="1"/>
  <c r="J254" i="6"/>
  <c r="O253" i="6"/>
  <c r="M253" i="6"/>
  <c r="L253" i="6"/>
  <c r="K253" i="6"/>
  <c r="Q253" i="6" s="1"/>
  <c r="R253" i="6" s="1"/>
  <c r="J253" i="6"/>
  <c r="O252" i="6"/>
  <c r="M252" i="6"/>
  <c r="L252" i="6"/>
  <c r="K252" i="6"/>
  <c r="P252" i="6" s="1"/>
  <c r="J252" i="6"/>
  <c r="O251" i="6"/>
  <c r="M251" i="6"/>
  <c r="L251" i="6"/>
  <c r="K251" i="6"/>
  <c r="J251" i="6"/>
  <c r="O250" i="6"/>
  <c r="M250" i="6"/>
  <c r="L250" i="6"/>
  <c r="K250" i="6"/>
  <c r="Q250" i="6" s="1"/>
  <c r="R250" i="6" s="1"/>
  <c r="J250" i="6"/>
  <c r="O249" i="6"/>
  <c r="M249" i="6"/>
  <c r="L249" i="6"/>
  <c r="K249" i="6"/>
  <c r="J249" i="6"/>
  <c r="O248" i="6"/>
  <c r="M248" i="6"/>
  <c r="L248" i="6"/>
  <c r="K248" i="6"/>
  <c r="Q248" i="6" s="1"/>
  <c r="R248" i="6" s="1"/>
  <c r="J248" i="6"/>
  <c r="O247" i="6"/>
  <c r="M247" i="6"/>
  <c r="L247" i="6"/>
  <c r="K247" i="6"/>
  <c r="J247" i="6"/>
  <c r="O246" i="6"/>
  <c r="M246" i="6"/>
  <c r="L246" i="6"/>
  <c r="K246" i="6"/>
  <c r="J246" i="6"/>
  <c r="O245" i="6"/>
  <c r="M245" i="6"/>
  <c r="L245" i="6"/>
  <c r="K245" i="6"/>
  <c r="J245" i="6"/>
  <c r="O244" i="6"/>
  <c r="M244" i="6"/>
  <c r="L244" i="6"/>
  <c r="K244" i="6"/>
  <c r="J244" i="6"/>
  <c r="O243" i="6"/>
  <c r="M243" i="6"/>
  <c r="L243" i="6"/>
  <c r="K243" i="6"/>
  <c r="Q243" i="6" s="1"/>
  <c r="R243" i="6" s="1"/>
  <c r="J243" i="6"/>
  <c r="O242" i="6"/>
  <c r="M242" i="6"/>
  <c r="L242" i="6"/>
  <c r="K242" i="6"/>
  <c r="J242" i="6"/>
  <c r="O241" i="6"/>
  <c r="M241" i="6"/>
  <c r="L241" i="6"/>
  <c r="K241" i="6"/>
  <c r="P241" i="6" s="1"/>
  <c r="J241" i="6"/>
  <c r="O240" i="6"/>
  <c r="M240" i="6"/>
  <c r="L240" i="6"/>
  <c r="K240" i="6"/>
  <c r="J240" i="6"/>
  <c r="O239" i="6"/>
  <c r="M239" i="6"/>
  <c r="L239" i="6"/>
  <c r="K239" i="6"/>
  <c r="Q239" i="6" s="1"/>
  <c r="R239" i="6" s="1"/>
  <c r="J239" i="6"/>
  <c r="O238" i="6"/>
  <c r="M238" i="6"/>
  <c r="L238" i="6"/>
  <c r="K238" i="6"/>
  <c r="J238" i="6"/>
  <c r="O237" i="6"/>
  <c r="M237" i="6"/>
  <c r="L237" i="6"/>
  <c r="K237" i="6"/>
  <c r="J237" i="6"/>
  <c r="O236" i="6"/>
  <c r="M236" i="6"/>
  <c r="L236" i="6"/>
  <c r="K236" i="6"/>
  <c r="J236" i="6"/>
  <c r="O235" i="6"/>
  <c r="M235" i="6"/>
  <c r="L235" i="6"/>
  <c r="K235" i="6"/>
  <c r="J235" i="6"/>
  <c r="O234" i="6"/>
  <c r="M234" i="6"/>
  <c r="L234" i="6"/>
  <c r="K234" i="6"/>
  <c r="Q234" i="6" s="1"/>
  <c r="R234" i="6" s="1"/>
  <c r="J234" i="6"/>
  <c r="O233" i="6"/>
  <c r="M233" i="6"/>
  <c r="L233" i="6"/>
  <c r="K233" i="6"/>
  <c r="J233" i="6"/>
  <c r="O232" i="6"/>
  <c r="M232" i="6"/>
  <c r="L232" i="6"/>
  <c r="K232" i="6"/>
  <c r="Q232" i="6" s="1"/>
  <c r="R232" i="6" s="1"/>
  <c r="J232" i="6"/>
  <c r="O231" i="6"/>
  <c r="M231" i="6"/>
  <c r="L231" i="6"/>
  <c r="K231" i="6"/>
  <c r="J231" i="6"/>
  <c r="O230" i="6"/>
  <c r="M230" i="6"/>
  <c r="L230" i="6"/>
  <c r="K230" i="6"/>
  <c r="J230" i="6"/>
  <c r="O229" i="6"/>
  <c r="M229" i="6"/>
  <c r="L229" i="6"/>
  <c r="K229" i="6"/>
  <c r="Q229" i="6" s="1"/>
  <c r="R229" i="6" s="1"/>
  <c r="J229" i="6"/>
  <c r="O228" i="6"/>
  <c r="M228" i="6"/>
  <c r="L228" i="6"/>
  <c r="K228" i="6"/>
  <c r="J228" i="6"/>
  <c r="O227" i="6"/>
  <c r="M227" i="6"/>
  <c r="L227" i="6"/>
  <c r="K227" i="6"/>
  <c r="Q227" i="6" s="1"/>
  <c r="R227" i="6" s="1"/>
  <c r="J227" i="6"/>
  <c r="O226" i="6"/>
  <c r="M226" i="6"/>
  <c r="L226" i="6"/>
  <c r="K226" i="6"/>
  <c r="J226" i="6"/>
  <c r="O225" i="6"/>
  <c r="M225" i="6"/>
  <c r="L225" i="6"/>
  <c r="K225" i="6"/>
  <c r="P225" i="6" s="1"/>
  <c r="J225" i="6"/>
  <c r="O224" i="6"/>
  <c r="M224" i="6"/>
  <c r="L224" i="6"/>
  <c r="K224" i="6"/>
  <c r="J224" i="6"/>
  <c r="O223" i="6"/>
  <c r="M223" i="6"/>
  <c r="L223" i="6"/>
  <c r="K223" i="6"/>
  <c r="P223" i="6" s="1"/>
  <c r="J223" i="6"/>
  <c r="O222" i="6"/>
  <c r="M222" i="6"/>
  <c r="L222" i="6"/>
  <c r="K222" i="6"/>
  <c r="Q222" i="6" s="1"/>
  <c r="R222" i="6" s="1"/>
  <c r="J222" i="6"/>
  <c r="O221" i="6"/>
  <c r="M221" i="6"/>
  <c r="L221" i="6"/>
  <c r="K221" i="6"/>
  <c r="P221" i="6" s="1"/>
  <c r="J221" i="6"/>
  <c r="O220" i="6"/>
  <c r="M220" i="6"/>
  <c r="L220" i="6"/>
  <c r="K220" i="6"/>
  <c r="Q220" i="6" s="1"/>
  <c r="R220" i="6" s="1"/>
  <c r="J220" i="6"/>
  <c r="O219" i="6"/>
  <c r="M219" i="6"/>
  <c r="L219" i="6"/>
  <c r="K219" i="6"/>
  <c r="Q219" i="6" s="1"/>
  <c r="R219" i="6" s="1"/>
  <c r="J219" i="6"/>
  <c r="O218" i="6"/>
  <c r="M218" i="6"/>
  <c r="L218" i="6"/>
  <c r="K218" i="6"/>
  <c r="P218" i="6" s="1"/>
  <c r="J218" i="6"/>
  <c r="O217" i="6"/>
  <c r="M217" i="6"/>
  <c r="L217" i="6"/>
  <c r="K217" i="6"/>
  <c r="J217" i="6"/>
  <c r="O216" i="6"/>
  <c r="M216" i="6"/>
  <c r="L216" i="6"/>
  <c r="K216" i="6"/>
  <c r="P216" i="6" s="1"/>
  <c r="J216" i="6"/>
  <c r="O215" i="6"/>
  <c r="M215" i="6"/>
  <c r="L215" i="6"/>
  <c r="K215" i="6"/>
  <c r="Q215" i="6" s="1"/>
  <c r="R215" i="6" s="1"/>
  <c r="J215" i="6"/>
  <c r="O214" i="6"/>
  <c r="M214" i="6"/>
  <c r="L214" i="6"/>
  <c r="K214" i="6"/>
  <c r="Q214" i="6" s="1"/>
  <c r="R214" i="6" s="1"/>
  <c r="J214" i="6"/>
  <c r="O213" i="6"/>
  <c r="M213" i="6"/>
  <c r="L213" i="6"/>
  <c r="K213" i="6"/>
  <c r="Q213" i="6" s="1"/>
  <c r="R213" i="6" s="1"/>
  <c r="J213" i="6"/>
  <c r="O212" i="6"/>
  <c r="M212" i="6"/>
  <c r="L212" i="6"/>
  <c r="K212" i="6"/>
  <c r="Q212" i="6" s="1"/>
  <c r="R212" i="6" s="1"/>
  <c r="J212" i="6"/>
  <c r="O211" i="6"/>
  <c r="M211" i="6"/>
  <c r="L211" i="6"/>
  <c r="K211" i="6"/>
  <c r="J211" i="6"/>
  <c r="O210" i="6"/>
  <c r="M210" i="6"/>
  <c r="L210" i="6"/>
  <c r="K210" i="6"/>
  <c r="J210" i="6"/>
  <c r="O209" i="6"/>
  <c r="M209" i="6"/>
  <c r="L209" i="6"/>
  <c r="K209" i="6"/>
  <c r="J209" i="6"/>
  <c r="O208" i="6"/>
  <c r="M208" i="6"/>
  <c r="L208" i="6"/>
  <c r="K208" i="6"/>
  <c r="P208" i="6" s="1"/>
  <c r="J208" i="6"/>
  <c r="O207" i="6"/>
  <c r="M207" i="6"/>
  <c r="L207" i="6"/>
  <c r="K207" i="6"/>
  <c r="J207" i="6"/>
  <c r="O206" i="6"/>
  <c r="M206" i="6"/>
  <c r="L206" i="6"/>
  <c r="K206" i="6"/>
  <c r="Q206" i="6" s="1"/>
  <c r="R206" i="6" s="1"/>
  <c r="J206" i="6"/>
  <c r="O205" i="6"/>
  <c r="M205" i="6"/>
  <c r="L205" i="6"/>
  <c r="K205" i="6"/>
  <c r="J205" i="6"/>
  <c r="O204" i="6"/>
  <c r="M204" i="6"/>
  <c r="L204" i="6"/>
  <c r="K204" i="6"/>
  <c r="P204" i="6" s="1"/>
  <c r="J204" i="6"/>
  <c r="O203" i="6"/>
  <c r="M203" i="6"/>
  <c r="L203" i="6"/>
  <c r="K203" i="6"/>
  <c r="J203" i="6"/>
  <c r="O202" i="6"/>
  <c r="M202" i="6"/>
  <c r="L202" i="6"/>
  <c r="K202" i="6"/>
  <c r="P202" i="6" s="1"/>
  <c r="J202" i="6"/>
  <c r="O201" i="6"/>
  <c r="M201" i="6"/>
  <c r="L201" i="6"/>
  <c r="K201" i="6"/>
  <c r="J201" i="6"/>
  <c r="O200" i="6"/>
  <c r="M200" i="6"/>
  <c r="L200" i="6"/>
  <c r="K200" i="6"/>
  <c r="P200" i="6" s="1"/>
  <c r="J200" i="6"/>
  <c r="O199" i="6"/>
  <c r="M199" i="6"/>
  <c r="L199" i="6"/>
  <c r="K199" i="6"/>
  <c r="P199" i="6" s="1"/>
  <c r="J199" i="6"/>
  <c r="O198" i="6"/>
  <c r="M198" i="6"/>
  <c r="L198" i="6"/>
  <c r="K198" i="6"/>
  <c r="J198" i="6"/>
  <c r="O197" i="6"/>
  <c r="M197" i="6"/>
  <c r="L197" i="6"/>
  <c r="K197" i="6"/>
  <c r="J197" i="6"/>
  <c r="O196" i="6"/>
  <c r="M196" i="6"/>
  <c r="L196" i="6"/>
  <c r="K196" i="6"/>
  <c r="J196" i="6"/>
  <c r="O195" i="6"/>
  <c r="M195" i="6"/>
  <c r="L195" i="6"/>
  <c r="K195" i="6"/>
  <c r="P195" i="6" s="1"/>
  <c r="J195" i="6"/>
  <c r="O194" i="6"/>
  <c r="M194" i="6"/>
  <c r="L194" i="6"/>
  <c r="K194" i="6"/>
  <c r="P194" i="6" s="1"/>
  <c r="J194" i="6"/>
  <c r="O193" i="6"/>
  <c r="M193" i="6"/>
  <c r="L193" i="6"/>
  <c r="K193" i="6"/>
  <c r="Q193" i="6" s="1"/>
  <c r="R193" i="6" s="1"/>
  <c r="J193" i="6"/>
  <c r="O192" i="6"/>
  <c r="M192" i="6"/>
  <c r="L192" i="6"/>
  <c r="K192" i="6"/>
  <c r="Q192" i="6" s="1"/>
  <c r="R192" i="6" s="1"/>
  <c r="J192" i="6"/>
  <c r="O191" i="6"/>
  <c r="M191" i="6"/>
  <c r="L191" i="6"/>
  <c r="K191" i="6"/>
  <c r="Q191" i="6" s="1"/>
  <c r="R191" i="6" s="1"/>
  <c r="J191" i="6"/>
  <c r="O190" i="6"/>
  <c r="M190" i="6"/>
  <c r="L190" i="6"/>
  <c r="K190" i="6"/>
  <c r="J190" i="6"/>
  <c r="O189" i="6"/>
  <c r="M189" i="6"/>
  <c r="L189" i="6"/>
  <c r="K189" i="6"/>
  <c r="Q189" i="6" s="1"/>
  <c r="R189" i="6" s="1"/>
  <c r="J189" i="6"/>
  <c r="O188" i="6"/>
  <c r="M188" i="6"/>
  <c r="L188" i="6"/>
  <c r="K188" i="6"/>
  <c r="J188" i="6"/>
  <c r="O187" i="6"/>
  <c r="M187" i="6"/>
  <c r="L187" i="6"/>
  <c r="K187" i="6"/>
  <c r="Q187" i="6" s="1"/>
  <c r="R187" i="6" s="1"/>
  <c r="J187" i="6"/>
  <c r="O186" i="6"/>
  <c r="M186" i="6"/>
  <c r="L186" i="6"/>
  <c r="K186" i="6"/>
  <c r="J186" i="6"/>
  <c r="O185" i="6"/>
  <c r="M185" i="6"/>
  <c r="L185" i="6"/>
  <c r="K185" i="6"/>
  <c r="J185" i="6"/>
  <c r="O184" i="6"/>
  <c r="M184" i="6"/>
  <c r="L184" i="6"/>
  <c r="K184" i="6"/>
  <c r="J184" i="6"/>
  <c r="O183" i="6"/>
  <c r="M183" i="6"/>
  <c r="L183" i="6"/>
  <c r="K183" i="6"/>
  <c r="P183" i="6" s="1"/>
  <c r="J183" i="6"/>
  <c r="O182" i="6"/>
  <c r="M182" i="6"/>
  <c r="L182" i="6"/>
  <c r="K182" i="6"/>
  <c r="P182" i="6" s="1"/>
  <c r="J182" i="6"/>
  <c r="O181" i="6"/>
  <c r="M181" i="6"/>
  <c r="L181" i="6"/>
  <c r="K181" i="6"/>
  <c r="P181" i="6" s="1"/>
  <c r="J181" i="6"/>
  <c r="O180" i="6"/>
  <c r="M180" i="6"/>
  <c r="L180" i="6"/>
  <c r="K180" i="6"/>
  <c r="Q180" i="6" s="1"/>
  <c r="R180" i="6" s="1"/>
  <c r="J180" i="6"/>
  <c r="O179" i="6"/>
  <c r="M179" i="6"/>
  <c r="L179" i="6"/>
  <c r="K179" i="6"/>
  <c r="Q179" i="6" s="1"/>
  <c r="R179" i="6" s="1"/>
  <c r="J179" i="6"/>
  <c r="O178" i="6"/>
  <c r="M178" i="6"/>
  <c r="L178" i="6"/>
  <c r="K178" i="6"/>
  <c r="J178" i="6"/>
  <c r="O177" i="6"/>
  <c r="M177" i="6"/>
  <c r="L177" i="6"/>
  <c r="K177" i="6"/>
  <c r="J177" i="6"/>
  <c r="O176" i="6"/>
  <c r="M176" i="6"/>
  <c r="L176" i="6"/>
  <c r="K176" i="6"/>
  <c r="Q176" i="6" s="1"/>
  <c r="R176" i="6" s="1"/>
  <c r="J176" i="6"/>
  <c r="O175" i="6"/>
  <c r="M175" i="6"/>
  <c r="L175" i="6"/>
  <c r="K175" i="6"/>
  <c r="J175" i="6"/>
  <c r="O174" i="6"/>
  <c r="M174" i="6"/>
  <c r="L174" i="6"/>
  <c r="K174" i="6"/>
  <c r="P174" i="6" s="1"/>
  <c r="J174" i="6"/>
  <c r="O173" i="6"/>
  <c r="M173" i="6"/>
  <c r="L173" i="6"/>
  <c r="K173" i="6"/>
  <c r="J173" i="6"/>
  <c r="O172" i="6"/>
  <c r="M172" i="6"/>
  <c r="L172" i="6"/>
  <c r="K172" i="6"/>
  <c r="Q172" i="6" s="1"/>
  <c r="R172" i="6" s="1"/>
  <c r="J172" i="6"/>
  <c r="O171" i="6"/>
  <c r="M171" i="6"/>
  <c r="L171" i="6"/>
  <c r="K171" i="6"/>
  <c r="J171" i="6"/>
  <c r="O170" i="6"/>
  <c r="M170" i="6"/>
  <c r="L170" i="6"/>
  <c r="K170" i="6"/>
  <c r="P170" i="6" s="1"/>
  <c r="J170" i="6"/>
  <c r="O169" i="6"/>
  <c r="M169" i="6"/>
  <c r="L169" i="6"/>
  <c r="K169" i="6"/>
  <c r="Q169" i="6" s="1"/>
  <c r="R169" i="6" s="1"/>
  <c r="J169" i="6"/>
  <c r="O168" i="6"/>
  <c r="M168" i="6"/>
  <c r="L168" i="6"/>
  <c r="K168" i="6"/>
  <c r="J168" i="6"/>
  <c r="O167" i="6"/>
  <c r="M167" i="6"/>
  <c r="L167" i="6"/>
  <c r="K167" i="6"/>
  <c r="J167" i="6"/>
  <c r="O166" i="6"/>
  <c r="M166" i="6"/>
  <c r="L166" i="6"/>
  <c r="K166" i="6"/>
  <c r="J166" i="6"/>
  <c r="O165" i="6"/>
  <c r="M165" i="6"/>
  <c r="L165" i="6"/>
  <c r="K165" i="6"/>
  <c r="J165" i="6"/>
  <c r="O164" i="6"/>
  <c r="M164" i="6"/>
  <c r="L164" i="6"/>
  <c r="K164" i="6"/>
  <c r="P164" i="6" s="1"/>
  <c r="J164" i="6"/>
  <c r="O163" i="6"/>
  <c r="M163" i="6"/>
  <c r="L163" i="6"/>
  <c r="K163" i="6"/>
  <c r="Q163" i="6" s="1"/>
  <c r="R163" i="6" s="1"/>
  <c r="J163" i="6"/>
  <c r="O162" i="6"/>
  <c r="M162" i="6"/>
  <c r="L162" i="6"/>
  <c r="K162" i="6"/>
  <c r="J162" i="6"/>
  <c r="O161" i="6"/>
  <c r="M161" i="6"/>
  <c r="L161" i="6"/>
  <c r="K161" i="6"/>
  <c r="P161" i="6" s="1"/>
  <c r="J161" i="6"/>
  <c r="O160" i="6"/>
  <c r="M160" i="6"/>
  <c r="L160" i="6"/>
  <c r="K160" i="6"/>
  <c r="P160" i="6" s="1"/>
  <c r="J160" i="6"/>
  <c r="O159" i="6"/>
  <c r="M159" i="6"/>
  <c r="L159" i="6"/>
  <c r="K159" i="6"/>
  <c r="P159" i="6" s="1"/>
  <c r="J159" i="6"/>
  <c r="O158" i="6"/>
  <c r="M158" i="6"/>
  <c r="L158" i="6"/>
  <c r="K158" i="6"/>
  <c r="P158" i="6" s="1"/>
  <c r="J158" i="6"/>
  <c r="O157" i="6"/>
  <c r="M157" i="6"/>
  <c r="L157" i="6"/>
  <c r="K157" i="6"/>
  <c r="Q157" i="6" s="1"/>
  <c r="R157" i="6" s="1"/>
  <c r="J157" i="6"/>
  <c r="O156" i="6"/>
  <c r="M156" i="6"/>
  <c r="L156" i="6"/>
  <c r="K156" i="6"/>
  <c r="J156" i="6"/>
  <c r="O155" i="6"/>
  <c r="M155" i="6"/>
  <c r="L155" i="6"/>
  <c r="K155" i="6"/>
  <c r="J155" i="6"/>
  <c r="O154" i="6"/>
  <c r="M154" i="6"/>
  <c r="L154" i="6"/>
  <c r="K154" i="6"/>
  <c r="P154" i="6" s="1"/>
  <c r="J154" i="6"/>
  <c r="O153" i="6"/>
  <c r="M153" i="6"/>
  <c r="L153" i="6"/>
  <c r="K153" i="6"/>
  <c r="J153" i="6"/>
  <c r="O152" i="6"/>
  <c r="M152" i="6"/>
  <c r="L152" i="6"/>
  <c r="K152" i="6"/>
  <c r="J152" i="6"/>
  <c r="O151" i="6"/>
  <c r="M151" i="6"/>
  <c r="L151" i="6"/>
  <c r="K151" i="6"/>
  <c r="P151" i="6" s="1"/>
  <c r="J151" i="6"/>
  <c r="O150" i="6"/>
  <c r="M150" i="6"/>
  <c r="L150" i="6"/>
  <c r="K150" i="6"/>
  <c r="P150" i="6" s="1"/>
  <c r="J150" i="6"/>
  <c r="O149" i="6"/>
  <c r="M149" i="6"/>
  <c r="L149" i="6"/>
  <c r="K149" i="6"/>
  <c r="J149" i="6"/>
  <c r="O148" i="6"/>
  <c r="M148" i="6"/>
  <c r="L148" i="6"/>
  <c r="K148" i="6"/>
  <c r="J148" i="6"/>
  <c r="O147" i="6"/>
  <c r="M147" i="6"/>
  <c r="L147" i="6"/>
  <c r="K147" i="6"/>
  <c r="P147" i="6" s="1"/>
  <c r="J147" i="6"/>
  <c r="O146" i="6"/>
  <c r="M146" i="6"/>
  <c r="L146" i="6"/>
  <c r="K146" i="6"/>
  <c r="J146" i="6"/>
  <c r="O145" i="6"/>
  <c r="M145" i="6"/>
  <c r="L145" i="6"/>
  <c r="K145" i="6"/>
  <c r="Q145" i="6" s="1"/>
  <c r="R145" i="6" s="1"/>
  <c r="J145" i="6"/>
  <c r="O144" i="6"/>
  <c r="M144" i="6"/>
  <c r="L144" i="6"/>
  <c r="K144" i="6"/>
  <c r="Q144" i="6" s="1"/>
  <c r="R144" i="6" s="1"/>
  <c r="J144" i="6"/>
  <c r="O143" i="6"/>
  <c r="M143" i="6"/>
  <c r="L143" i="6"/>
  <c r="K143" i="6"/>
  <c r="P143" i="6" s="1"/>
  <c r="J143" i="6"/>
  <c r="O142" i="6"/>
  <c r="M142" i="6"/>
  <c r="L142" i="6"/>
  <c r="K142" i="6"/>
  <c r="Q142" i="6" s="1"/>
  <c r="R142" i="6" s="1"/>
  <c r="J142" i="6"/>
  <c r="O141" i="6"/>
  <c r="M141" i="6"/>
  <c r="L141" i="6"/>
  <c r="K141" i="6"/>
  <c r="J141" i="6"/>
  <c r="O140" i="6"/>
  <c r="M140" i="6"/>
  <c r="L140" i="6"/>
  <c r="K140" i="6"/>
  <c r="Q140" i="6" s="1"/>
  <c r="R140" i="6" s="1"/>
  <c r="J140" i="6"/>
  <c r="O139" i="6"/>
  <c r="M139" i="6"/>
  <c r="L139" i="6"/>
  <c r="K139" i="6"/>
  <c r="J139" i="6"/>
  <c r="O138" i="6"/>
  <c r="M138" i="6"/>
  <c r="L138" i="6"/>
  <c r="K138" i="6"/>
  <c r="J138" i="6"/>
  <c r="O137" i="6"/>
  <c r="M137" i="6"/>
  <c r="L137" i="6"/>
  <c r="K137" i="6"/>
  <c r="J137" i="6"/>
  <c r="O136" i="6"/>
  <c r="M136" i="6"/>
  <c r="L136" i="6"/>
  <c r="K136" i="6"/>
  <c r="P136" i="6" s="1"/>
  <c r="J136" i="6"/>
  <c r="O135" i="6"/>
  <c r="M135" i="6"/>
  <c r="L135" i="6"/>
  <c r="K135" i="6"/>
  <c r="J135" i="6"/>
  <c r="O134" i="6"/>
  <c r="M134" i="6"/>
  <c r="L134" i="6"/>
  <c r="K134" i="6"/>
  <c r="Q134" i="6" s="1"/>
  <c r="R134" i="6" s="1"/>
  <c r="J134" i="6"/>
  <c r="O133" i="6"/>
  <c r="M133" i="6"/>
  <c r="L133" i="6"/>
  <c r="K133" i="6"/>
  <c r="J133" i="6"/>
  <c r="O132" i="6"/>
  <c r="M132" i="6"/>
  <c r="L132" i="6"/>
  <c r="K132" i="6"/>
  <c r="P132" i="6" s="1"/>
  <c r="J132" i="6"/>
  <c r="O131" i="6"/>
  <c r="M131" i="6"/>
  <c r="L131" i="6"/>
  <c r="K131" i="6"/>
  <c r="J131" i="6"/>
  <c r="O130" i="6"/>
  <c r="M130" i="6"/>
  <c r="L130" i="6"/>
  <c r="K130" i="6"/>
  <c r="P130" i="6" s="1"/>
  <c r="J130" i="6"/>
  <c r="O129" i="6"/>
  <c r="M129" i="6"/>
  <c r="L129" i="6"/>
  <c r="K129" i="6"/>
  <c r="Q129" i="6" s="1"/>
  <c r="R129" i="6" s="1"/>
  <c r="J129" i="6"/>
  <c r="O128" i="6"/>
  <c r="M128" i="6"/>
  <c r="L128" i="6"/>
  <c r="K128" i="6"/>
  <c r="J128" i="6"/>
  <c r="O127" i="6"/>
  <c r="M127" i="6"/>
  <c r="L127" i="6"/>
  <c r="K127" i="6"/>
  <c r="Q127" i="6" s="1"/>
  <c r="R127" i="6" s="1"/>
  <c r="J127" i="6"/>
  <c r="O126" i="6"/>
  <c r="M126" i="6"/>
  <c r="L126" i="6"/>
  <c r="K126" i="6"/>
  <c r="Q126" i="6" s="1"/>
  <c r="R126" i="6" s="1"/>
  <c r="J126" i="6"/>
  <c r="O125" i="6"/>
  <c r="M125" i="6"/>
  <c r="L125" i="6"/>
  <c r="K125" i="6"/>
  <c r="P125" i="6" s="1"/>
  <c r="J125" i="6"/>
  <c r="O124" i="6"/>
  <c r="M124" i="6"/>
  <c r="L124" i="6"/>
  <c r="K124" i="6"/>
  <c r="J124" i="6"/>
  <c r="O123" i="6"/>
  <c r="M123" i="6"/>
  <c r="L123" i="6"/>
  <c r="K123" i="6"/>
  <c r="Q123" i="6" s="1"/>
  <c r="R123" i="6" s="1"/>
  <c r="J123" i="6"/>
  <c r="O122" i="6"/>
  <c r="M122" i="6"/>
  <c r="L122" i="6"/>
  <c r="K122" i="6"/>
  <c r="J122" i="6"/>
  <c r="O121" i="6"/>
  <c r="M121" i="6"/>
  <c r="L121" i="6"/>
  <c r="K121" i="6"/>
  <c r="P121" i="6" s="1"/>
  <c r="J121" i="6"/>
  <c r="O120" i="6"/>
  <c r="M120" i="6"/>
  <c r="L120" i="6"/>
  <c r="K120" i="6"/>
  <c r="J120" i="6"/>
  <c r="O119" i="6"/>
  <c r="M119" i="6"/>
  <c r="L119" i="6"/>
  <c r="K119" i="6"/>
  <c r="J119" i="6"/>
  <c r="O118" i="6"/>
  <c r="M118" i="6"/>
  <c r="L118" i="6"/>
  <c r="K118" i="6"/>
  <c r="J118" i="6"/>
  <c r="O117" i="6"/>
  <c r="M117" i="6"/>
  <c r="L117" i="6"/>
  <c r="K117" i="6"/>
  <c r="J117" i="6"/>
  <c r="O116" i="6"/>
  <c r="M116" i="6"/>
  <c r="L116" i="6"/>
  <c r="K116" i="6"/>
  <c r="Q116" i="6" s="1"/>
  <c r="R116" i="6" s="1"/>
  <c r="J116" i="6"/>
  <c r="O115" i="6"/>
  <c r="M115" i="6"/>
  <c r="L115" i="6"/>
  <c r="K115" i="6"/>
  <c r="P115" i="6" s="1"/>
  <c r="J115" i="6"/>
  <c r="O114" i="6"/>
  <c r="M114" i="6"/>
  <c r="L114" i="6"/>
  <c r="K114" i="6"/>
  <c r="P114" i="6" s="1"/>
  <c r="J114" i="6"/>
  <c r="O113" i="6"/>
  <c r="M113" i="6"/>
  <c r="L113" i="6"/>
  <c r="K113" i="6"/>
  <c r="P113" i="6" s="1"/>
  <c r="J113" i="6"/>
  <c r="O112" i="6"/>
  <c r="M112" i="6"/>
  <c r="L112" i="6"/>
  <c r="K112" i="6"/>
  <c r="J112" i="6"/>
  <c r="O111" i="6"/>
  <c r="M111" i="6"/>
  <c r="L111" i="6"/>
  <c r="K111" i="6"/>
  <c r="P111" i="6" s="1"/>
  <c r="J111" i="6"/>
  <c r="O110" i="6"/>
  <c r="M110" i="6"/>
  <c r="L110" i="6"/>
  <c r="K110" i="6"/>
  <c r="J110" i="6"/>
  <c r="O109" i="6"/>
  <c r="M109" i="6"/>
  <c r="L109" i="6"/>
  <c r="K109" i="6"/>
  <c r="Q109" i="6" s="1"/>
  <c r="J109" i="6"/>
  <c r="O108" i="6"/>
  <c r="M108" i="6"/>
  <c r="L108" i="6"/>
  <c r="K108" i="6"/>
  <c r="Q108" i="6" s="1"/>
  <c r="R108" i="6" s="1"/>
  <c r="J108" i="6"/>
  <c r="O107" i="6"/>
  <c r="M107" i="6"/>
  <c r="L107" i="6"/>
  <c r="K107" i="6"/>
  <c r="Q107" i="6" s="1"/>
  <c r="R107" i="6" s="1"/>
  <c r="J107" i="6"/>
  <c r="O106" i="6"/>
  <c r="M106" i="6"/>
  <c r="L106" i="6"/>
  <c r="K106" i="6"/>
  <c r="Q106" i="6" s="1"/>
  <c r="R106" i="6" s="1"/>
  <c r="J106" i="6"/>
  <c r="O105" i="6"/>
  <c r="M105" i="6"/>
  <c r="L105" i="6"/>
  <c r="K105" i="6"/>
  <c r="Q105" i="6" s="1"/>
  <c r="R105" i="6" s="1"/>
  <c r="J105" i="6"/>
  <c r="O104" i="6"/>
  <c r="M104" i="6"/>
  <c r="L104" i="6"/>
  <c r="K104" i="6"/>
  <c r="J104" i="6"/>
  <c r="O103" i="6"/>
  <c r="M103" i="6"/>
  <c r="L103" i="6"/>
  <c r="K103" i="6"/>
  <c r="Q103" i="6" s="1"/>
  <c r="R103" i="6" s="1"/>
  <c r="J103" i="6"/>
  <c r="O102" i="6"/>
  <c r="M102" i="6"/>
  <c r="L102" i="6"/>
  <c r="K102" i="6"/>
  <c r="J102" i="6"/>
  <c r="O101" i="6"/>
  <c r="M101" i="6"/>
  <c r="L101" i="6"/>
  <c r="K101" i="6"/>
  <c r="Q101" i="6" s="1"/>
  <c r="R101" i="6" s="1"/>
  <c r="J101" i="6"/>
  <c r="O100" i="6"/>
  <c r="M100" i="6"/>
  <c r="L100" i="6"/>
  <c r="K100" i="6"/>
  <c r="J100" i="6"/>
  <c r="O99" i="6"/>
  <c r="M99" i="6"/>
  <c r="L99" i="6"/>
  <c r="K99" i="6"/>
  <c r="J99" i="6"/>
  <c r="O98" i="6"/>
  <c r="M98" i="6"/>
  <c r="L98" i="6"/>
  <c r="K98" i="6"/>
  <c r="Q98" i="6" s="1"/>
  <c r="R98" i="6" s="1"/>
  <c r="J98" i="6"/>
  <c r="O97" i="6"/>
  <c r="M97" i="6"/>
  <c r="L97" i="6"/>
  <c r="K97" i="6"/>
  <c r="J97" i="6"/>
  <c r="O96" i="6"/>
  <c r="M96" i="6"/>
  <c r="L96" i="6"/>
  <c r="K96" i="6"/>
  <c r="P96" i="6" s="1"/>
  <c r="J96" i="6"/>
  <c r="O95" i="6"/>
  <c r="M95" i="6"/>
  <c r="L95" i="6"/>
  <c r="K95" i="6"/>
  <c r="J95" i="6"/>
  <c r="O94" i="6"/>
  <c r="M94" i="6"/>
  <c r="L94" i="6"/>
  <c r="K94" i="6"/>
  <c r="P94" i="6" s="1"/>
  <c r="J94" i="6"/>
  <c r="O93" i="6"/>
  <c r="M93" i="6"/>
  <c r="L93" i="6"/>
  <c r="K93" i="6"/>
  <c r="J93" i="6"/>
  <c r="O92" i="6"/>
  <c r="M92" i="6"/>
  <c r="L92" i="6"/>
  <c r="K92" i="6"/>
  <c r="Q92" i="6" s="1"/>
  <c r="R92" i="6" s="1"/>
  <c r="J92" i="6"/>
  <c r="O91" i="6"/>
  <c r="M91" i="6"/>
  <c r="L91" i="6"/>
  <c r="K91" i="6"/>
  <c r="Q91" i="6" s="1"/>
  <c r="R91" i="6" s="1"/>
  <c r="J91" i="6"/>
  <c r="O90" i="6"/>
  <c r="M90" i="6"/>
  <c r="L90" i="6"/>
  <c r="K90" i="6"/>
  <c r="J90" i="6"/>
  <c r="O89" i="6"/>
  <c r="M89" i="6"/>
  <c r="L89" i="6"/>
  <c r="K89" i="6"/>
  <c r="Q89" i="6" s="1"/>
  <c r="R89" i="6" s="1"/>
  <c r="J89" i="6"/>
  <c r="O88" i="6"/>
  <c r="M88" i="6"/>
  <c r="L88" i="6"/>
  <c r="K88" i="6"/>
  <c r="J88" i="6"/>
  <c r="O87" i="6"/>
  <c r="M87" i="6"/>
  <c r="L87" i="6"/>
  <c r="K87" i="6"/>
  <c r="P87" i="6" s="1"/>
  <c r="J87" i="6"/>
  <c r="O86" i="6"/>
  <c r="M86" i="6"/>
  <c r="L86" i="6"/>
  <c r="K86" i="6"/>
  <c r="P86" i="6" s="1"/>
  <c r="J86" i="6"/>
  <c r="O85" i="6"/>
  <c r="M85" i="6"/>
  <c r="L85" i="6"/>
  <c r="K85" i="6"/>
  <c r="Q85" i="6" s="1"/>
  <c r="R85" i="6" s="1"/>
  <c r="J85" i="6"/>
  <c r="O84" i="6"/>
  <c r="M84" i="6"/>
  <c r="L84" i="6"/>
  <c r="K84" i="6"/>
  <c r="J84" i="6"/>
  <c r="O83" i="6"/>
  <c r="M83" i="6"/>
  <c r="L83" i="6"/>
  <c r="K83" i="6"/>
  <c r="P83" i="6" s="1"/>
  <c r="J83" i="6"/>
  <c r="O82" i="6"/>
  <c r="M82" i="6"/>
  <c r="L82" i="6"/>
  <c r="K82" i="6"/>
  <c r="J82" i="6"/>
  <c r="O81" i="6"/>
  <c r="M81" i="6"/>
  <c r="L81" i="6"/>
  <c r="K81" i="6"/>
  <c r="P81" i="6" s="1"/>
  <c r="J81" i="6"/>
  <c r="O80" i="6"/>
  <c r="M80" i="6"/>
  <c r="L80" i="6"/>
  <c r="K80" i="6"/>
  <c r="Q80" i="6" s="1"/>
  <c r="R80" i="6" s="1"/>
  <c r="J80" i="6"/>
  <c r="O79" i="6"/>
  <c r="M79" i="6"/>
  <c r="L79" i="6"/>
  <c r="K79" i="6"/>
  <c r="Q79" i="6" s="1"/>
  <c r="R79" i="6" s="1"/>
  <c r="J79" i="6"/>
  <c r="O78" i="6"/>
  <c r="M78" i="6"/>
  <c r="L78" i="6"/>
  <c r="K78" i="6"/>
  <c r="J78" i="6"/>
  <c r="O77" i="6"/>
  <c r="M77" i="6"/>
  <c r="L77" i="6"/>
  <c r="K77" i="6"/>
  <c r="Q77" i="6" s="1"/>
  <c r="R77" i="6" s="1"/>
  <c r="J77" i="6"/>
  <c r="O76" i="6"/>
  <c r="M76" i="6"/>
  <c r="L76" i="6"/>
  <c r="K76" i="6"/>
  <c r="P76" i="6" s="1"/>
  <c r="J76" i="6"/>
  <c r="O75" i="6"/>
  <c r="M75" i="6"/>
  <c r="L75" i="6"/>
  <c r="K75" i="6"/>
  <c r="J75" i="6"/>
  <c r="O74" i="6"/>
  <c r="M74" i="6"/>
  <c r="L74" i="6"/>
  <c r="K74" i="6"/>
  <c r="Q74" i="6" s="1"/>
  <c r="R74" i="6" s="1"/>
  <c r="J74" i="6"/>
  <c r="O73" i="6"/>
  <c r="M73" i="6"/>
  <c r="L73" i="6"/>
  <c r="K73" i="6"/>
  <c r="P73" i="6" s="1"/>
  <c r="J73" i="6"/>
  <c r="O72" i="6"/>
  <c r="M72" i="6"/>
  <c r="L72" i="6"/>
  <c r="K72" i="6"/>
  <c r="Q72" i="6" s="1"/>
  <c r="R72" i="6" s="1"/>
  <c r="J72" i="6"/>
  <c r="O71" i="6"/>
  <c r="M71" i="6"/>
  <c r="L71" i="6"/>
  <c r="K71" i="6"/>
  <c r="J71" i="6"/>
  <c r="O70" i="6"/>
  <c r="M70" i="6"/>
  <c r="L70" i="6"/>
  <c r="K70" i="6"/>
  <c r="Q70" i="6" s="1"/>
  <c r="R70" i="6" s="1"/>
  <c r="J70" i="6"/>
  <c r="O69" i="6"/>
  <c r="M69" i="6"/>
  <c r="L69" i="6"/>
  <c r="K69" i="6"/>
  <c r="J69" i="6"/>
  <c r="O68" i="6"/>
  <c r="M68" i="6"/>
  <c r="L68" i="6"/>
  <c r="K68" i="6"/>
  <c r="Q68" i="6" s="1"/>
  <c r="R68" i="6" s="1"/>
  <c r="J68" i="6"/>
  <c r="O67" i="6"/>
  <c r="M67" i="6"/>
  <c r="L67" i="6"/>
  <c r="K67" i="6"/>
  <c r="J67" i="6"/>
  <c r="O66" i="6"/>
  <c r="M66" i="6"/>
  <c r="L66" i="6"/>
  <c r="K66" i="6"/>
  <c r="J66" i="6"/>
  <c r="O65" i="6"/>
  <c r="M65" i="6"/>
  <c r="L65" i="6"/>
  <c r="K65" i="6"/>
  <c r="J65" i="6"/>
  <c r="O64" i="6"/>
  <c r="M64" i="6"/>
  <c r="L64" i="6"/>
  <c r="K64" i="6"/>
  <c r="P64" i="6" s="1"/>
  <c r="J64" i="6"/>
  <c r="O63" i="6"/>
  <c r="M63" i="6"/>
  <c r="L63" i="6"/>
  <c r="K63" i="6"/>
  <c r="Q63" i="6" s="1"/>
  <c r="R63" i="6" s="1"/>
  <c r="J63" i="6"/>
  <c r="O62" i="6"/>
  <c r="M62" i="6"/>
  <c r="L62" i="6"/>
  <c r="K62" i="6"/>
  <c r="P62" i="6" s="1"/>
  <c r="J62" i="6"/>
  <c r="O61" i="6"/>
  <c r="M61" i="6"/>
  <c r="L61" i="6"/>
  <c r="K61" i="6"/>
  <c r="P61" i="6" s="1"/>
  <c r="J61" i="6"/>
  <c r="O60" i="6"/>
  <c r="M60" i="6"/>
  <c r="L60" i="6"/>
  <c r="K60" i="6"/>
  <c r="P60" i="6" s="1"/>
  <c r="J60" i="6"/>
  <c r="O59" i="6"/>
  <c r="M59" i="6"/>
  <c r="L59" i="6"/>
  <c r="K59" i="6"/>
  <c r="Q59" i="6" s="1"/>
  <c r="R59" i="6" s="1"/>
  <c r="J59" i="6"/>
  <c r="O58" i="6"/>
  <c r="M58" i="6"/>
  <c r="L58" i="6"/>
  <c r="K58" i="6"/>
  <c r="J58" i="6"/>
  <c r="O57" i="6"/>
  <c r="M57" i="6"/>
  <c r="L57" i="6"/>
  <c r="K57" i="6"/>
  <c r="Q57" i="6" s="1"/>
  <c r="R57" i="6" s="1"/>
  <c r="J57" i="6"/>
  <c r="O56" i="6"/>
  <c r="M56" i="6"/>
  <c r="L56" i="6"/>
  <c r="K56" i="6"/>
  <c r="J56" i="6"/>
  <c r="O55" i="6"/>
  <c r="M55" i="6"/>
  <c r="L55" i="6"/>
  <c r="K55" i="6"/>
  <c r="P55" i="6" s="1"/>
  <c r="J55" i="6"/>
  <c r="O54" i="6"/>
  <c r="M54" i="6"/>
  <c r="L54" i="6"/>
  <c r="K54" i="6"/>
  <c r="J54" i="6"/>
  <c r="O53" i="6"/>
  <c r="M53" i="6"/>
  <c r="L53" i="6"/>
  <c r="K53" i="6"/>
  <c r="P53" i="6" s="1"/>
  <c r="J53" i="6"/>
  <c r="O52" i="6"/>
  <c r="M52" i="6"/>
  <c r="L52" i="6"/>
  <c r="K52" i="6"/>
  <c r="Q52" i="6" s="1"/>
  <c r="R52" i="6" s="1"/>
  <c r="J52" i="6"/>
  <c r="O51" i="6"/>
  <c r="M51" i="6"/>
  <c r="L51" i="6"/>
  <c r="K51" i="6"/>
  <c r="P51" i="6" s="1"/>
  <c r="J51" i="6"/>
  <c r="O50" i="6"/>
  <c r="M50" i="6"/>
  <c r="L50" i="6"/>
  <c r="K50" i="6"/>
  <c r="Q50" i="6" s="1"/>
  <c r="R50" i="6" s="1"/>
  <c r="J50" i="6"/>
  <c r="O49" i="6"/>
  <c r="M49" i="6"/>
  <c r="L49" i="6"/>
  <c r="K49" i="6"/>
  <c r="Q49" i="6" s="1"/>
  <c r="R49" i="6" s="1"/>
  <c r="J49" i="6"/>
  <c r="O48" i="6"/>
  <c r="M48" i="6"/>
  <c r="L48" i="6"/>
  <c r="K48" i="6"/>
  <c r="P48" i="6" s="1"/>
  <c r="J48" i="6"/>
  <c r="O47" i="6"/>
  <c r="M47" i="6"/>
  <c r="L47" i="6"/>
  <c r="K47" i="6"/>
  <c r="Q47" i="6" s="1"/>
  <c r="R47" i="6" s="1"/>
  <c r="J47" i="6"/>
  <c r="O46" i="6"/>
  <c r="M46" i="6"/>
  <c r="L46" i="6"/>
  <c r="K46" i="6"/>
  <c r="Q46" i="6" s="1"/>
  <c r="R46" i="6" s="1"/>
  <c r="J46" i="6"/>
  <c r="O45" i="6"/>
  <c r="M45" i="6"/>
  <c r="L45" i="6"/>
  <c r="K45" i="6"/>
  <c r="Q45" i="6" s="1"/>
  <c r="J45" i="6"/>
  <c r="O44" i="6"/>
  <c r="M44" i="6"/>
  <c r="L44" i="6"/>
  <c r="K44" i="6"/>
  <c r="Q44" i="6" s="1"/>
  <c r="J44" i="6"/>
  <c r="O43" i="6"/>
  <c r="M43" i="6"/>
  <c r="L43" i="6"/>
  <c r="K43" i="6"/>
  <c r="J43" i="6"/>
  <c r="O42" i="6"/>
  <c r="M42" i="6"/>
  <c r="L42" i="6"/>
  <c r="K42" i="6"/>
  <c r="J42" i="6"/>
  <c r="O41" i="6"/>
  <c r="M41" i="6"/>
  <c r="L41" i="6"/>
  <c r="K41" i="6"/>
  <c r="J41" i="6"/>
  <c r="O40" i="6"/>
  <c r="M40" i="6"/>
  <c r="L40" i="6"/>
  <c r="K40" i="6"/>
  <c r="Q40" i="6" s="1"/>
  <c r="R40" i="6" s="1"/>
  <c r="J40" i="6"/>
  <c r="O39" i="6"/>
  <c r="M39" i="6"/>
  <c r="L39" i="6"/>
  <c r="K39" i="6"/>
  <c r="J39" i="6"/>
  <c r="O38" i="6"/>
  <c r="M38" i="6"/>
  <c r="L38" i="6"/>
  <c r="K38" i="6"/>
  <c r="Q38" i="6" s="1"/>
  <c r="R38" i="6" s="1"/>
  <c r="J38" i="6"/>
  <c r="O37" i="6"/>
  <c r="M37" i="6"/>
  <c r="L37" i="6"/>
  <c r="K37" i="6"/>
  <c r="J37" i="6"/>
  <c r="O36" i="6"/>
  <c r="M36" i="6"/>
  <c r="L36" i="6"/>
  <c r="K36" i="6"/>
  <c r="Q36" i="6" s="1"/>
  <c r="J36" i="6"/>
  <c r="O35" i="6"/>
  <c r="M35" i="6"/>
  <c r="L35" i="6"/>
  <c r="K35" i="6"/>
  <c r="J35" i="6"/>
  <c r="O34" i="6"/>
  <c r="M34" i="6"/>
  <c r="L34" i="6"/>
  <c r="K34" i="6"/>
  <c r="J34" i="6"/>
  <c r="O33" i="6"/>
  <c r="M33" i="6"/>
  <c r="L33" i="6"/>
  <c r="K33" i="6"/>
  <c r="Q33" i="6" s="1"/>
  <c r="J33" i="6"/>
  <c r="O32" i="6"/>
  <c r="M32" i="6"/>
  <c r="L32" i="6"/>
  <c r="K32" i="6"/>
  <c r="J32" i="6"/>
  <c r="O31" i="6"/>
  <c r="M31" i="6"/>
  <c r="L31" i="6"/>
  <c r="K31" i="6"/>
  <c r="Q31" i="6" s="1"/>
  <c r="J31" i="6"/>
  <c r="O30" i="6"/>
  <c r="M30" i="6"/>
  <c r="L30" i="6"/>
  <c r="K30" i="6"/>
  <c r="J30" i="6"/>
  <c r="O29" i="6"/>
  <c r="M29" i="6"/>
  <c r="L29" i="6"/>
  <c r="K29" i="6"/>
  <c r="P29" i="6" s="1"/>
  <c r="J29" i="6"/>
  <c r="O28" i="6"/>
  <c r="M28" i="6"/>
  <c r="L28" i="6"/>
  <c r="K28" i="6"/>
  <c r="Q28" i="6" s="1"/>
  <c r="R28" i="6" s="1"/>
  <c r="J28" i="6"/>
  <c r="O27" i="6"/>
  <c r="M27" i="6"/>
  <c r="L27" i="6"/>
  <c r="K27" i="6"/>
  <c r="P27" i="6" s="1"/>
  <c r="J27" i="6"/>
  <c r="O26" i="6"/>
  <c r="M26" i="6"/>
  <c r="L26" i="6"/>
  <c r="K26" i="6"/>
  <c r="Q26" i="6" s="1"/>
  <c r="J26" i="6"/>
  <c r="O25" i="6"/>
  <c r="M25" i="6"/>
  <c r="L25" i="6"/>
  <c r="K25" i="6"/>
  <c r="J25" i="6"/>
  <c r="O24" i="6"/>
  <c r="M24" i="6"/>
  <c r="L24" i="6"/>
  <c r="K24" i="6"/>
  <c r="Q24" i="6" s="1"/>
  <c r="R24" i="6" s="1"/>
  <c r="J24" i="6"/>
  <c r="O23" i="6"/>
  <c r="M23" i="6"/>
  <c r="L23" i="6"/>
  <c r="K23" i="6"/>
  <c r="J23" i="6"/>
  <c r="O22" i="6"/>
  <c r="M22" i="6"/>
  <c r="L22" i="6"/>
  <c r="K22" i="6"/>
  <c r="Q22" i="6" s="1"/>
  <c r="R22" i="6" s="1"/>
  <c r="J22" i="6"/>
  <c r="O21" i="6"/>
  <c r="M21" i="6"/>
  <c r="L21" i="6"/>
  <c r="K21" i="6"/>
  <c r="J21" i="6"/>
  <c r="O20" i="6"/>
  <c r="M20" i="6"/>
  <c r="L20" i="6"/>
  <c r="K20" i="6"/>
  <c r="P20" i="6" s="1"/>
  <c r="J20" i="6"/>
  <c r="O19" i="6"/>
  <c r="M19" i="6"/>
  <c r="L19" i="6"/>
  <c r="K19" i="6"/>
  <c r="J19" i="6"/>
  <c r="O18" i="6"/>
  <c r="M18" i="6"/>
  <c r="L18" i="6"/>
  <c r="K18" i="6"/>
  <c r="J18" i="6"/>
  <c r="O17" i="6"/>
  <c r="M17" i="6"/>
  <c r="L17" i="6"/>
  <c r="K17" i="6"/>
  <c r="J17" i="6"/>
  <c r="O16" i="6"/>
  <c r="M16" i="6"/>
  <c r="L16" i="6"/>
  <c r="K16" i="6"/>
  <c r="P16" i="6" s="1"/>
  <c r="J16" i="6"/>
  <c r="O15" i="6"/>
  <c r="M15" i="6"/>
  <c r="L15" i="6"/>
  <c r="K15" i="6"/>
  <c r="Q15" i="6" s="1"/>
  <c r="R15" i="6" s="1"/>
  <c r="J15" i="6"/>
  <c r="O14" i="6"/>
  <c r="M14" i="6"/>
  <c r="L14" i="6"/>
  <c r="K14" i="6"/>
  <c r="P14" i="6" s="1"/>
  <c r="J14" i="6"/>
  <c r="O13" i="6"/>
  <c r="M13" i="6"/>
  <c r="L13" i="6"/>
  <c r="K13" i="6"/>
  <c r="Q13" i="6" s="1"/>
  <c r="R13" i="6" s="1"/>
  <c r="J13" i="6"/>
  <c r="O12" i="6"/>
  <c r="M12" i="6"/>
  <c r="L12" i="6"/>
  <c r="K12" i="6"/>
  <c r="J12" i="6"/>
  <c r="O11" i="6"/>
  <c r="M11" i="6"/>
  <c r="L11" i="6"/>
  <c r="K11" i="6"/>
  <c r="Q11" i="6" s="1"/>
  <c r="R11" i="6" s="1"/>
  <c r="J11" i="6"/>
  <c r="O10" i="6"/>
  <c r="M10" i="6"/>
  <c r="L10" i="6"/>
  <c r="K10" i="6"/>
  <c r="J10" i="6"/>
  <c r="O9" i="6"/>
  <c r="M9" i="6"/>
  <c r="L9" i="6"/>
  <c r="K9" i="6"/>
  <c r="Q9" i="6" s="1"/>
  <c r="R9" i="6" s="1"/>
  <c r="J9" i="6"/>
  <c r="O8" i="6"/>
  <c r="M8" i="6"/>
  <c r="L8" i="6"/>
  <c r="K8" i="6"/>
  <c r="Q8" i="6" s="1"/>
  <c r="J8" i="6"/>
  <c r="O7" i="6"/>
  <c r="M7" i="6"/>
  <c r="L7" i="6"/>
  <c r="K7" i="6"/>
  <c r="Q7" i="6" s="1"/>
  <c r="J7" i="6"/>
  <c r="O6" i="6"/>
  <c r="M6" i="6"/>
  <c r="L6" i="6"/>
  <c r="K6" i="6"/>
  <c r="J6" i="6"/>
  <c r="O5" i="6"/>
  <c r="M5" i="6"/>
  <c r="L5" i="6"/>
  <c r="K5" i="6"/>
  <c r="Q5" i="6" s="1"/>
  <c r="R5" i="6" s="1"/>
  <c r="J5" i="6"/>
  <c r="O4" i="6"/>
  <c r="M4" i="6"/>
  <c r="L4" i="6"/>
  <c r="K4" i="6"/>
  <c r="Q4" i="6" s="1"/>
  <c r="R4" i="6" s="1"/>
  <c r="J4" i="6"/>
  <c r="P243" i="7" l="1"/>
  <c r="P249" i="13"/>
  <c r="P172" i="7"/>
  <c r="P51" i="9"/>
  <c r="I1" i="10"/>
  <c r="J1" i="8"/>
  <c r="I1" i="5"/>
  <c r="I1" i="2"/>
  <c r="P282" i="13"/>
  <c r="Q108" i="13"/>
  <c r="R108" i="13" s="1"/>
  <c r="P285" i="13"/>
  <c r="P302" i="13"/>
  <c r="P280" i="13"/>
  <c r="P286" i="13"/>
  <c r="P300" i="13"/>
  <c r="P289" i="13"/>
  <c r="P279" i="13"/>
  <c r="P293" i="13"/>
  <c r="P307" i="13"/>
  <c r="Q106" i="13"/>
  <c r="R106" i="13" s="1"/>
  <c r="P26" i="13"/>
  <c r="P305" i="13"/>
  <c r="P21" i="13"/>
  <c r="P43" i="13"/>
  <c r="P70" i="13"/>
  <c r="Q181" i="13"/>
  <c r="R181" i="13" s="1"/>
  <c r="P140" i="13"/>
  <c r="P148" i="13"/>
  <c r="P198" i="13"/>
  <c r="P206" i="13"/>
  <c r="P259" i="13"/>
  <c r="Q251" i="13"/>
  <c r="R251" i="13" s="1"/>
  <c r="P267" i="13"/>
  <c r="P91" i="13"/>
  <c r="P262" i="13"/>
  <c r="Q83" i="13"/>
  <c r="R83" i="13" s="1"/>
  <c r="P130" i="13"/>
  <c r="Q162" i="13"/>
  <c r="R162" i="13" s="1"/>
  <c r="Q208" i="13"/>
  <c r="R208" i="13" s="1"/>
  <c r="Q62" i="13"/>
  <c r="R62" i="13" s="1"/>
  <c r="P101" i="13"/>
  <c r="P239" i="13"/>
  <c r="P297" i="13"/>
  <c r="P128" i="13"/>
  <c r="Q160" i="13"/>
  <c r="R160" i="13" s="1"/>
  <c r="P193" i="13"/>
  <c r="Q231" i="13"/>
  <c r="R231" i="13" s="1"/>
  <c r="Q289" i="13"/>
  <c r="Q41" i="13"/>
  <c r="R41" i="13" s="1"/>
  <c r="P271" i="13"/>
  <c r="P276" i="13"/>
  <c r="P158" i="13"/>
  <c r="P287" i="13"/>
  <c r="P28" i="13"/>
  <c r="P115" i="13"/>
  <c r="P150" i="13"/>
  <c r="P269" i="13"/>
  <c r="P65" i="13"/>
  <c r="P86" i="13"/>
  <c r="P16" i="13"/>
  <c r="Q126" i="13"/>
  <c r="R126" i="13" s="1"/>
  <c r="Q179" i="13"/>
  <c r="R179" i="13" s="1"/>
  <c r="P79" i="13"/>
  <c r="P136" i="13"/>
  <c r="P308" i="13"/>
  <c r="P6" i="13"/>
  <c r="P14" i="13"/>
  <c r="Q34" i="13"/>
  <c r="R34" i="13" s="1"/>
  <c r="Q55" i="13"/>
  <c r="R55" i="13" s="1"/>
  <c r="P63" i="13"/>
  <c r="P124" i="13"/>
  <c r="P131" i="13"/>
  <c r="P169" i="13"/>
  <c r="P177" i="13"/>
  <c r="Q202" i="13"/>
  <c r="R202" i="13" s="1"/>
  <c r="P215" i="13"/>
  <c r="P235" i="13"/>
  <c r="P290" i="13"/>
  <c r="P36" i="13"/>
  <c r="P81" i="13"/>
  <c r="Q133" i="13"/>
  <c r="R133" i="13" s="1"/>
  <c r="P222" i="13"/>
  <c r="P94" i="13"/>
  <c r="P99" i="13"/>
  <c r="Q153" i="13"/>
  <c r="R153" i="13" s="1"/>
  <c r="P217" i="13"/>
  <c r="Q237" i="13"/>
  <c r="R237" i="13" s="1"/>
  <c r="P39" i="13"/>
  <c r="Q89" i="13"/>
  <c r="R89" i="13" s="1"/>
  <c r="Q260" i="13"/>
  <c r="R260" i="13" s="1"/>
  <c r="P129" i="13"/>
  <c r="Q151" i="13"/>
  <c r="R151" i="13" s="1"/>
  <c r="P192" i="13"/>
  <c r="Q258" i="13"/>
  <c r="R258" i="13" s="1"/>
  <c r="P311" i="13"/>
  <c r="P295" i="13"/>
  <c r="P32" i="13"/>
  <c r="P112" i="13"/>
  <c r="P122" i="13"/>
  <c r="Q139" i="13"/>
  <c r="R139" i="13" s="1"/>
  <c r="P149" i="13"/>
  <c r="P164" i="13"/>
  <c r="Q182" i="13"/>
  <c r="R182" i="13" s="1"/>
  <c r="Q210" i="13"/>
  <c r="R210" i="13" s="1"/>
  <c r="P233" i="13"/>
  <c r="P248" i="13"/>
  <c r="P253" i="13"/>
  <c r="P283" i="13"/>
  <c r="P306" i="13"/>
  <c r="Q53" i="13"/>
  <c r="R53" i="13" s="1"/>
  <c r="P82" i="13"/>
  <c r="P144" i="13"/>
  <c r="Q200" i="13"/>
  <c r="R200" i="13" s="1"/>
  <c r="Q228" i="13"/>
  <c r="R228" i="13" s="1"/>
  <c r="P278" i="13"/>
  <c r="P304" i="13"/>
  <c r="P110" i="13"/>
  <c r="P120" i="13"/>
  <c r="P180" i="13"/>
  <c r="P185" i="13"/>
  <c r="P190" i="13"/>
  <c r="P226" i="13"/>
  <c r="P246" i="13"/>
  <c r="P256" i="13"/>
  <c r="P51" i="13"/>
  <c r="Q142" i="13"/>
  <c r="R142" i="13" s="1"/>
  <c r="Q38" i="13"/>
  <c r="R38" i="13" s="1"/>
  <c r="P45" i="13"/>
  <c r="P50" i="13"/>
  <c r="Q52" i="13"/>
  <c r="R52" i="13" s="1"/>
  <c r="Q57" i="13"/>
  <c r="R57" i="13" s="1"/>
  <c r="P71" i="13"/>
  <c r="Q80" i="13"/>
  <c r="R80" i="13" s="1"/>
  <c r="P87" i="13"/>
  <c r="Q119" i="13"/>
  <c r="R119" i="13" s="1"/>
  <c r="Q135" i="13"/>
  <c r="R135" i="13" s="1"/>
  <c r="P137" i="13"/>
  <c r="Q171" i="13"/>
  <c r="R171" i="13" s="1"/>
  <c r="Q178" i="13"/>
  <c r="R178" i="13" s="1"/>
  <c r="P189" i="13"/>
  <c r="Q191" i="13"/>
  <c r="R191" i="13" s="1"/>
  <c r="P207" i="13"/>
  <c r="P241" i="13"/>
  <c r="P255" i="13"/>
  <c r="P257" i="13"/>
  <c r="Q264" i="13"/>
  <c r="R264" i="13" s="1"/>
  <c r="Q280" i="13"/>
  <c r="P296" i="13"/>
  <c r="Q298" i="13"/>
  <c r="R298" i="13" s="1"/>
  <c r="Q35" i="13"/>
  <c r="R35" i="13" s="1"/>
  <c r="P68" i="13"/>
  <c r="P109" i="13"/>
  <c r="P220" i="13"/>
  <c r="P227" i="13"/>
  <c r="P309" i="13"/>
  <c r="P30" i="13"/>
  <c r="P5" i="13"/>
  <c r="P12" i="13"/>
  <c r="P24" i="13"/>
  <c r="Q44" i="13"/>
  <c r="R44" i="13" s="1"/>
  <c r="P88" i="13"/>
  <c r="Q104" i="13"/>
  <c r="R104" i="13" s="1"/>
  <c r="Q113" i="13"/>
  <c r="R113" i="13" s="1"/>
  <c r="P168" i="13"/>
  <c r="Q188" i="13"/>
  <c r="R188" i="13" s="1"/>
  <c r="P197" i="13"/>
  <c r="P199" i="13"/>
  <c r="P213" i="13"/>
  <c r="P229" i="13"/>
  <c r="P238" i="13"/>
  <c r="Q240" i="13"/>
  <c r="R240" i="13" s="1"/>
  <c r="Q242" i="13"/>
  <c r="R242" i="13" s="1"/>
  <c r="P247" i="13"/>
  <c r="Q249" i="13"/>
  <c r="P288" i="13"/>
  <c r="Q302" i="13"/>
  <c r="P33" i="13"/>
  <c r="Q286" i="13"/>
  <c r="P22" i="13"/>
  <c r="Q31" i="13"/>
  <c r="R31" i="13" s="1"/>
  <c r="Q132" i="13"/>
  <c r="R132" i="13" s="1"/>
  <c r="P157" i="13"/>
  <c r="Q184" i="13"/>
  <c r="R184" i="13" s="1"/>
  <c r="P234" i="13"/>
  <c r="Q10" i="13"/>
  <c r="R10" i="13" s="1"/>
  <c r="P59" i="13"/>
  <c r="P66" i="13"/>
  <c r="P73" i="13"/>
  <c r="Q75" i="13"/>
  <c r="R75" i="13" s="1"/>
  <c r="P100" i="13"/>
  <c r="Q102" i="13"/>
  <c r="R102" i="13" s="1"/>
  <c r="P141" i="13"/>
  <c r="P143" i="13"/>
  <c r="Q159" i="13"/>
  <c r="R159" i="13" s="1"/>
  <c r="Q166" i="13"/>
  <c r="R166" i="13" s="1"/>
  <c r="P173" i="13"/>
  <c r="Q186" i="13"/>
  <c r="R186" i="13" s="1"/>
  <c r="Q211" i="13"/>
  <c r="R211" i="13" s="1"/>
  <c r="P218" i="13"/>
  <c r="P266" i="13"/>
  <c r="P268" i="13"/>
  <c r="P275" i="13"/>
  <c r="Q282" i="13"/>
  <c r="P284" i="13"/>
  <c r="Q300" i="13"/>
  <c r="Q307" i="13"/>
  <c r="P77" i="13"/>
  <c r="Q111" i="13"/>
  <c r="R111" i="13" s="1"/>
  <c r="Q161" i="13"/>
  <c r="R161" i="13" s="1"/>
  <c r="P204" i="13"/>
  <c r="Q84" i="13"/>
  <c r="R84" i="13" s="1"/>
  <c r="P95" i="13"/>
  <c r="P61" i="13"/>
  <c r="Q93" i="13"/>
  <c r="R93" i="13" s="1"/>
  <c r="Q8" i="13"/>
  <c r="R8" i="13" s="1"/>
  <c r="Q15" i="13"/>
  <c r="R15" i="13" s="1"/>
  <c r="Q64" i="13"/>
  <c r="R64" i="13" s="1"/>
  <c r="P155" i="13"/>
  <c r="Q209" i="13"/>
  <c r="R209" i="13" s="1"/>
  <c r="P20" i="13"/>
  <c r="Q20" i="13"/>
  <c r="R20" i="13" s="1"/>
  <c r="Q245" i="13"/>
  <c r="R245" i="13" s="1"/>
  <c r="P245" i="13"/>
  <c r="Q18" i="13"/>
  <c r="R18" i="13" s="1"/>
  <c r="P18" i="13"/>
  <c r="Q147" i="13"/>
  <c r="R147" i="13" s="1"/>
  <c r="P147" i="13"/>
  <c r="Q196" i="13"/>
  <c r="R196" i="13" s="1"/>
  <c r="P196" i="13"/>
  <c r="Q274" i="13"/>
  <c r="R274" i="13" s="1"/>
  <c r="P274" i="13"/>
  <c r="Q292" i="13"/>
  <c r="P292" i="13"/>
  <c r="Q98" i="13"/>
  <c r="R98" i="13" s="1"/>
  <c r="P98" i="13"/>
  <c r="Q176" i="13"/>
  <c r="R176" i="13" s="1"/>
  <c r="P176" i="13"/>
  <c r="Q225" i="13"/>
  <c r="R225" i="13" s="1"/>
  <c r="P225" i="13"/>
  <c r="Q243" i="13"/>
  <c r="R243" i="13" s="1"/>
  <c r="P243" i="13"/>
  <c r="P272" i="13"/>
  <c r="Q272" i="13"/>
  <c r="R272" i="13" s="1"/>
  <c r="Q145" i="13"/>
  <c r="R145" i="13" s="1"/>
  <c r="P145" i="13"/>
  <c r="P174" i="13"/>
  <c r="Q174" i="13"/>
  <c r="R174" i="13" s="1"/>
  <c r="Q194" i="13"/>
  <c r="R194" i="13" s="1"/>
  <c r="P194" i="13"/>
  <c r="P223" i="13"/>
  <c r="Q223" i="13"/>
  <c r="R223" i="13" s="1"/>
  <c r="Q303" i="13"/>
  <c r="P303" i="13"/>
  <c r="Q172" i="13"/>
  <c r="R172" i="13" s="1"/>
  <c r="P172" i="13"/>
  <c r="Q254" i="13"/>
  <c r="R254" i="13" s="1"/>
  <c r="P254" i="13"/>
  <c r="Q301" i="13"/>
  <c r="P301" i="13"/>
  <c r="Q123" i="13"/>
  <c r="R123" i="13" s="1"/>
  <c r="P123" i="13"/>
  <c r="Q156" i="13"/>
  <c r="R156" i="13" s="1"/>
  <c r="P156" i="13"/>
  <c r="Q252" i="13"/>
  <c r="R252" i="13" s="1"/>
  <c r="P252" i="13"/>
  <c r="Q107" i="13"/>
  <c r="R107" i="13" s="1"/>
  <c r="P107" i="13"/>
  <c r="Q203" i="13"/>
  <c r="R203" i="13" s="1"/>
  <c r="P203" i="13"/>
  <c r="P219" i="13"/>
  <c r="Q281" i="13"/>
  <c r="P281" i="13"/>
  <c r="Q29" i="13"/>
  <c r="R29" i="13" s="1"/>
  <c r="P29" i="13"/>
  <c r="Q42" i="13"/>
  <c r="R42" i="13" s="1"/>
  <c r="P27" i="13"/>
  <c r="Q27" i="13"/>
  <c r="R27" i="13" s="1"/>
  <c r="P46" i="13"/>
  <c r="P74" i="13"/>
  <c r="Q121" i="13"/>
  <c r="R121" i="13" s="1"/>
  <c r="P134" i="13"/>
  <c r="Q134" i="13"/>
  <c r="R134" i="13" s="1"/>
  <c r="P183" i="13"/>
  <c r="Q183" i="13"/>
  <c r="R183" i="13" s="1"/>
  <c r="P265" i="13"/>
  <c r="Q265" i="13"/>
  <c r="P19" i="13"/>
  <c r="P167" i="13"/>
  <c r="Q167" i="13"/>
  <c r="R167" i="13" s="1"/>
  <c r="P216" i="13"/>
  <c r="Q216" i="13"/>
  <c r="R216" i="13" s="1"/>
  <c r="Q263" i="13"/>
  <c r="R263" i="13" s="1"/>
  <c r="P263" i="13"/>
  <c r="Q293" i="13"/>
  <c r="Q312" i="13"/>
  <c r="R312" i="13" s="1"/>
  <c r="P312" i="13"/>
  <c r="Q7" i="13"/>
  <c r="R7" i="13" s="1"/>
  <c r="P9" i="13"/>
  <c r="P13" i="13"/>
  <c r="P17" i="13"/>
  <c r="P23" i="13"/>
  <c r="Q67" i="13"/>
  <c r="R67" i="13" s="1"/>
  <c r="P67" i="13"/>
  <c r="P118" i="13"/>
  <c r="Q118" i="13"/>
  <c r="R118" i="13" s="1"/>
  <c r="P152" i="13"/>
  <c r="Q165" i="13"/>
  <c r="R165" i="13" s="1"/>
  <c r="P165" i="13"/>
  <c r="P201" i="13"/>
  <c r="Q214" i="13"/>
  <c r="R214" i="13" s="1"/>
  <c r="P214" i="13"/>
  <c r="Q244" i="13"/>
  <c r="R244" i="13" s="1"/>
  <c r="Q261" i="13"/>
  <c r="R261" i="13" s="1"/>
  <c r="P261" i="13"/>
  <c r="P273" i="13"/>
  <c r="Q285" i="13"/>
  <c r="Q310" i="13"/>
  <c r="P310" i="13"/>
  <c r="Q78" i="13"/>
  <c r="R78" i="13" s="1"/>
  <c r="P78" i="13"/>
  <c r="Q40" i="13"/>
  <c r="R40" i="13" s="1"/>
  <c r="P60" i="13"/>
  <c r="Q49" i="13"/>
  <c r="R49" i="13" s="1"/>
  <c r="P49" i="13"/>
  <c r="P69" i="13"/>
  <c r="Q69" i="13"/>
  <c r="R69" i="13" s="1"/>
  <c r="Q85" i="13"/>
  <c r="R85" i="13" s="1"/>
  <c r="P85" i="13"/>
  <c r="Q195" i="13"/>
  <c r="R195" i="13" s="1"/>
  <c r="Q212" i="13"/>
  <c r="R212" i="13" s="1"/>
  <c r="P212" i="13"/>
  <c r="P224" i="13"/>
  <c r="Q236" i="13"/>
  <c r="R236" i="13" s="1"/>
  <c r="P277" i="13"/>
  <c r="Q279" i="13"/>
  <c r="P291" i="13"/>
  <c r="Q58" i="13"/>
  <c r="R58" i="13" s="1"/>
  <c r="P58" i="13"/>
  <c r="Q127" i="13"/>
  <c r="R127" i="13" s="1"/>
  <c r="P127" i="13"/>
  <c r="Q270" i="13"/>
  <c r="R270" i="13" s="1"/>
  <c r="P270" i="13"/>
  <c r="Q96" i="13"/>
  <c r="R96" i="13" s="1"/>
  <c r="P96" i="13"/>
  <c r="P125" i="13"/>
  <c r="Q125" i="13"/>
  <c r="P221" i="13"/>
  <c r="Q221" i="13"/>
  <c r="R221" i="13" s="1"/>
  <c r="P76" i="13"/>
  <c r="Q76" i="13"/>
  <c r="R76" i="13" s="1"/>
  <c r="Q205" i="13"/>
  <c r="R205" i="13" s="1"/>
  <c r="P205" i="13"/>
  <c r="Q154" i="13"/>
  <c r="R154" i="13" s="1"/>
  <c r="P154" i="13"/>
  <c r="Q11" i="13"/>
  <c r="R11" i="13" s="1"/>
  <c r="P11" i="13"/>
  <c r="Q48" i="13"/>
  <c r="R48" i="13" s="1"/>
  <c r="P54" i="13"/>
  <c r="P56" i="13"/>
  <c r="P72" i="13"/>
  <c r="Q90" i="13"/>
  <c r="R90" i="13" s="1"/>
  <c r="P92" i="13"/>
  <c r="Q105" i="13"/>
  <c r="R105" i="13" s="1"/>
  <c r="P105" i="13"/>
  <c r="P117" i="13"/>
  <c r="P170" i="13"/>
  <c r="Q232" i="13"/>
  <c r="R232" i="13" s="1"/>
  <c r="P232" i="13"/>
  <c r="P299" i="13"/>
  <c r="P250" i="13"/>
  <c r="P37" i="13"/>
  <c r="Q47" i="13"/>
  <c r="R47" i="13" s="1"/>
  <c r="P47" i="13"/>
  <c r="P103" i="13"/>
  <c r="Q116" i="13"/>
  <c r="R116" i="13" s="1"/>
  <c r="P116" i="13"/>
  <c r="Q146" i="13"/>
  <c r="R146" i="13" s="1"/>
  <c r="Q163" i="13"/>
  <c r="R163" i="13" s="1"/>
  <c r="P163" i="13"/>
  <c r="P175" i="13"/>
  <c r="Q4" i="13"/>
  <c r="R4" i="13" s="1"/>
  <c r="P4" i="13"/>
  <c r="P25" i="13"/>
  <c r="Q97" i="13"/>
  <c r="R97" i="13" s="1"/>
  <c r="Q114" i="13"/>
  <c r="R114" i="13" s="1"/>
  <c r="P114" i="13"/>
  <c r="Q138" i="13"/>
  <c r="R138" i="13" s="1"/>
  <c r="Q187" i="13"/>
  <c r="R187" i="13" s="1"/>
  <c r="Q230" i="13"/>
  <c r="R230" i="13" s="1"/>
  <c r="Q294" i="13"/>
  <c r="P294" i="13"/>
  <c r="P19" i="12"/>
  <c r="Q11" i="12"/>
  <c r="R11" i="12" s="1"/>
  <c r="P68" i="12"/>
  <c r="Q76" i="12"/>
  <c r="R76" i="12" s="1"/>
  <c r="P66" i="12"/>
  <c r="Q255" i="12"/>
  <c r="R255" i="12" s="1"/>
  <c r="P44" i="12"/>
  <c r="Q223" i="12"/>
  <c r="R223" i="12" s="1"/>
  <c r="P176" i="12"/>
  <c r="P253" i="12"/>
  <c r="Q105" i="12"/>
  <c r="R105" i="12" s="1"/>
  <c r="P248" i="12"/>
  <c r="P31" i="12"/>
  <c r="Q116" i="12"/>
  <c r="R116" i="12" s="1"/>
  <c r="Q171" i="12"/>
  <c r="R171" i="12" s="1"/>
  <c r="Q278" i="12"/>
  <c r="R278" i="12" s="1"/>
  <c r="P108" i="12"/>
  <c r="P246" i="12"/>
  <c r="P29" i="12"/>
  <c r="P169" i="12"/>
  <c r="Q21" i="12"/>
  <c r="R21" i="12" s="1"/>
  <c r="P164" i="12"/>
  <c r="Q13" i="12"/>
  <c r="R13" i="12" s="1"/>
  <c r="P98" i="12"/>
  <c r="Q221" i="12"/>
  <c r="R221" i="12" s="1"/>
  <c r="Q276" i="12"/>
  <c r="R276" i="12" s="1"/>
  <c r="Q82" i="12"/>
  <c r="R82" i="12" s="1"/>
  <c r="P133" i="12"/>
  <c r="P152" i="12"/>
  <c r="P239" i="12"/>
  <c r="Q160" i="12"/>
  <c r="R160" i="12" s="1"/>
  <c r="P203" i="12"/>
  <c r="Q28" i="12"/>
  <c r="R28" i="12" s="1"/>
  <c r="P30" i="12"/>
  <c r="P80" i="12"/>
  <c r="P85" i="12"/>
  <c r="Q155" i="12"/>
  <c r="R155" i="12" s="1"/>
  <c r="Q219" i="12"/>
  <c r="R219" i="12" s="1"/>
  <c r="P38" i="12"/>
  <c r="Q180" i="12"/>
  <c r="R180" i="12" s="1"/>
  <c r="P241" i="12"/>
  <c r="Q42" i="12"/>
  <c r="R42" i="12" s="1"/>
  <c r="Q157" i="12"/>
  <c r="R157" i="12" s="1"/>
  <c r="P261" i="12"/>
  <c r="P234" i="12"/>
  <c r="P274" i="12"/>
  <c r="P40" i="12"/>
  <c r="P4" i="12"/>
  <c r="P232" i="12"/>
  <c r="Q59" i="12"/>
  <c r="R59" i="12" s="1"/>
  <c r="Q120" i="12"/>
  <c r="R120" i="12" s="1"/>
  <c r="Q131" i="12"/>
  <c r="R131" i="12" s="1"/>
  <c r="P264" i="12"/>
  <c r="P290" i="12"/>
  <c r="Q139" i="12"/>
  <c r="R139" i="12" s="1"/>
  <c r="P196" i="12"/>
  <c r="P201" i="12"/>
  <c r="Q206" i="12"/>
  <c r="R206" i="12" s="1"/>
  <c r="P173" i="12"/>
  <c r="P217" i="12"/>
  <c r="Q222" i="12"/>
  <c r="R222" i="12" s="1"/>
  <c r="Q230" i="12"/>
  <c r="R230" i="12" s="1"/>
  <c r="P262" i="12"/>
  <c r="Q57" i="12"/>
  <c r="R57" i="12" s="1"/>
  <c r="P70" i="12"/>
  <c r="Q118" i="12"/>
  <c r="R118" i="12" s="1"/>
  <c r="P178" i="12"/>
  <c r="P183" i="12"/>
  <c r="P194" i="12"/>
  <c r="P260" i="12"/>
  <c r="Q199" i="12"/>
  <c r="R199" i="12" s="1"/>
  <c r="Q212" i="12"/>
  <c r="R212" i="12" s="1"/>
  <c r="Q280" i="12"/>
  <c r="R280" i="12" s="1"/>
  <c r="P26" i="12"/>
  <c r="Q26" i="12"/>
  <c r="R26" i="12" s="1"/>
  <c r="Q63" i="12"/>
  <c r="R63" i="12" s="1"/>
  <c r="P63" i="12"/>
  <c r="Q103" i="12"/>
  <c r="R103" i="12" s="1"/>
  <c r="P103" i="12"/>
  <c r="Q128" i="12"/>
  <c r="R128" i="12" s="1"/>
  <c r="P128" i="12"/>
  <c r="Q204" i="12"/>
  <c r="R204" i="12" s="1"/>
  <c r="P204" i="12"/>
  <c r="Q281" i="12"/>
  <c r="R281" i="12" s="1"/>
  <c r="P281" i="12"/>
  <c r="Q58" i="12"/>
  <c r="R58" i="12" s="1"/>
  <c r="P58" i="12"/>
  <c r="Q141" i="12"/>
  <c r="R141" i="12" s="1"/>
  <c r="P141" i="12"/>
  <c r="P237" i="12"/>
  <c r="Q237" i="12"/>
  <c r="R237" i="12" s="1"/>
  <c r="P174" i="12"/>
  <c r="Q174" i="12"/>
  <c r="R174" i="12" s="1"/>
  <c r="Q184" i="12"/>
  <c r="R184" i="12" s="1"/>
  <c r="P184" i="12"/>
  <c r="Q192" i="12"/>
  <c r="R192" i="12" s="1"/>
  <c r="P192" i="12"/>
  <c r="Q225" i="12"/>
  <c r="R225" i="12" s="1"/>
  <c r="P225" i="12"/>
  <c r="P45" i="12"/>
  <c r="Q78" i="12"/>
  <c r="R78" i="12" s="1"/>
  <c r="P96" i="12"/>
  <c r="P170" i="12"/>
  <c r="Q170" i="12"/>
  <c r="R170" i="12" s="1"/>
  <c r="Q182" i="12"/>
  <c r="R182" i="12" s="1"/>
  <c r="P182" i="12"/>
  <c r="Q213" i="12"/>
  <c r="R213" i="12" s="1"/>
  <c r="P213" i="12"/>
  <c r="Q220" i="12"/>
  <c r="R220" i="12" s="1"/>
  <c r="P235" i="12"/>
  <c r="Q235" i="12"/>
  <c r="R235" i="12" s="1"/>
  <c r="Q134" i="12"/>
  <c r="R134" i="12" s="1"/>
  <c r="P134" i="12"/>
  <c r="P238" i="12"/>
  <c r="Q238" i="12"/>
  <c r="R238" i="12" s="1"/>
  <c r="P277" i="12"/>
  <c r="Q277" i="12"/>
  <c r="R277" i="12" s="1"/>
  <c r="P36" i="12"/>
  <c r="P56" i="12"/>
  <c r="Q84" i="12"/>
  <c r="R84" i="12" s="1"/>
  <c r="P84" i="12"/>
  <c r="P101" i="12"/>
  <c r="Q142" i="12"/>
  <c r="R142" i="12" s="1"/>
  <c r="P142" i="12"/>
  <c r="P158" i="12"/>
  <c r="Q158" i="12"/>
  <c r="R158" i="12" s="1"/>
  <c r="Q172" i="12"/>
  <c r="R172" i="12" s="1"/>
  <c r="Q218" i="12"/>
  <c r="R218" i="12" s="1"/>
  <c r="Q61" i="12"/>
  <c r="R61" i="12" s="1"/>
  <c r="P61" i="12"/>
  <c r="Q197" i="12"/>
  <c r="R197" i="12" s="1"/>
  <c r="P197" i="12"/>
  <c r="P279" i="12"/>
  <c r="Q279" i="12"/>
  <c r="R279" i="12" s="1"/>
  <c r="Q43" i="12"/>
  <c r="R43" i="12" s="1"/>
  <c r="P43" i="12"/>
  <c r="Q86" i="12"/>
  <c r="R86" i="12" s="1"/>
  <c r="P86" i="12"/>
  <c r="P67" i="12"/>
  <c r="Q67" i="12"/>
  <c r="R67" i="12" s="1"/>
  <c r="P94" i="12"/>
  <c r="P114" i="12"/>
  <c r="Q211" i="12"/>
  <c r="R211" i="12" s="1"/>
  <c r="P211" i="12"/>
  <c r="Q226" i="12"/>
  <c r="R226" i="12" s="1"/>
  <c r="P226" i="12"/>
  <c r="Q275" i="12"/>
  <c r="R275" i="12" s="1"/>
  <c r="P275" i="12"/>
  <c r="P64" i="12"/>
  <c r="Q122" i="12"/>
  <c r="R122" i="12" s="1"/>
  <c r="P122" i="12"/>
  <c r="P129" i="12"/>
  <c r="Q190" i="12"/>
  <c r="R190" i="12" s="1"/>
  <c r="P233" i="12"/>
  <c r="Q34" i="12"/>
  <c r="R34" i="12" s="1"/>
  <c r="Q52" i="12"/>
  <c r="R52" i="12" s="1"/>
  <c r="P52" i="12"/>
  <c r="Q54" i="12"/>
  <c r="R54" i="12" s="1"/>
  <c r="Q110" i="12"/>
  <c r="R110" i="12" s="1"/>
  <c r="P110" i="12"/>
  <c r="P112" i="12"/>
  <c r="Q148" i="12"/>
  <c r="R148" i="12" s="1"/>
  <c r="P148" i="12"/>
  <c r="Q156" i="12"/>
  <c r="R156" i="12" s="1"/>
  <c r="P156" i="12"/>
  <c r="P231" i="12"/>
  <c r="Q65" i="12"/>
  <c r="R65" i="12" s="1"/>
  <c r="P65" i="12"/>
  <c r="Q92" i="12"/>
  <c r="R92" i="12" s="1"/>
  <c r="P127" i="12"/>
  <c r="Q137" i="12"/>
  <c r="R137" i="12" s="1"/>
  <c r="Q163" i="12"/>
  <c r="R163" i="12" s="1"/>
  <c r="Q166" i="12"/>
  <c r="R166" i="12" s="1"/>
  <c r="P166" i="12"/>
  <c r="P185" i="12"/>
  <c r="P263" i="12"/>
  <c r="Q263" i="12"/>
  <c r="R263" i="12" s="1"/>
  <c r="P309" i="12"/>
  <c r="Q15" i="12"/>
  <c r="R15" i="12" s="1"/>
  <c r="P15" i="12"/>
  <c r="Q35" i="12"/>
  <c r="R35" i="12" s="1"/>
  <c r="P35" i="12"/>
  <c r="Q47" i="12"/>
  <c r="R47" i="12" s="1"/>
  <c r="P47" i="12"/>
  <c r="P49" i="12"/>
  <c r="P60" i="12"/>
  <c r="Q60" i="12"/>
  <c r="R60" i="12" s="1"/>
  <c r="Q62" i="12"/>
  <c r="R62" i="12" s="1"/>
  <c r="Q72" i="12"/>
  <c r="R72" i="12" s="1"/>
  <c r="Q143" i="12"/>
  <c r="R143" i="12" s="1"/>
  <c r="P143" i="12"/>
  <c r="Q74" i="12"/>
  <c r="R74" i="12" s="1"/>
  <c r="Q8" i="12"/>
  <c r="R8" i="12" s="1"/>
  <c r="P8" i="12"/>
  <c r="Q10" i="12"/>
  <c r="R10" i="12" s="1"/>
  <c r="Q32" i="12"/>
  <c r="R32" i="12" s="1"/>
  <c r="P87" i="12"/>
  <c r="Q154" i="12"/>
  <c r="R154" i="12" s="1"/>
  <c r="P154" i="12"/>
  <c r="Q227" i="12"/>
  <c r="R227" i="12" s="1"/>
  <c r="P227" i="12"/>
  <c r="P273" i="12"/>
  <c r="Q19" i="12"/>
  <c r="P24" i="12"/>
  <c r="Q41" i="12"/>
  <c r="R41" i="12" s="1"/>
  <c r="P50" i="12"/>
  <c r="P71" i="12"/>
  <c r="P73" i="12"/>
  <c r="P75" i="12"/>
  <c r="Q90" i="12"/>
  <c r="R90" i="12" s="1"/>
  <c r="P99" i="12"/>
  <c r="P106" i="12"/>
  <c r="P126" i="12"/>
  <c r="P136" i="12"/>
  <c r="P150" i="12"/>
  <c r="P168" i="12"/>
  <c r="Q188" i="12"/>
  <c r="R188" i="12" s="1"/>
  <c r="Q229" i="12"/>
  <c r="R229" i="12" s="1"/>
  <c r="P252" i="12"/>
  <c r="P17" i="12"/>
  <c r="Q39" i="12"/>
  <c r="R39" i="12" s="1"/>
  <c r="Q69" i="12"/>
  <c r="R69" i="12" s="1"/>
  <c r="P77" i="12"/>
  <c r="P113" i="12"/>
  <c r="P115" i="12"/>
  <c r="P124" i="12"/>
  <c r="Q132" i="12"/>
  <c r="R132" i="12" s="1"/>
  <c r="Q88" i="12"/>
  <c r="R88" i="12" s="1"/>
  <c r="Q130" i="12"/>
  <c r="R130" i="12" s="1"/>
  <c r="Q186" i="12"/>
  <c r="R186" i="12" s="1"/>
  <c r="Q214" i="12"/>
  <c r="R214" i="12" s="1"/>
  <c r="P257" i="12"/>
  <c r="P245" i="12"/>
  <c r="Q191" i="12"/>
  <c r="R191" i="12" s="1"/>
  <c r="P191" i="12"/>
  <c r="P266" i="12"/>
  <c r="P20" i="12"/>
  <c r="Q20" i="12"/>
  <c r="Q299" i="12"/>
  <c r="P299" i="12"/>
  <c r="Q16" i="12"/>
  <c r="R16" i="12" s="1"/>
  <c r="P16" i="12"/>
  <c r="Q161" i="12"/>
  <c r="R161" i="12" s="1"/>
  <c r="P161" i="12"/>
  <c r="P296" i="12"/>
  <c r="Q93" i="12"/>
  <c r="R93" i="12" s="1"/>
  <c r="P93" i="12"/>
  <c r="Q135" i="12"/>
  <c r="R135" i="12" s="1"/>
  <c r="P135" i="12"/>
  <c r="P292" i="12"/>
  <c r="P6" i="12"/>
  <c r="P306" i="12"/>
  <c r="Q6" i="12"/>
  <c r="R6" i="12" s="1"/>
  <c r="P12" i="12"/>
  <c r="P304" i="12"/>
  <c r="Q14" i="12"/>
  <c r="R14" i="12" s="1"/>
  <c r="P119" i="12"/>
  <c r="Q121" i="12"/>
  <c r="R121" i="12" s="1"/>
  <c r="Q123" i="12"/>
  <c r="R123" i="12" s="1"/>
  <c r="Q125" i="12"/>
  <c r="R125" i="12" s="1"/>
  <c r="P288" i="12"/>
  <c r="Q9" i="12"/>
  <c r="R9" i="12" s="1"/>
  <c r="P9" i="12"/>
  <c r="P83" i="12"/>
  <c r="Q83" i="12"/>
  <c r="R83" i="12" s="1"/>
  <c r="P109" i="12"/>
  <c r="Q109" i="12"/>
  <c r="R109" i="12" s="1"/>
  <c r="P117" i="12"/>
  <c r="Q177" i="12"/>
  <c r="R177" i="12" s="1"/>
  <c r="P177" i="12"/>
  <c r="P216" i="12"/>
  <c r="Q216" i="12"/>
  <c r="R216" i="12" s="1"/>
  <c r="P300" i="12"/>
  <c r="Q300" i="12"/>
  <c r="P7" i="12"/>
  <c r="Q7" i="12"/>
  <c r="R7" i="12" s="1"/>
  <c r="P37" i="12"/>
  <c r="Q149" i="12"/>
  <c r="R149" i="12" s="1"/>
  <c r="P149" i="12"/>
  <c r="Q175" i="12"/>
  <c r="R175" i="12" s="1"/>
  <c r="P175" i="12"/>
  <c r="Q23" i="12"/>
  <c r="R23" i="12" s="1"/>
  <c r="Q27" i="12"/>
  <c r="R27" i="12" s="1"/>
  <c r="Q107" i="12"/>
  <c r="R107" i="12" s="1"/>
  <c r="P107" i="12"/>
  <c r="Q111" i="12"/>
  <c r="R111" i="12" s="1"/>
  <c r="Q147" i="12"/>
  <c r="R147" i="12" s="1"/>
  <c r="P147" i="12"/>
  <c r="P205" i="12"/>
  <c r="P243" i="12"/>
  <c r="Q79" i="12"/>
  <c r="R79" i="12" s="1"/>
  <c r="P79" i="12"/>
  <c r="Q140" i="12"/>
  <c r="R140" i="12" s="1"/>
  <c r="P247" i="12"/>
  <c r="P268" i="12"/>
  <c r="P270" i="12"/>
  <c r="P272" i="12"/>
  <c r="P298" i="12"/>
  <c r="Q298" i="12"/>
  <c r="Q303" i="12"/>
  <c r="P303" i="12"/>
  <c r="P165" i="12"/>
  <c r="Q165" i="12"/>
  <c r="R165" i="12" s="1"/>
  <c r="P189" i="12"/>
  <c r="Q189" i="12"/>
  <c r="R189" i="12" s="1"/>
  <c r="P310" i="12"/>
  <c r="P258" i="12"/>
  <c r="Q258" i="12"/>
  <c r="R258" i="12" s="1"/>
  <c r="P294" i="12"/>
  <c r="Q187" i="12"/>
  <c r="R187" i="12" s="1"/>
  <c r="P187" i="12"/>
  <c r="P200" i="12"/>
  <c r="Q200" i="12"/>
  <c r="R200" i="12" s="1"/>
  <c r="P33" i="12"/>
  <c r="P91" i="12"/>
  <c r="Q91" i="12"/>
  <c r="R91" i="12" s="1"/>
  <c r="P159" i="12"/>
  <c r="Q159" i="12"/>
  <c r="R159" i="12" s="1"/>
  <c r="P181" i="12"/>
  <c r="Q181" i="12"/>
  <c r="R181" i="12" s="1"/>
  <c r="P215" i="12"/>
  <c r="Q209" i="12"/>
  <c r="R209" i="12" s="1"/>
  <c r="Q224" i="12"/>
  <c r="R224" i="12" s="1"/>
  <c r="P224" i="12"/>
  <c r="P256" i="12"/>
  <c r="Q256" i="12"/>
  <c r="R256" i="12" s="1"/>
  <c r="Q89" i="12"/>
  <c r="R89" i="12" s="1"/>
  <c r="P89" i="12"/>
  <c r="P102" i="12"/>
  <c r="Q102" i="12"/>
  <c r="R102" i="12" s="1"/>
  <c r="P153" i="12"/>
  <c r="Q153" i="12"/>
  <c r="R153" i="12" s="1"/>
  <c r="P179" i="12"/>
  <c r="Q179" i="12"/>
  <c r="R179" i="12" s="1"/>
  <c r="P249" i="12"/>
  <c r="Q249" i="12"/>
  <c r="R249" i="12" s="1"/>
  <c r="P267" i="12"/>
  <c r="P269" i="12"/>
  <c r="P271" i="12"/>
  <c r="P151" i="12"/>
  <c r="Q151" i="12"/>
  <c r="R151" i="12" s="1"/>
  <c r="Q254" i="12"/>
  <c r="R254" i="12" s="1"/>
  <c r="P254" i="12"/>
  <c r="P198" i="12"/>
  <c r="Q207" i="12"/>
  <c r="R207" i="12" s="1"/>
  <c r="P283" i="12"/>
  <c r="P297" i="12"/>
  <c r="P295" i="12"/>
  <c r="P5" i="12"/>
  <c r="P311" i="12"/>
  <c r="Q5" i="12"/>
  <c r="P301" i="12"/>
  <c r="P18" i="12"/>
  <c r="P282" i="12"/>
  <c r="Q25" i="12"/>
  <c r="R25" i="12" s="1"/>
  <c r="P81" i="12"/>
  <c r="Q81" i="12"/>
  <c r="R81" i="12" s="1"/>
  <c r="P55" i="12"/>
  <c r="Q55" i="12"/>
  <c r="R55" i="12" s="1"/>
  <c r="P100" i="12"/>
  <c r="P162" i="12"/>
  <c r="Q250" i="12"/>
  <c r="P250" i="12"/>
  <c r="P53" i="12"/>
  <c r="Q53" i="12"/>
  <c r="R53" i="12" s="1"/>
  <c r="Q145" i="12"/>
  <c r="R145" i="12" s="1"/>
  <c r="P145" i="12"/>
  <c r="Q22" i="12"/>
  <c r="R22" i="12" s="1"/>
  <c r="P22" i="12"/>
  <c r="Q51" i="12"/>
  <c r="R51" i="12" s="1"/>
  <c r="P51" i="12"/>
  <c r="P167" i="12"/>
  <c r="Q167" i="12"/>
  <c r="R167" i="12" s="1"/>
  <c r="Q210" i="12"/>
  <c r="R210" i="12" s="1"/>
  <c r="P210" i="12"/>
  <c r="Q236" i="12"/>
  <c r="R236" i="12" s="1"/>
  <c r="P236" i="12"/>
  <c r="P265" i="12"/>
  <c r="P287" i="12"/>
  <c r="Q289" i="12"/>
  <c r="P289" i="12"/>
  <c r="P48" i="12"/>
  <c r="Q48" i="12"/>
  <c r="R48" i="12" s="1"/>
  <c r="Q259" i="12"/>
  <c r="R259" i="12" s="1"/>
  <c r="P259" i="12"/>
  <c r="Q285" i="12"/>
  <c r="P285" i="12"/>
  <c r="Q308" i="12"/>
  <c r="P308" i="12"/>
  <c r="P312" i="12"/>
  <c r="Q312" i="12"/>
  <c r="Q240" i="12"/>
  <c r="R240" i="12" s="1"/>
  <c r="P240" i="12"/>
  <c r="P302" i="12"/>
  <c r="P46" i="12"/>
  <c r="Q46" i="12"/>
  <c r="R46" i="12" s="1"/>
  <c r="P104" i="12"/>
  <c r="Q104" i="12"/>
  <c r="R104" i="12" s="1"/>
  <c r="P202" i="12"/>
  <c r="Q202" i="12"/>
  <c r="R202" i="12" s="1"/>
  <c r="Q138" i="12"/>
  <c r="P138" i="12"/>
  <c r="P208" i="12"/>
  <c r="Q228" i="12"/>
  <c r="R228" i="12" s="1"/>
  <c r="P251" i="12"/>
  <c r="Q251" i="12"/>
  <c r="Q265" i="12"/>
  <c r="Q287" i="12"/>
  <c r="P97" i="12"/>
  <c r="P244" i="12"/>
  <c r="P291" i="12"/>
  <c r="P293" i="12"/>
  <c r="Q95" i="12"/>
  <c r="R95" i="12" s="1"/>
  <c r="Q97" i="12"/>
  <c r="Q144" i="12"/>
  <c r="R144" i="12" s="1"/>
  <c r="Q146" i="12"/>
  <c r="R146" i="12" s="1"/>
  <c r="Q193" i="12"/>
  <c r="R193" i="12" s="1"/>
  <c r="Q195" i="12"/>
  <c r="R195" i="12" s="1"/>
  <c r="Q242" i="12"/>
  <c r="R242" i="12" s="1"/>
  <c r="Q244" i="12"/>
  <c r="P284" i="12"/>
  <c r="P286" i="12"/>
  <c r="Q291" i="12"/>
  <c r="Q293" i="12"/>
  <c r="P305" i="12"/>
  <c r="P307" i="12"/>
  <c r="P244" i="10"/>
  <c r="P272" i="10"/>
  <c r="P286" i="10"/>
  <c r="P300" i="10"/>
  <c r="P20" i="10"/>
  <c r="P250" i="10"/>
  <c r="P270" i="10"/>
  <c r="P298" i="10"/>
  <c r="P304" i="10"/>
  <c r="P251" i="10"/>
  <c r="P265" i="10"/>
  <c r="P293" i="10"/>
  <c r="P307" i="10"/>
  <c r="P284" i="10"/>
  <c r="P97" i="10"/>
  <c r="P268" i="10"/>
  <c r="P282" i="10"/>
  <c r="P296" i="10"/>
  <c r="P310" i="10"/>
  <c r="P306" i="10"/>
  <c r="P33" i="10"/>
  <c r="Q304" i="10"/>
  <c r="Q310" i="10"/>
  <c r="Q232" i="10"/>
  <c r="R232" i="10" s="1"/>
  <c r="P60" i="10"/>
  <c r="P213" i="10"/>
  <c r="Q197" i="10"/>
  <c r="R197" i="10" s="1"/>
  <c r="Q47" i="10"/>
  <c r="R47" i="10" s="1"/>
  <c r="Q74" i="10"/>
  <c r="R74" i="10" s="1"/>
  <c r="P126" i="10"/>
  <c r="Q137" i="10"/>
  <c r="R137" i="10" s="1"/>
  <c r="Q148" i="10"/>
  <c r="R148" i="10" s="1"/>
  <c r="P176" i="10"/>
  <c r="Q195" i="10"/>
  <c r="R195" i="10" s="1"/>
  <c r="Q203" i="10"/>
  <c r="R203" i="10" s="1"/>
  <c r="P297" i="10"/>
  <c r="P50" i="10"/>
  <c r="P102" i="10"/>
  <c r="P124" i="10"/>
  <c r="P4" i="10"/>
  <c r="Q178" i="10"/>
  <c r="R178" i="10" s="1"/>
  <c r="Q39" i="10"/>
  <c r="R39" i="10" s="1"/>
  <c r="P37" i="10"/>
  <c r="P100" i="10"/>
  <c r="Q242" i="10"/>
  <c r="R242" i="10" s="1"/>
  <c r="P35" i="10"/>
  <c r="P240" i="10"/>
  <c r="Q87" i="10"/>
  <c r="R87" i="10" s="1"/>
  <c r="Q95" i="10"/>
  <c r="R95" i="10" s="1"/>
  <c r="Q59" i="10"/>
  <c r="R59" i="10" s="1"/>
  <c r="P72" i="10"/>
  <c r="P80" i="10"/>
  <c r="Q117" i="10"/>
  <c r="R117" i="10" s="1"/>
  <c r="P151" i="10"/>
  <c r="P156" i="10"/>
  <c r="P122" i="10"/>
  <c r="Q238" i="10"/>
  <c r="R238" i="10" s="1"/>
  <c r="Q17" i="10"/>
  <c r="R17" i="10" s="1"/>
  <c r="Q51" i="10"/>
  <c r="R51" i="10" s="1"/>
  <c r="Q188" i="10"/>
  <c r="R188" i="10" s="1"/>
  <c r="P217" i="10"/>
  <c r="Q225" i="10"/>
  <c r="R225" i="10" s="1"/>
  <c r="Q268" i="10"/>
  <c r="Q279" i="10"/>
  <c r="R279" i="10" s="1"/>
  <c r="P290" i="10"/>
  <c r="P21" i="10"/>
  <c r="Q45" i="10"/>
  <c r="R45" i="10" s="1"/>
  <c r="Q19" i="10"/>
  <c r="R19" i="10" s="1"/>
  <c r="Q85" i="10"/>
  <c r="R85" i="10" s="1"/>
  <c r="P158" i="10"/>
  <c r="Q169" i="10"/>
  <c r="R169" i="10" s="1"/>
  <c r="P193" i="10"/>
  <c r="Q230" i="10"/>
  <c r="R230" i="10" s="1"/>
  <c r="Q265" i="10"/>
  <c r="P70" i="10"/>
  <c r="P149" i="10"/>
  <c r="Q180" i="10"/>
  <c r="R180" i="10" s="1"/>
  <c r="P147" i="10"/>
  <c r="Q154" i="10"/>
  <c r="R154" i="10" s="1"/>
  <c r="P215" i="10"/>
  <c r="P252" i="10"/>
  <c r="Q223" i="10"/>
  <c r="R223" i="10" s="1"/>
  <c r="Q139" i="10"/>
  <c r="R139" i="10" s="1"/>
  <c r="P171" i="10"/>
  <c r="P110" i="10"/>
  <c r="P145" i="10"/>
  <c r="Q191" i="10"/>
  <c r="R191" i="10" s="1"/>
  <c r="P245" i="10"/>
  <c r="Q258" i="10"/>
  <c r="R258" i="10" s="1"/>
  <c r="P93" i="10"/>
  <c r="P186" i="10"/>
  <c r="P10" i="10"/>
  <c r="Q25" i="10"/>
  <c r="R25" i="10" s="1"/>
  <c r="P68" i="10"/>
  <c r="P78" i="10"/>
  <c r="Q98" i="10"/>
  <c r="R98" i="10" s="1"/>
  <c r="P115" i="10"/>
  <c r="Q135" i="10"/>
  <c r="R135" i="10" s="1"/>
  <c r="Q167" i="10"/>
  <c r="R167" i="10" s="1"/>
  <c r="Q211" i="10"/>
  <c r="R211" i="10" s="1"/>
  <c r="P8" i="10"/>
  <c r="P28" i="10"/>
  <c r="P66" i="10"/>
  <c r="Q91" i="10"/>
  <c r="R91" i="10" s="1"/>
  <c r="Q108" i="10"/>
  <c r="R108" i="10" s="1"/>
  <c r="P113" i="10"/>
  <c r="P130" i="10"/>
  <c r="Q143" i="10"/>
  <c r="R143" i="10" s="1"/>
  <c r="P165" i="10"/>
  <c r="P175" i="10"/>
  <c r="P177" i="10"/>
  <c r="Q184" i="10"/>
  <c r="R184" i="10" s="1"/>
  <c r="Q206" i="10"/>
  <c r="R206" i="10" s="1"/>
  <c r="P234" i="10"/>
  <c r="P239" i="10"/>
  <c r="P241" i="10"/>
  <c r="Q243" i="10"/>
  <c r="R243" i="10" s="1"/>
  <c r="Q256" i="10"/>
  <c r="R256" i="10" s="1"/>
  <c r="Q272" i="10"/>
  <c r="Q296" i="10"/>
  <c r="Q306" i="10"/>
  <c r="P43" i="10"/>
  <c r="P13" i="10"/>
  <c r="P23" i="10"/>
  <c r="Q56" i="10"/>
  <c r="R56" i="10" s="1"/>
  <c r="P106" i="10"/>
  <c r="P199" i="10"/>
  <c r="P204" i="10"/>
  <c r="Q251" i="10"/>
  <c r="Q15" i="10"/>
  <c r="R15" i="10" s="1"/>
  <c r="Q41" i="10"/>
  <c r="R41" i="10" s="1"/>
  <c r="P89" i="10"/>
  <c r="Q182" i="10"/>
  <c r="R182" i="10" s="1"/>
  <c r="Q298" i="10"/>
  <c r="P6" i="10"/>
  <c r="Q128" i="10"/>
  <c r="R128" i="10" s="1"/>
  <c r="Q173" i="10"/>
  <c r="R173" i="10" s="1"/>
  <c r="P294" i="10"/>
  <c r="Q76" i="10"/>
  <c r="R76" i="10" s="1"/>
  <c r="Q104" i="10"/>
  <c r="R104" i="10" s="1"/>
  <c r="Q221" i="10"/>
  <c r="R221" i="10" s="1"/>
  <c r="Q270" i="10"/>
  <c r="P308" i="10"/>
  <c r="Q174" i="10"/>
  <c r="R174" i="10" s="1"/>
  <c r="P295" i="10"/>
  <c r="P94" i="10"/>
  <c r="P107" i="10"/>
  <c r="Q52" i="10"/>
  <c r="R52" i="10" s="1"/>
  <c r="Q57" i="10"/>
  <c r="R57" i="10" s="1"/>
  <c r="Q189" i="10"/>
  <c r="R189" i="10" s="1"/>
  <c r="P24" i="10"/>
  <c r="Q33" i="10"/>
  <c r="P64" i="10"/>
  <c r="P109" i="10"/>
  <c r="P120" i="10"/>
  <c r="P144" i="10"/>
  <c r="Q146" i="10"/>
  <c r="R146" i="10" s="1"/>
  <c r="P150" i="10"/>
  <c r="P185" i="10"/>
  <c r="P224" i="10"/>
  <c r="Q278" i="10"/>
  <c r="R278" i="10" s="1"/>
  <c r="P302" i="10"/>
  <c r="P311" i="10"/>
  <c r="P22" i="10"/>
  <c r="P31" i="10"/>
  <c r="P77" i="10"/>
  <c r="P79" i="10"/>
  <c r="Q105" i="10"/>
  <c r="R105" i="10" s="1"/>
  <c r="P142" i="10"/>
  <c r="Q187" i="10"/>
  <c r="R187" i="10" s="1"/>
  <c r="P222" i="10"/>
  <c r="Q237" i="10"/>
  <c r="R237" i="10" s="1"/>
  <c r="Q250" i="10"/>
  <c r="P283" i="10"/>
  <c r="P288" i="10"/>
  <c r="P309" i="10"/>
  <c r="P18" i="10"/>
  <c r="Q20" i="10"/>
  <c r="P46" i="10"/>
  <c r="Q48" i="10"/>
  <c r="R48" i="10" s="1"/>
  <c r="P81" i="10"/>
  <c r="P129" i="10"/>
  <c r="P138" i="10"/>
  <c r="P140" i="10"/>
  <c r="P168" i="10"/>
  <c r="Q172" i="10"/>
  <c r="R172" i="10" s="1"/>
  <c r="P220" i="10"/>
  <c r="P231" i="10"/>
  <c r="P269" i="10"/>
  <c r="P276" i="10"/>
  <c r="Q293" i="10"/>
  <c r="Q16" i="10"/>
  <c r="R16" i="10" s="1"/>
  <c r="P40" i="10"/>
  <c r="P42" i="10"/>
  <c r="Q44" i="10"/>
  <c r="R44" i="10" s="1"/>
  <c r="P71" i="10"/>
  <c r="P73" i="10"/>
  <c r="Q75" i="10"/>
  <c r="R75" i="10" s="1"/>
  <c r="P86" i="10"/>
  <c r="P99" i="10"/>
  <c r="P116" i="10"/>
  <c r="Q118" i="10"/>
  <c r="R118" i="10" s="1"/>
  <c r="Q134" i="10"/>
  <c r="R134" i="10" s="1"/>
  <c r="P136" i="10"/>
  <c r="P155" i="10"/>
  <c r="P157" i="10"/>
  <c r="P159" i="10"/>
  <c r="P164" i="10"/>
  <c r="P166" i="10"/>
  <c r="P218" i="10"/>
  <c r="P229" i="10"/>
  <c r="P233" i="10"/>
  <c r="P248" i="10"/>
  <c r="P255" i="10"/>
  <c r="P262" i="10"/>
  <c r="P267" i="10"/>
  <c r="P281" i="10"/>
  <c r="Q300" i="10"/>
  <c r="Q307" i="10"/>
  <c r="P12" i="10"/>
  <c r="Q27" i="10"/>
  <c r="R27" i="10" s="1"/>
  <c r="Q29" i="10"/>
  <c r="R29" i="10" s="1"/>
  <c r="P38" i="10"/>
  <c r="Q69" i="10"/>
  <c r="R69" i="10" s="1"/>
  <c r="P84" i="10"/>
  <c r="P101" i="10"/>
  <c r="Q114" i="10"/>
  <c r="R114" i="10" s="1"/>
  <c r="P196" i="10"/>
  <c r="P198" i="10"/>
  <c r="P214" i="10"/>
  <c r="Q216" i="10"/>
  <c r="R216" i="10" s="1"/>
  <c r="Q235" i="10"/>
  <c r="R235" i="10" s="1"/>
  <c r="P246" i="10"/>
  <c r="P260" i="10"/>
  <c r="P274" i="10"/>
  <c r="Q286" i="10"/>
  <c r="P14" i="10"/>
  <c r="Q97" i="10"/>
  <c r="P112" i="10"/>
  <c r="Q153" i="10"/>
  <c r="R153" i="10" s="1"/>
  <c r="P162" i="10"/>
  <c r="P192" i="10"/>
  <c r="P194" i="10"/>
  <c r="P205" i="10"/>
  <c r="P207" i="10"/>
  <c r="Q212" i="10"/>
  <c r="R212" i="10" s="1"/>
  <c r="P227" i="10"/>
  <c r="Q244" i="10"/>
  <c r="P253" i="10"/>
  <c r="P62" i="10"/>
  <c r="Q62" i="10"/>
  <c r="R62" i="10" s="1"/>
  <c r="Q30" i="10"/>
  <c r="R30" i="10" s="1"/>
  <c r="P30" i="10"/>
  <c r="P257" i="10"/>
  <c r="Q257" i="10"/>
  <c r="R257" i="10" s="1"/>
  <c r="P264" i="10"/>
  <c r="Q264" i="10"/>
  <c r="R264" i="10" s="1"/>
  <c r="Q53" i="10"/>
  <c r="R53" i="10" s="1"/>
  <c r="P53" i="10"/>
  <c r="P90" i="10"/>
  <c r="Q90" i="10"/>
  <c r="R90" i="10" s="1"/>
  <c r="P111" i="10"/>
  <c r="Q111" i="10"/>
  <c r="R111" i="10" s="1"/>
  <c r="Q200" i="10"/>
  <c r="R200" i="10" s="1"/>
  <c r="P200" i="10"/>
  <c r="P9" i="10"/>
  <c r="Q9" i="10"/>
  <c r="R9" i="10" s="1"/>
  <c r="Q49" i="10"/>
  <c r="R49" i="10" s="1"/>
  <c r="P49" i="10"/>
  <c r="Q88" i="10"/>
  <c r="P88" i="10"/>
  <c r="Q7" i="10"/>
  <c r="R7" i="10" s="1"/>
  <c r="P7" i="10"/>
  <c r="Q26" i="10"/>
  <c r="R26" i="10" s="1"/>
  <c r="P26" i="10"/>
  <c r="Q5" i="10"/>
  <c r="R5" i="10" s="1"/>
  <c r="P5" i="10"/>
  <c r="P65" i="10"/>
  <c r="Q65" i="10"/>
  <c r="R65" i="10" s="1"/>
  <c r="Q63" i="10"/>
  <c r="R63" i="10" s="1"/>
  <c r="P63" i="10"/>
  <c r="Q54" i="10"/>
  <c r="R54" i="10" s="1"/>
  <c r="P54" i="10"/>
  <c r="Q58" i="10"/>
  <c r="R58" i="10" s="1"/>
  <c r="Q152" i="10"/>
  <c r="R152" i="10" s="1"/>
  <c r="P152" i="10"/>
  <c r="P82" i="10"/>
  <c r="Q82" i="10"/>
  <c r="R82" i="10" s="1"/>
  <c r="Q208" i="10"/>
  <c r="R208" i="10" s="1"/>
  <c r="P208" i="10"/>
  <c r="P277" i="10"/>
  <c r="Q277" i="10"/>
  <c r="R277" i="10" s="1"/>
  <c r="Q312" i="10"/>
  <c r="P312" i="10"/>
  <c r="P228" i="10"/>
  <c r="Q228" i="10"/>
  <c r="R228" i="10" s="1"/>
  <c r="P263" i="10"/>
  <c r="Q263" i="10"/>
  <c r="R263" i="10" s="1"/>
  <c r="P303" i="10"/>
  <c r="Q303" i="10"/>
  <c r="P36" i="10"/>
  <c r="Q36" i="10"/>
  <c r="R36" i="10" s="1"/>
  <c r="Q119" i="10"/>
  <c r="R119" i="10" s="1"/>
  <c r="P119" i="10"/>
  <c r="P254" i="10"/>
  <c r="Q254" i="10"/>
  <c r="R254" i="10" s="1"/>
  <c r="P275" i="10"/>
  <c r="Q275" i="10"/>
  <c r="R275" i="10" s="1"/>
  <c r="Q301" i="10"/>
  <c r="P301" i="10"/>
  <c r="P55" i="10"/>
  <c r="Q55" i="10"/>
  <c r="R55" i="10" s="1"/>
  <c r="P202" i="10"/>
  <c r="Q202" i="10"/>
  <c r="R202" i="10" s="1"/>
  <c r="Q226" i="10"/>
  <c r="R226" i="10" s="1"/>
  <c r="P226" i="10"/>
  <c r="Q266" i="10"/>
  <c r="P266" i="10"/>
  <c r="P292" i="10"/>
  <c r="Q292" i="10"/>
  <c r="Q273" i="10"/>
  <c r="P273" i="10"/>
  <c r="P271" i="10"/>
  <c r="Q271" i="10"/>
  <c r="P291" i="10"/>
  <c r="Q291" i="10"/>
  <c r="Q141" i="10"/>
  <c r="R141" i="10" s="1"/>
  <c r="P141" i="10"/>
  <c r="P161" i="10"/>
  <c r="Q161" i="10"/>
  <c r="R161" i="10" s="1"/>
  <c r="P181" i="10"/>
  <c r="Q181" i="10"/>
  <c r="R181" i="10" s="1"/>
  <c r="P289" i="10"/>
  <c r="Q289" i="10"/>
  <c r="Q296" i="9"/>
  <c r="R296" i="9" s="1"/>
  <c r="P296" i="9"/>
  <c r="P92" i="10"/>
  <c r="P121" i="10"/>
  <c r="Q123" i="10"/>
  <c r="R123" i="10" s="1"/>
  <c r="Q125" i="10"/>
  <c r="R125" i="10" s="1"/>
  <c r="P133" i="10"/>
  <c r="P249" i="10"/>
  <c r="Q249" i="10"/>
  <c r="R249" i="10" s="1"/>
  <c r="Q284" i="10"/>
  <c r="Q287" i="10"/>
  <c r="P287" i="10"/>
  <c r="P11" i="10"/>
  <c r="P61" i="10"/>
  <c r="P67" i="10"/>
  <c r="P83" i="10"/>
  <c r="Q83" i="10"/>
  <c r="R83" i="10" s="1"/>
  <c r="P96" i="10"/>
  <c r="P127" i="10"/>
  <c r="Q179" i="10"/>
  <c r="R179" i="10" s="1"/>
  <c r="P179" i="10"/>
  <c r="P209" i="10"/>
  <c r="Q209" i="10"/>
  <c r="R209" i="10" s="1"/>
  <c r="Q219" i="10"/>
  <c r="R219" i="10" s="1"/>
  <c r="P219" i="10"/>
  <c r="P247" i="10"/>
  <c r="Q247" i="10"/>
  <c r="R247" i="10" s="1"/>
  <c r="Q282" i="10"/>
  <c r="P34" i="10"/>
  <c r="Q34" i="10"/>
  <c r="Q285" i="9"/>
  <c r="R285" i="9" s="1"/>
  <c r="P285" i="9"/>
  <c r="Q50" i="9"/>
  <c r="R50" i="9" s="1"/>
  <c r="P50" i="9"/>
  <c r="P32" i="10"/>
  <c r="Q131" i="10"/>
  <c r="R131" i="10" s="1"/>
  <c r="Q163" i="10"/>
  <c r="R163" i="10" s="1"/>
  <c r="Q183" i="10"/>
  <c r="R183" i="10" s="1"/>
  <c r="Q201" i="10"/>
  <c r="R201" i="10" s="1"/>
  <c r="P201" i="10"/>
  <c r="P280" i="10"/>
  <c r="Q285" i="10"/>
  <c r="P285" i="10"/>
  <c r="P305" i="10"/>
  <c r="Q305" i="10"/>
  <c r="P132" i="10"/>
  <c r="Q132" i="10"/>
  <c r="R132" i="10" s="1"/>
  <c r="P261" i="10"/>
  <c r="Q261" i="10"/>
  <c r="R261" i="10" s="1"/>
  <c r="Q259" i="10"/>
  <c r="R259" i="10" s="1"/>
  <c r="P259" i="10"/>
  <c r="P299" i="10"/>
  <c r="Q299" i="10"/>
  <c r="Q103" i="10"/>
  <c r="R103" i="10" s="1"/>
  <c r="P103" i="10"/>
  <c r="P160" i="10"/>
  <c r="Q160" i="10"/>
  <c r="Q170" i="10"/>
  <c r="R170" i="10" s="1"/>
  <c r="P170" i="10"/>
  <c r="P190" i="10"/>
  <c r="Q190" i="10"/>
  <c r="R190" i="10" s="1"/>
  <c r="P210" i="10"/>
  <c r="Q210" i="10"/>
  <c r="R210" i="10" s="1"/>
  <c r="Q236" i="10"/>
  <c r="R236" i="10" s="1"/>
  <c r="P236" i="10"/>
  <c r="P13" i="7"/>
  <c r="P34" i="7"/>
  <c r="P193" i="7"/>
  <c r="P144" i="7"/>
  <c r="Q213" i="9"/>
  <c r="R213" i="9" s="1"/>
  <c r="Q99" i="9"/>
  <c r="R99" i="9" s="1"/>
  <c r="Q101" i="9"/>
  <c r="R101" i="9" s="1"/>
  <c r="Q15" i="9"/>
  <c r="R15" i="9" s="1"/>
  <c r="P57" i="9"/>
  <c r="Q5" i="9"/>
  <c r="R5" i="9" s="1"/>
  <c r="P85" i="9"/>
  <c r="Q176" i="9"/>
  <c r="R176" i="9" s="1"/>
  <c r="P147" i="9"/>
  <c r="Q258" i="9"/>
  <c r="R258" i="9" s="1"/>
  <c r="P103" i="9"/>
  <c r="Q7" i="9"/>
  <c r="R7" i="9" s="1"/>
  <c r="Q228" i="9"/>
  <c r="R228" i="9" s="1"/>
  <c r="Q251" i="9"/>
  <c r="R251" i="9" s="1"/>
  <c r="P37" i="9"/>
  <c r="P131" i="9"/>
  <c r="Q278" i="9"/>
  <c r="R278" i="9" s="1"/>
  <c r="P75" i="9"/>
  <c r="P197" i="9"/>
  <c r="Q283" i="9"/>
  <c r="R283" i="9" s="1"/>
  <c r="P35" i="9"/>
  <c r="P129" i="9"/>
  <c r="Q238" i="9"/>
  <c r="R238" i="9" s="1"/>
  <c r="P276" i="9"/>
  <c r="P281" i="9"/>
  <c r="P33" i="9"/>
  <c r="P124" i="9"/>
  <c r="P233" i="9"/>
  <c r="P274" i="9"/>
  <c r="Q70" i="9"/>
  <c r="R70" i="9" s="1"/>
  <c r="P113" i="9"/>
  <c r="Q192" i="9"/>
  <c r="R192" i="9" s="1"/>
  <c r="P116" i="9"/>
  <c r="P165" i="9"/>
  <c r="Q55" i="9"/>
  <c r="R55" i="9" s="1"/>
  <c r="P253" i="9"/>
  <c r="Q13" i="9"/>
  <c r="R13" i="9" s="1"/>
  <c r="Q31" i="9"/>
  <c r="R31" i="9" s="1"/>
  <c r="Q53" i="9"/>
  <c r="R53" i="9" s="1"/>
  <c r="Q81" i="9"/>
  <c r="R81" i="9" s="1"/>
  <c r="Q86" i="9"/>
  <c r="R86" i="9" s="1"/>
  <c r="Q109" i="9"/>
  <c r="R109" i="9" s="1"/>
  <c r="P114" i="9"/>
  <c r="Q127" i="9"/>
  <c r="R127" i="9" s="1"/>
  <c r="P156" i="9"/>
  <c r="Q185" i="9"/>
  <c r="R185" i="9" s="1"/>
  <c r="Q249" i="9"/>
  <c r="R249" i="9" s="1"/>
  <c r="P254" i="9"/>
  <c r="P267" i="9"/>
  <c r="Q158" i="9"/>
  <c r="R158" i="9" s="1"/>
  <c r="P269" i="9"/>
  <c r="P224" i="9"/>
  <c r="P308" i="9"/>
  <c r="P11" i="9"/>
  <c r="Q24" i="9"/>
  <c r="R24" i="9" s="1"/>
  <c r="Q29" i="9"/>
  <c r="R29" i="9" s="1"/>
  <c r="P66" i="9"/>
  <c r="P79" i="9"/>
  <c r="P107" i="9"/>
  <c r="Q112" i="9"/>
  <c r="R112" i="9" s="1"/>
  <c r="Q206" i="9"/>
  <c r="R206" i="9" s="1"/>
  <c r="Q190" i="9"/>
  <c r="R190" i="9" s="1"/>
  <c r="P226" i="9"/>
  <c r="Q231" i="9"/>
  <c r="R231" i="9" s="1"/>
  <c r="Q256" i="9"/>
  <c r="R256" i="9" s="1"/>
  <c r="Q310" i="9"/>
  <c r="R310" i="9" s="1"/>
  <c r="P26" i="9"/>
  <c r="P46" i="9"/>
  <c r="P135" i="9"/>
  <c r="P154" i="9"/>
  <c r="P204" i="9"/>
  <c r="P242" i="9"/>
  <c r="Q247" i="9"/>
  <c r="R247" i="9" s="1"/>
  <c r="Q265" i="9"/>
  <c r="R265" i="9" s="1"/>
  <c r="Q120" i="9"/>
  <c r="R120" i="9" s="1"/>
  <c r="P214" i="9"/>
  <c r="P306" i="9"/>
  <c r="P9" i="9"/>
  <c r="P44" i="9"/>
  <c r="Q77" i="9"/>
  <c r="R77" i="9" s="1"/>
  <c r="P105" i="9"/>
  <c r="P162" i="9"/>
  <c r="Q178" i="9"/>
  <c r="R178" i="9" s="1"/>
  <c r="Q199" i="9"/>
  <c r="R199" i="9" s="1"/>
  <c r="P245" i="9"/>
  <c r="P301" i="9"/>
  <c r="P39" i="9"/>
  <c r="P59" i="9"/>
  <c r="P87" i="9"/>
  <c r="Q133" i="9"/>
  <c r="R133" i="9" s="1"/>
  <c r="P217" i="9"/>
  <c r="P235" i="9"/>
  <c r="Q240" i="9"/>
  <c r="R240" i="9" s="1"/>
  <c r="P14" i="9"/>
  <c r="Q14" i="9"/>
  <c r="R14" i="9" s="1"/>
  <c r="P32" i="9"/>
  <c r="Q32" i="9"/>
  <c r="R32" i="9" s="1"/>
  <c r="Q110" i="9"/>
  <c r="R110" i="9" s="1"/>
  <c r="P110" i="9"/>
  <c r="P277" i="9"/>
  <c r="Q277" i="9"/>
  <c r="R277" i="9" s="1"/>
  <c r="Q295" i="9"/>
  <c r="R295" i="9" s="1"/>
  <c r="P295" i="9"/>
  <c r="Q30" i="9"/>
  <c r="R30" i="9" s="1"/>
  <c r="P30" i="9"/>
  <c r="Q93" i="9"/>
  <c r="R93" i="9" s="1"/>
  <c r="P93" i="9"/>
  <c r="P126" i="9"/>
  <c r="Q126" i="9"/>
  <c r="R126" i="9" s="1"/>
  <c r="P202" i="9"/>
  <c r="Q202" i="9"/>
  <c r="R202" i="9" s="1"/>
  <c r="Q227" i="9"/>
  <c r="R227" i="9" s="1"/>
  <c r="P227" i="9"/>
  <c r="P275" i="9"/>
  <c r="Q275" i="9"/>
  <c r="R275" i="9" s="1"/>
  <c r="Q290" i="9"/>
  <c r="R290" i="9" s="1"/>
  <c r="P290" i="9"/>
  <c r="P12" i="9"/>
  <c r="Q12" i="9"/>
  <c r="R12" i="9" s="1"/>
  <c r="Q54" i="9"/>
  <c r="R54" i="9" s="1"/>
  <c r="P54" i="9"/>
  <c r="P71" i="9"/>
  <c r="Q71" i="9"/>
  <c r="R71" i="9" s="1"/>
  <c r="P73" i="9"/>
  <c r="Q108" i="9"/>
  <c r="R108" i="9" s="1"/>
  <c r="P108" i="9"/>
  <c r="Q136" i="9"/>
  <c r="R136" i="9" s="1"/>
  <c r="P136" i="9"/>
  <c r="Q184" i="9"/>
  <c r="R184" i="9" s="1"/>
  <c r="P184" i="9"/>
  <c r="Q250" i="9"/>
  <c r="R250" i="9" s="1"/>
  <c r="P250" i="9"/>
  <c r="Q311" i="9"/>
  <c r="R311" i="9" s="1"/>
  <c r="P311" i="9"/>
  <c r="P28" i="9"/>
  <c r="Q28" i="9"/>
  <c r="R28" i="9" s="1"/>
  <c r="P121" i="9"/>
  <c r="Q121" i="9"/>
  <c r="R121" i="9" s="1"/>
  <c r="Q168" i="9"/>
  <c r="R168" i="9" s="1"/>
  <c r="P168" i="9"/>
  <c r="Q225" i="9"/>
  <c r="R225" i="9" s="1"/>
  <c r="P225" i="9"/>
  <c r="Q10" i="9"/>
  <c r="R10" i="9" s="1"/>
  <c r="P10" i="9"/>
  <c r="P23" i="9"/>
  <c r="Q23" i="9"/>
  <c r="R23" i="9" s="1"/>
  <c r="P49" i="9"/>
  <c r="Q52" i="9"/>
  <c r="R52" i="9" s="1"/>
  <c r="P52" i="9"/>
  <c r="Q106" i="9"/>
  <c r="R106" i="9" s="1"/>
  <c r="P106" i="9"/>
  <c r="Q150" i="9"/>
  <c r="R150" i="9" s="1"/>
  <c r="P150" i="9"/>
  <c r="P179" i="9"/>
  <c r="Q179" i="9"/>
  <c r="R179" i="9" s="1"/>
  <c r="Q181" i="9"/>
  <c r="R181" i="9" s="1"/>
  <c r="Q220" i="9"/>
  <c r="R220" i="9" s="1"/>
  <c r="P220" i="9"/>
  <c r="P222" i="9"/>
  <c r="Q268" i="9"/>
  <c r="R268" i="9" s="1"/>
  <c r="P268" i="9"/>
  <c r="P34" i="9"/>
  <c r="Q34" i="9"/>
  <c r="R34" i="9" s="1"/>
  <c r="P58" i="9"/>
  <c r="Q58" i="9"/>
  <c r="R58" i="9" s="1"/>
  <c r="Q80" i="9"/>
  <c r="R80" i="9" s="1"/>
  <c r="P80" i="9"/>
  <c r="P98" i="9"/>
  <c r="Q98" i="9"/>
  <c r="R98" i="9" s="1"/>
  <c r="P191" i="9"/>
  <c r="Q191" i="9"/>
  <c r="R191" i="9" s="1"/>
  <c r="Q229" i="9"/>
  <c r="R229" i="9" s="1"/>
  <c r="P229" i="9"/>
  <c r="Q78" i="9"/>
  <c r="R78" i="9" s="1"/>
  <c r="P78" i="9"/>
  <c r="Q152" i="9"/>
  <c r="R152" i="9" s="1"/>
  <c r="P152" i="9"/>
  <c r="Q186" i="9"/>
  <c r="R186" i="9" s="1"/>
  <c r="P186" i="9"/>
  <c r="P91" i="9"/>
  <c r="Q91" i="9"/>
  <c r="R91" i="9" s="1"/>
  <c r="P200" i="9"/>
  <c r="Q200" i="9"/>
  <c r="R200" i="9" s="1"/>
  <c r="P248" i="9"/>
  <c r="Q248" i="9"/>
  <c r="R248" i="9" s="1"/>
  <c r="Q288" i="9"/>
  <c r="R288" i="9" s="1"/>
  <c r="P288" i="9"/>
  <c r="Q95" i="9"/>
  <c r="R95" i="9" s="1"/>
  <c r="P95" i="9"/>
  <c r="Q234" i="9"/>
  <c r="R234" i="9" s="1"/>
  <c r="P234" i="9"/>
  <c r="Q119" i="9"/>
  <c r="R119" i="9" s="1"/>
  <c r="P119" i="9"/>
  <c r="Q8" i="9"/>
  <c r="R8" i="9" s="1"/>
  <c r="P8" i="9"/>
  <c r="Q18" i="9"/>
  <c r="R18" i="9" s="1"/>
  <c r="P18" i="9"/>
  <c r="P62" i="9"/>
  <c r="Q62" i="9"/>
  <c r="R62" i="9" s="1"/>
  <c r="P64" i="9"/>
  <c r="P88" i="9"/>
  <c r="P104" i="9"/>
  <c r="Q104" i="9"/>
  <c r="R104" i="9" s="1"/>
  <c r="P161" i="9"/>
  <c r="Q161" i="9"/>
  <c r="R161" i="9" s="1"/>
  <c r="Q177" i="9"/>
  <c r="R177" i="9" s="1"/>
  <c r="P177" i="9"/>
  <c r="Q261" i="9"/>
  <c r="R261" i="9" s="1"/>
  <c r="P261" i="9"/>
  <c r="Q304" i="9"/>
  <c r="R304" i="9" s="1"/>
  <c r="P304" i="9"/>
  <c r="Q21" i="9"/>
  <c r="R21" i="9" s="1"/>
  <c r="P21" i="9"/>
  <c r="P43" i="9"/>
  <c r="Q43" i="9"/>
  <c r="R43" i="9" s="1"/>
  <c r="P132" i="9"/>
  <c r="Q132" i="9"/>
  <c r="R132" i="9" s="1"/>
  <c r="Q148" i="9"/>
  <c r="R148" i="9" s="1"/>
  <c r="P148" i="9"/>
  <c r="P218" i="9"/>
  <c r="Q218" i="9"/>
  <c r="R218" i="9" s="1"/>
  <c r="Q241" i="9"/>
  <c r="R241" i="9" s="1"/>
  <c r="P241" i="9"/>
  <c r="Q56" i="9"/>
  <c r="R56" i="9" s="1"/>
  <c r="P56" i="9"/>
  <c r="Q123" i="9"/>
  <c r="R123" i="9" s="1"/>
  <c r="P123" i="9"/>
  <c r="P170" i="9"/>
  <c r="Q170" i="9"/>
  <c r="R170" i="9" s="1"/>
  <c r="P209" i="9"/>
  <c r="Q209" i="9"/>
  <c r="R209" i="9" s="1"/>
  <c r="Q309" i="9"/>
  <c r="R309" i="9" s="1"/>
  <c r="P309" i="9"/>
  <c r="Q45" i="9"/>
  <c r="R45" i="9" s="1"/>
  <c r="P45" i="9"/>
  <c r="P38" i="9"/>
  <c r="Q38" i="9"/>
  <c r="R38" i="9" s="1"/>
  <c r="Q82" i="9"/>
  <c r="R82" i="9" s="1"/>
  <c r="P82" i="9"/>
  <c r="P84" i="9"/>
  <c r="P102" i="9"/>
  <c r="Q102" i="9"/>
  <c r="R102" i="9" s="1"/>
  <c r="Q143" i="9"/>
  <c r="R143" i="9" s="1"/>
  <c r="P143" i="9"/>
  <c r="Q193" i="9"/>
  <c r="R193" i="9" s="1"/>
  <c r="P193" i="9"/>
  <c r="P286" i="9"/>
  <c r="Q286" i="9"/>
  <c r="R286" i="9" s="1"/>
  <c r="P141" i="9"/>
  <c r="Q141" i="9"/>
  <c r="R141" i="9" s="1"/>
  <c r="Q16" i="9"/>
  <c r="R16" i="9" s="1"/>
  <c r="P16" i="9"/>
  <c r="P60" i="9"/>
  <c r="Q60" i="9"/>
  <c r="R60" i="9" s="1"/>
  <c r="P100" i="9"/>
  <c r="Q100" i="9"/>
  <c r="R100" i="9" s="1"/>
  <c r="Q175" i="9"/>
  <c r="R175" i="9" s="1"/>
  <c r="P175" i="9"/>
  <c r="P196" i="9"/>
  <c r="Q196" i="9"/>
  <c r="R196" i="9" s="1"/>
  <c r="P211" i="9"/>
  <c r="Q211" i="9"/>
  <c r="R211" i="9" s="1"/>
  <c r="P279" i="9"/>
  <c r="Q279" i="9"/>
  <c r="R279" i="9" s="1"/>
  <c r="Q297" i="9"/>
  <c r="R297" i="9" s="1"/>
  <c r="P297" i="9"/>
  <c r="Q299" i="9"/>
  <c r="R299" i="9" s="1"/>
  <c r="P302" i="9"/>
  <c r="Q302" i="9"/>
  <c r="R302" i="9" s="1"/>
  <c r="P128" i="9"/>
  <c r="Q130" i="9"/>
  <c r="R130" i="9" s="1"/>
  <c r="P157" i="9"/>
  <c r="P164" i="9"/>
  <c r="P205" i="9"/>
  <c r="Q207" i="9"/>
  <c r="R207" i="9" s="1"/>
  <c r="Q239" i="9"/>
  <c r="R239" i="9" s="1"/>
  <c r="P273" i="9"/>
  <c r="Q284" i="9"/>
  <c r="R284" i="9" s="1"/>
  <c r="P4" i="9"/>
  <c r="Q6" i="9"/>
  <c r="R6" i="9" s="1"/>
  <c r="P67" i="9"/>
  <c r="P115" i="9"/>
  <c r="P155" i="9"/>
  <c r="P173" i="9"/>
  <c r="Q182" i="9"/>
  <c r="R182" i="9" s="1"/>
  <c r="Q246" i="9"/>
  <c r="R246" i="9" s="1"/>
  <c r="P255" i="9"/>
  <c r="P264" i="9"/>
  <c r="P17" i="9"/>
  <c r="Q63" i="9"/>
  <c r="R63" i="9" s="1"/>
  <c r="Q72" i="9"/>
  <c r="R72" i="9" s="1"/>
  <c r="Q83" i="9"/>
  <c r="R83" i="9" s="1"/>
  <c r="P94" i="9"/>
  <c r="Q111" i="9"/>
  <c r="R111" i="9" s="1"/>
  <c r="P122" i="9"/>
  <c r="P137" i="9"/>
  <c r="P142" i="9"/>
  <c r="P144" i="9"/>
  <c r="P151" i="9"/>
  <c r="Q153" i="9"/>
  <c r="R153" i="9" s="1"/>
  <c r="P171" i="9"/>
  <c r="P180" i="9"/>
  <c r="P201" i="9"/>
  <c r="P221" i="9"/>
  <c r="Q230" i="9"/>
  <c r="R230" i="9" s="1"/>
  <c r="P262" i="9"/>
  <c r="Q271" i="9"/>
  <c r="R271" i="9" s="1"/>
  <c r="P289" i="9"/>
  <c r="Q92" i="9"/>
  <c r="R92" i="9" s="1"/>
  <c r="Q160" i="9"/>
  <c r="R160" i="9" s="1"/>
  <c r="Q169" i="9"/>
  <c r="R169" i="9" s="1"/>
  <c r="Q210" i="9"/>
  <c r="R210" i="9" s="1"/>
  <c r="Q219" i="9"/>
  <c r="R219" i="9" s="1"/>
  <c r="P260" i="9"/>
  <c r="P118" i="9"/>
  <c r="Q118" i="9"/>
  <c r="R118" i="9" s="1"/>
  <c r="P25" i="9"/>
  <c r="P65" i="9"/>
  <c r="Q189" i="9"/>
  <c r="R189" i="9" s="1"/>
  <c r="Q42" i="9"/>
  <c r="R42" i="9" s="1"/>
  <c r="Q89" i="9"/>
  <c r="R89" i="9" s="1"/>
  <c r="P89" i="9"/>
  <c r="P163" i="9"/>
  <c r="Q198" i="9"/>
  <c r="R198" i="9" s="1"/>
  <c r="Q215" i="9"/>
  <c r="R215" i="9" s="1"/>
  <c r="Q280" i="9"/>
  <c r="R280" i="9" s="1"/>
  <c r="P280" i="9"/>
  <c r="P146" i="9"/>
  <c r="Q146" i="9"/>
  <c r="R146" i="9" s="1"/>
  <c r="P167" i="9"/>
  <c r="Q167" i="9"/>
  <c r="R167" i="9" s="1"/>
  <c r="Q266" i="9"/>
  <c r="R266" i="9" s="1"/>
  <c r="P266" i="9"/>
  <c r="P74" i="9"/>
  <c r="Q138" i="9"/>
  <c r="R138" i="9" s="1"/>
  <c r="P138" i="9"/>
  <c r="P216" i="9"/>
  <c r="Q216" i="9"/>
  <c r="R216" i="9" s="1"/>
  <c r="Q19" i="9"/>
  <c r="R19" i="9" s="1"/>
  <c r="P36" i="9"/>
  <c r="Q51" i="9"/>
  <c r="Q140" i="9"/>
  <c r="R140" i="9" s="1"/>
  <c r="P172" i="9"/>
  <c r="P183" i="9"/>
  <c r="Q236" i="9"/>
  <c r="R236" i="9" s="1"/>
  <c r="P236" i="9"/>
  <c r="Q287" i="9"/>
  <c r="R287" i="9" s="1"/>
  <c r="P287" i="9"/>
  <c r="Q149" i="9"/>
  <c r="R149" i="9" s="1"/>
  <c r="P203" i="9"/>
  <c r="P232" i="9"/>
  <c r="Q232" i="9"/>
  <c r="R232" i="9" s="1"/>
  <c r="P48" i="9"/>
  <c r="Q48" i="9"/>
  <c r="R48" i="9" s="1"/>
  <c r="Q166" i="9"/>
  <c r="R166" i="9" s="1"/>
  <c r="P212" i="9"/>
  <c r="Q187" i="9"/>
  <c r="R187" i="9" s="1"/>
  <c r="P187" i="9"/>
  <c r="Q40" i="9"/>
  <c r="R40" i="9" s="1"/>
  <c r="P40" i="9"/>
  <c r="P195" i="9"/>
  <c r="Q195" i="9"/>
  <c r="R195" i="9" s="1"/>
  <c r="P252" i="9"/>
  <c r="Q252" i="9"/>
  <c r="R252" i="9" s="1"/>
  <c r="P20" i="9"/>
  <c r="Q20" i="9"/>
  <c r="R20" i="9" s="1"/>
  <c r="Q68" i="9"/>
  <c r="R68" i="9" s="1"/>
  <c r="P134" i="9"/>
  <c r="P303" i="9"/>
  <c r="Q303" i="9"/>
  <c r="R303" i="9" s="1"/>
  <c r="Q22" i="9"/>
  <c r="R22" i="9" s="1"/>
  <c r="P69" i="9"/>
  <c r="Q69" i="9"/>
  <c r="R69" i="9" s="1"/>
  <c r="P97" i="9"/>
  <c r="Q97" i="9"/>
  <c r="R97" i="9" s="1"/>
  <c r="Q117" i="9"/>
  <c r="R117" i="9" s="1"/>
  <c r="P244" i="9"/>
  <c r="Q244" i="9"/>
  <c r="R244" i="9" s="1"/>
  <c r="Q292" i="9"/>
  <c r="R292" i="9" s="1"/>
  <c r="P292" i="9"/>
  <c r="Q41" i="9"/>
  <c r="R41" i="9" s="1"/>
  <c r="P61" i="9"/>
  <c r="Q90" i="9"/>
  <c r="R90" i="9" s="1"/>
  <c r="Q139" i="9"/>
  <c r="R139" i="9" s="1"/>
  <c r="P159" i="9"/>
  <c r="Q188" i="9"/>
  <c r="R188" i="9" s="1"/>
  <c r="P208" i="9"/>
  <c r="Q237" i="9"/>
  <c r="R237" i="9" s="1"/>
  <c r="P257" i="9"/>
  <c r="Q291" i="9"/>
  <c r="R291" i="9" s="1"/>
  <c r="Q293" i="9"/>
  <c r="R293" i="9" s="1"/>
  <c r="P259" i="9"/>
  <c r="Q270" i="9"/>
  <c r="R270" i="9" s="1"/>
  <c r="Q272" i="9"/>
  <c r="R272" i="9" s="1"/>
  <c r="Q27" i="9"/>
  <c r="R27" i="9" s="1"/>
  <c r="P47" i="9"/>
  <c r="Q76" i="9"/>
  <c r="R76" i="9" s="1"/>
  <c r="P96" i="9"/>
  <c r="Q125" i="9"/>
  <c r="R125" i="9" s="1"/>
  <c r="P145" i="9"/>
  <c r="Q174" i="9"/>
  <c r="R174" i="9" s="1"/>
  <c r="P194" i="9"/>
  <c r="Q223" i="9"/>
  <c r="R223" i="9" s="1"/>
  <c r="P243" i="9"/>
  <c r="P263" i="9"/>
  <c r="P282" i="9"/>
  <c r="Q305" i="9"/>
  <c r="R305" i="9" s="1"/>
  <c r="Q307" i="9"/>
  <c r="R307" i="9" s="1"/>
  <c r="P294" i="9"/>
  <c r="Q298" i="9"/>
  <c r="R298" i="9" s="1"/>
  <c r="Q300" i="9"/>
  <c r="R300" i="9" s="1"/>
  <c r="Q312" i="9"/>
  <c r="R312" i="9" s="1"/>
  <c r="P312" i="9"/>
  <c r="P107" i="8"/>
  <c r="P36" i="8"/>
  <c r="P216" i="8"/>
  <c r="P31" i="8"/>
  <c r="Q183" i="8"/>
  <c r="R183" i="8" s="1"/>
  <c r="Q89" i="8"/>
  <c r="R89" i="8" s="1"/>
  <c r="Q159" i="8"/>
  <c r="R159" i="8" s="1"/>
  <c r="P68" i="8"/>
  <c r="P178" i="8"/>
  <c r="P211" i="8"/>
  <c r="Q49" i="8"/>
  <c r="R49" i="8" s="1"/>
  <c r="P26" i="8"/>
  <c r="Q102" i="8"/>
  <c r="R102" i="8" s="1"/>
  <c r="Q138" i="8"/>
  <c r="R138" i="8" s="1"/>
  <c r="P24" i="8"/>
  <c r="P47" i="8"/>
  <c r="Q131" i="8"/>
  <c r="R131" i="8" s="1"/>
  <c r="P136" i="8"/>
  <c r="P176" i="8"/>
  <c r="P204" i="8"/>
  <c r="Q209" i="8"/>
  <c r="R209" i="8" s="1"/>
  <c r="Q66" i="8"/>
  <c r="R66" i="8" s="1"/>
  <c r="P100" i="8"/>
  <c r="P134" i="8"/>
  <c r="Q129" i="8"/>
  <c r="R129" i="8" s="1"/>
  <c r="Q207" i="8"/>
  <c r="R207" i="8" s="1"/>
  <c r="P246" i="8"/>
  <c r="Q77" i="8"/>
  <c r="R77" i="8" s="1"/>
  <c r="Q163" i="8"/>
  <c r="R163" i="8" s="1"/>
  <c r="P197" i="8"/>
  <c r="Q40" i="8"/>
  <c r="R40" i="8" s="1"/>
  <c r="P119" i="8"/>
  <c r="Q187" i="8"/>
  <c r="R187" i="8" s="1"/>
  <c r="Q239" i="8"/>
  <c r="R239" i="8" s="1"/>
  <c r="Q244" i="8"/>
  <c r="R244" i="8" s="1"/>
  <c r="Q223" i="8"/>
  <c r="R223" i="8" s="1"/>
  <c r="Q11" i="8"/>
  <c r="R11" i="8" s="1"/>
  <c r="P22" i="8"/>
  <c r="Q214" i="8"/>
  <c r="R214" i="8" s="1"/>
  <c r="Q79" i="8"/>
  <c r="R79" i="8" s="1"/>
  <c r="Q149" i="8"/>
  <c r="R149" i="8" s="1"/>
  <c r="Q9" i="8"/>
  <c r="R9" i="8" s="1"/>
  <c r="P98" i="8"/>
  <c r="Q147" i="8"/>
  <c r="R147" i="8" s="1"/>
  <c r="P96" i="8"/>
  <c r="P142" i="8"/>
  <c r="Q192" i="8"/>
  <c r="R192" i="8" s="1"/>
  <c r="P28" i="8"/>
  <c r="P38" i="8"/>
  <c r="P117" i="8"/>
  <c r="Q185" i="8"/>
  <c r="R185" i="8" s="1"/>
  <c r="P190" i="8"/>
  <c r="Q109" i="8"/>
  <c r="R109" i="8" s="1"/>
  <c r="Q5" i="8"/>
  <c r="R5" i="8" s="1"/>
  <c r="P29" i="8"/>
  <c r="P43" i="8"/>
  <c r="Q64" i="8"/>
  <c r="R64" i="8" s="1"/>
  <c r="Q87" i="8"/>
  <c r="R87" i="8" s="1"/>
  <c r="P127" i="8"/>
  <c r="Q141" i="8"/>
  <c r="R141" i="8" s="1"/>
  <c r="Q155" i="8"/>
  <c r="R155" i="8" s="1"/>
  <c r="Q157" i="8"/>
  <c r="R157" i="8" s="1"/>
  <c r="P169" i="8"/>
  <c r="P188" i="8"/>
  <c r="P205" i="8"/>
  <c r="P50" i="8"/>
  <c r="P62" i="8"/>
  <c r="P80" i="8"/>
  <c r="P85" i="8"/>
  <c r="Q92" i="8"/>
  <c r="R92" i="8" s="1"/>
  <c r="P148" i="8"/>
  <c r="P162" i="8"/>
  <c r="P184" i="8"/>
  <c r="Q186" i="8"/>
  <c r="R186" i="8" s="1"/>
  <c r="Q238" i="8"/>
  <c r="R238" i="8" s="1"/>
  <c r="P240" i="8"/>
  <c r="P41" i="8"/>
  <c r="Q78" i="8"/>
  <c r="R78" i="8" s="1"/>
  <c r="P99" i="8"/>
  <c r="P106" i="8"/>
  <c r="P125" i="8"/>
  <c r="Q146" i="8"/>
  <c r="R146" i="8" s="1"/>
  <c r="P167" i="8"/>
  <c r="Q182" i="8"/>
  <c r="R182" i="8" s="1"/>
  <c r="P231" i="8"/>
  <c r="Q39" i="8"/>
  <c r="R39" i="8" s="1"/>
  <c r="P118" i="8"/>
  <c r="P120" i="8"/>
  <c r="P229" i="8"/>
  <c r="P236" i="8"/>
  <c r="Q45" i="8"/>
  <c r="R45" i="8" s="1"/>
  <c r="P57" i="8"/>
  <c r="Q94" i="8"/>
  <c r="R94" i="8" s="1"/>
  <c r="Q60" i="8"/>
  <c r="R60" i="8" s="1"/>
  <c r="P71" i="8"/>
  <c r="P196" i="8"/>
  <c r="P217" i="8"/>
  <c r="P245" i="8"/>
  <c r="Q37" i="8"/>
  <c r="R37" i="8" s="1"/>
  <c r="Q53" i="8"/>
  <c r="R53" i="8" s="1"/>
  <c r="Q69" i="8"/>
  <c r="R69" i="8" s="1"/>
  <c r="Q104" i="8"/>
  <c r="R104" i="8" s="1"/>
  <c r="Q144" i="8"/>
  <c r="R144" i="8" s="1"/>
  <c r="Q180" i="8"/>
  <c r="R180" i="8" s="1"/>
  <c r="P213" i="8"/>
  <c r="Q215" i="8"/>
  <c r="R215" i="8" s="1"/>
  <c r="Q227" i="8"/>
  <c r="R227" i="8" s="1"/>
  <c r="P7" i="8"/>
  <c r="P6" i="8"/>
  <c r="P13" i="8"/>
  <c r="P58" i="8"/>
  <c r="P140" i="8"/>
  <c r="P156" i="8"/>
  <c r="Q158" i="8"/>
  <c r="R158" i="8" s="1"/>
  <c r="P225" i="8"/>
  <c r="Q263" i="8"/>
  <c r="R263" i="8" s="1"/>
  <c r="Q115" i="8"/>
  <c r="R115" i="8" s="1"/>
  <c r="Q242" i="8"/>
  <c r="R242" i="8" s="1"/>
  <c r="P51" i="8"/>
  <c r="Q81" i="8"/>
  <c r="R81" i="8" s="1"/>
  <c r="Q10" i="8"/>
  <c r="R10" i="8" s="1"/>
  <c r="P10" i="8"/>
  <c r="P310" i="8"/>
  <c r="P281" i="8"/>
  <c r="P301" i="8"/>
  <c r="P296" i="8"/>
  <c r="P283" i="8"/>
  <c r="P258" i="8"/>
  <c r="P25" i="8"/>
  <c r="Q25" i="8"/>
  <c r="Q23" i="8"/>
  <c r="R23" i="8" s="1"/>
  <c r="P23" i="8"/>
  <c r="Q97" i="8"/>
  <c r="R97" i="8" s="1"/>
  <c r="P97" i="8"/>
  <c r="Q210" i="8"/>
  <c r="R210" i="8" s="1"/>
  <c r="P210" i="8"/>
  <c r="P116" i="8"/>
  <c r="Q116" i="8"/>
  <c r="R116" i="8" s="1"/>
  <c r="Q175" i="8"/>
  <c r="R175" i="8" s="1"/>
  <c r="P175" i="8"/>
  <c r="P285" i="8"/>
  <c r="P173" i="8"/>
  <c r="Q173" i="8"/>
  <c r="R173" i="8" s="1"/>
  <c r="Q84" i="8"/>
  <c r="R84" i="8" s="1"/>
  <c r="P84" i="8"/>
  <c r="Q299" i="8"/>
  <c r="P299" i="8"/>
  <c r="Q12" i="8"/>
  <c r="R12" i="8" s="1"/>
  <c r="P12" i="8"/>
  <c r="P194" i="8"/>
  <c r="P289" i="8"/>
  <c r="P70" i="8"/>
  <c r="Q177" i="8"/>
  <c r="R177" i="8" s="1"/>
  <c r="P177" i="8"/>
  <c r="P95" i="8"/>
  <c r="Q95" i="8"/>
  <c r="Q112" i="8"/>
  <c r="P112" i="8"/>
  <c r="Q164" i="8"/>
  <c r="R164" i="8" s="1"/>
  <c r="P164" i="8"/>
  <c r="Q208" i="8"/>
  <c r="R208" i="8" s="1"/>
  <c r="P208" i="8"/>
  <c r="Q8" i="8"/>
  <c r="R8" i="8" s="1"/>
  <c r="P8" i="8"/>
  <c r="Q34" i="8"/>
  <c r="R34" i="8" s="1"/>
  <c r="P34" i="8"/>
  <c r="P288" i="8"/>
  <c r="P302" i="8"/>
  <c r="P294" i="8"/>
  <c r="P267" i="8"/>
  <c r="P265" i="8"/>
  <c r="P232" i="8"/>
  <c r="P311" i="8"/>
  <c r="P234" i="8"/>
  <c r="P113" i="8"/>
  <c r="P253" i="8"/>
  <c r="P218" i="8"/>
  <c r="P276" i="8"/>
  <c r="P274" i="8"/>
  <c r="P303" i="8"/>
  <c r="P295" i="8"/>
  <c r="P309" i="8"/>
  <c r="Q65" i="8"/>
  <c r="R65" i="8" s="1"/>
  <c r="P65" i="8"/>
  <c r="Q206" i="8"/>
  <c r="R206" i="8" s="1"/>
  <c r="P206" i="8"/>
  <c r="P224" i="8"/>
  <c r="Q224" i="8"/>
  <c r="R224" i="8" s="1"/>
  <c r="P252" i="8"/>
  <c r="P254" i="8"/>
  <c r="Q297" i="8"/>
  <c r="P297" i="8"/>
  <c r="Q63" i="8"/>
  <c r="R63" i="8" s="1"/>
  <c r="P63" i="8"/>
  <c r="P114" i="8"/>
  <c r="Q160" i="8"/>
  <c r="R160" i="8" s="1"/>
  <c r="P160" i="8"/>
  <c r="P171" i="8"/>
  <c r="P241" i="8"/>
  <c r="Q241" i="8"/>
  <c r="R241" i="8" s="1"/>
  <c r="P272" i="8"/>
  <c r="P284" i="8"/>
  <c r="Q284" i="8"/>
  <c r="P19" i="8"/>
  <c r="P108" i="8"/>
  <c r="Q237" i="8"/>
  <c r="R237" i="8" s="1"/>
  <c r="P237" i="8"/>
  <c r="Q268" i="8"/>
  <c r="P268" i="8"/>
  <c r="P282" i="8"/>
  <c r="Q282" i="8"/>
  <c r="P306" i="8"/>
  <c r="P17" i="8"/>
  <c r="P74" i="8"/>
  <c r="Q74" i="8"/>
  <c r="R74" i="8" s="1"/>
  <c r="Q91" i="8"/>
  <c r="R91" i="8" s="1"/>
  <c r="P110" i="8"/>
  <c r="Q126" i="8"/>
  <c r="R126" i="8" s="1"/>
  <c r="P126" i="8"/>
  <c r="P137" i="8"/>
  <c r="Q137" i="8"/>
  <c r="R137" i="8" s="1"/>
  <c r="Q152" i="8"/>
  <c r="R152" i="8" s="1"/>
  <c r="P152" i="8"/>
  <c r="P304" i="8"/>
  <c r="P4" i="8"/>
  <c r="P124" i="8"/>
  <c r="Q124" i="8"/>
  <c r="R124" i="8" s="1"/>
  <c r="Q189" i="8"/>
  <c r="R189" i="8" s="1"/>
  <c r="P189" i="8"/>
  <c r="P202" i="8"/>
  <c r="Q4" i="8"/>
  <c r="Q15" i="8"/>
  <c r="R15" i="8" s="1"/>
  <c r="P30" i="8"/>
  <c r="P35" i="8"/>
  <c r="Q198" i="8"/>
  <c r="R198" i="8" s="1"/>
  <c r="P198" i="8"/>
  <c r="Q200" i="8"/>
  <c r="R200" i="8" s="1"/>
  <c r="Q21" i="8"/>
  <c r="R21" i="8" s="1"/>
  <c r="P21" i="8"/>
  <c r="P67" i="8"/>
  <c r="Q67" i="8"/>
  <c r="Q82" i="8"/>
  <c r="R82" i="8" s="1"/>
  <c r="P82" i="8"/>
  <c r="Q93" i="8"/>
  <c r="R93" i="8" s="1"/>
  <c r="P93" i="8"/>
  <c r="Q243" i="8"/>
  <c r="R243" i="8" s="1"/>
  <c r="P243" i="8"/>
  <c r="P270" i="8"/>
  <c r="Q270" i="8"/>
  <c r="Q222" i="8"/>
  <c r="R222" i="8" s="1"/>
  <c r="P222" i="8"/>
  <c r="Q61" i="8"/>
  <c r="R61" i="8" s="1"/>
  <c r="P61" i="8"/>
  <c r="Q139" i="8"/>
  <c r="R139" i="8" s="1"/>
  <c r="P139" i="8"/>
  <c r="Q248" i="8"/>
  <c r="R248" i="8" s="1"/>
  <c r="P248" i="8"/>
  <c r="P280" i="8"/>
  <c r="Q280" i="8"/>
  <c r="P291" i="8"/>
  <c r="Q59" i="8"/>
  <c r="R59" i="8" s="1"/>
  <c r="P59" i="8"/>
  <c r="P76" i="8"/>
  <c r="Q135" i="8"/>
  <c r="R135" i="8" s="1"/>
  <c r="P135" i="8"/>
  <c r="Q220" i="8"/>
  <c r="R220" i="8" s="1"/>
  <c r="P220" i="8"/>
  <c r="Q266" i="8"/>
  <c r="P266" i="8"/>
  <c r="P46" i="8"/>
  <c r="Q46" i="8"/>
  <c r="R46" i="8" s="1"/>
  <c r="P154" i="8"/>
  <c r="P251" i="8"/>
  <c r="Q251" i="8"/>
  <c r="P293" i="8"/>
  <c r="Q32" i="8"/>
  <c r="R32" i="8" s="1"/>
  <c r="Q105" i="8"/>
  <c r="P105" i="8"/>
  <c r="Q150" i="8"/>
  <c r="R150" i="8" s="1"/>
  <c r="P150" i="8"/>
  <c r="P233" i="8"/>
  <c r="Q235" i="8"/>
  <c r="R235" i="8" s="1"/>
  <c r="P278" i="8"/>
  <c r="Q278" i="8"/>
  <c r="P44" i="8"/>
  <c r="Q44" i="8"/>
  <c r="R44" i="8" s="1"/>
  <c r="Q72" i="8"/>
  <c r="R72" i="8" s="1"/>
  <c r="P72" i="8"/>
  <c r="Q103" i="8"/>
  <c r="R103" i="8" s="1"/>
  <c r="P103" i="8"/>
  <c r="P122" i="8"/>
  <c r="Q122" i="8"/>
  <c r="R122" i="8" s="1"/>
  <c r="P133" i="8"/>
  <c r="Q165" i="8"/>
  <c r="R165" i="8" s="1"/>
  <c r="Q181" i="8"/>
  <c r="R181" i="8" s="1"/>
  <c r="P181" i="8"/>
  <c r="P273" i="8"/>
  <c r="P275" i="8"/>
  <c r="Q291" i="8"/>
  <c r="P20" i="8"/>
  <c r="Q42" i="8"/>
  <c r="R42" i="8" s="1"/>
  <c r="P42" i="8"/>
  <c r="P55" i="8"/>
  <c r="P249" i="8"/>
  <c r="Q249" i="8"/>
  <c r="R249" i="8" s="1"/>
  <c r="P262" i="8"/>
  <c r="P264" i="8"/>
  <c r="P307" i="8"/>
  <c r="Q27" i="8"/>
  <c r="R27" i="8" s="1"/>
  <c r="P27" i="8"/>
  <c r="Q86" i="8"/>
  <c r="R86" i="8" s="1"/>
  <c r="P86" i="8"/>
  <c r="Q101" i="8"/>
  <c r="R101" i="8" s="1"/>
  <c r="P101" i="8"/>
  <c r="P179" i="8"/>
  <c r="Q179" i="8"/>
  <c r="R179" i="8" s="1"/>
  <c r="Q212" i="8"/>
  <c r="R212" i="8" s="1"/>
  <c r="P212" i="8"/>
  <c r="P260" i="8"/>
  <c r="P287" i="8"/>
  <c r="Q259" i="8"/>
  <c r="P259" i="8"/>
  <c r="Q54" i="8"/>
  <c r="R54" i="8" s="1"/>
  <c r="P54" i="8"/>
  <c r="P172" i="8"/>
  <c r="Q172" i="8"/>
  <c r="R172" i="8" s="1"/>
  <c r="P228" i="8"/>
  <c r="Q228" i="8"/>
  <c r="R228" i="8" s="1"/>
  <c r="P298" i="8"/>
  <c r="Q170" i="8"/>
  <c r="R170" i="8" s="1"/>
  <c r="P170" i="8"/>
  <c r="Q308" i="8"/>
  <c r="P308" i="8"/>
  <c r="P33" i="8"/>
  <c r="P48" i="8"/>
  <c r="Q143" i="8"/>
  <c r="R143" i="8" s="1"/>
  <c r="P145" i="8"/>
  <c r="P247" i="8"/>
  <c r="P255" i="8"/>
  <c r="P257" i="8"/>
  <c r="Q279" i="8"/>
  <c r="P279" i="8"/>
  <c r="P286" i="8"/>
  <c r="P292" i="8"/>
  <c r="P300" i="8"/>
  <c r="P14" i="8"/>
  <c r="Q16" i="8"/>
  <c r="R16" i="8" s="1"/>
  <c r="Q35" i="8"/>
  <c r="P56" i="8"/>
  <c r="Q73" i="8"/>
  <c r="R73" i="8" s="1"/>
  <c r="Q75" i="8"/>
  <c r="R75" i="8" s="1"/>
  <c r="Q83" i="8"/>
  <c r="R83" i="8" s="1"/>
  <c r="P83" i="8"/>
  <c r="P90" i="8"/>
  <c r="P111" i="8"/>
  <c r="P123" i="8"/>
  <c r="Q123" i="8"/>
  <c r="R123" i="8" s="1"/>
  <c r="P128" i="8"/>
  <c r="P153" i="8"/>
  <c r="Q166" i="8"/>
  <c r="R166" i="8" s="1"/>
  <c r="P174" i="8"/>
  <c r="Q191" i="8"/>
  <c r="R191" i="8" s="1"/>
  <c r="P195" i="8"/>
  <c r="P203" i="8"/>
  <c r="P221" i="8"/>
  <c r="Q221" i="8"/>
  <c r="R221" i="8" s="1"/>
  <c r="P226" i="8"/>
  <c r="Q250" i="8"/>
  <c r="R250" i="8" s="1"/>
  <c r="P250" i="8"/>
  <c r="Q261" i="8"/>
  <c r="R261" i="8" s="1"/>
  <c r="P269" i="8"/>
  <c r="P271" i="8"/>
  <c r="P277" i="8"/>
  <c r="Q277" i="8"/>
  <c r="Q298" i="8"/>
  <c r="P88" i="8"/>
  <c r="Q230" i="8"/>
  <c r="R230" i="8" s="1"/>
  <c r="P230" i="8"/>
  <c r="P290" i="8"/>
  <c r="Q201" i="8"/>
  <c r="R201" i="8" s="1"/>
  <c r="P201" i="8"/>
  <c r="Q132" i="8"/>
  <c r="R132" i="8" s="1"/>
  <c r="P132" i="8"/>
  <c r="Q199" i="8"/>
  <c r="R199" i="8" s="1"/>
  <c r="P199" i="8"/>
  <c r="Q88" i="8"/>
  <c r="Q193" i="8"/>
  <c r="R193" i="8" s="1"/>
  <c r="Q18" i="8"/>
  <c r="R18" i="8" s="1"/>
  <c r="P52" i="8"/>
  <c r="Q121" i="8"/>
  <c r="R121" i="8" s="1"/>
  <c r="P121" i="8"/>
  <c r="Q130" i="8"/>
  <c r="R130" i="8" s="1"/>
  <c r="Q151" i="8"/>
  <c r="R151" i="8" s="1"/>
  <c r="Q161" i="8"/>
  <c r="R161" i="8" s="1"/>
  <c r="P161" i="8"/>
  <c r="P168" i="8"/>
  <c r="Q219" i="8"/>
  <c r="R219" i="8" s="1"/>
  <c r="P219" i="8"/>
  <c r="P312" i="8"/>
  <c r="P256" i="8"/>
  <c r="P305" i="8"/>
  <c r="P145" i="7"/>
  <c r="P257" i="7"/>
  <c r="P285" i="7"/>
  <c r="P232" i="7"/>
  <c r="P291" i="7"/>
  <c r="P305" i="7"/>
  <c r="P266" i="7"/>
  <c r="P280" i="7"/>
  <c r="P308" i="7"/>
  <c r="P272" i="7"/>
  <c r="P113" i="7"/>
  <c r="P281" i="7"/>
  <c r="P270" i="7"/>
  <c r="P284" i="7"/>
  <c r="P312" i="7"/>
  <c r="P194" i="7"/>
  <c r="P301" i="7"/>
  <c r="P195" i="7"/>
  <c r="P251" i="7"/>
  <c r="P265" i="7"/>
  <c r="P293" i="7"/>
  <c r="P307" i="7"/>
  <c r="Q232" i="7"/>
  <c r="P199" i="7"/>
  <c r="P138" i="7"/>
  <c r="Q130" i="7"/>
  <c r="R130" i="7" s="1"/>
  <c r="Q122" i="7"/>
  <c r="R122" i="7" s="1"/>
  <c r="Q99" i="7"/>
  <c r="R99" i="7" s="1"/>
  <c r="Q136" i="7"/>
  <c r="R136" i="7" s="1"/>
  <c r="P225" i="7"/>
  <c r="P51" i="7"/>
  <c r="Q220" i="7"/>
  <c r="R220" i="7" s="1"/>
  <c r="Q270" i="7"/>
  <c r="P101" i="7"/>
  <c r="P120" i="7"/>
  <c r="P115" i="7"/>
  <c r="Q266" i="7"/>
  <c r="Q190" i="7"/>
  <c r="R190" i="7" s="1"/>
  <c r="P289" i="7"/>
  <c r="Q215" i="7"/>
  <c r="R215" i="7" s="1"/>
  <c r="Q64" i="7"/>
  <c r="R64" i="7" s="1"/>
  <c r="P108" i="7"/>
  <c r="Q280" i="7"/>
  <c r="Q113" i="7"/>
  <c r="P126" i="7"/>
  <c r="Q194" i="7"/>
  <c r="P87" i="7"/>
  <c r="P234" i="7"/>
  <c r="Q236" i="7"/>
  <c r="R236" i="7" s="1"/>
  <c r="Q60" i="7"/>
  <c r="R60" i="7" s="1"/>
  <c r="P156" i="7"/>
  <c r="Q308" i="7"/>
  <c r="P14" i="7"/>
  <c r="Q71" i="7"/>
  <c r="R71" i="7" s="1"/>
  <c r="Q106" i="7"/>
  <c r="R106" i="7" s="1"/>
  <c r="Q181" i="7"/>
  <c r="R181" i="7" s="1"/>
  <c r="Q211" i="7"/>
  <c r="R211" i="7" s="1"/>
  <c r="Q245" i="7"/>
  <c r="R245" i="7" s="1"/>
  <c r="Q140" i="7"/>
  <c r="R140" i="7" s="1"/>
  <c r="Q176" i="7"/>
  <c r="R176" i="7" s="1"/>
  <c r="P227" i="7"/>
  <c r="Q53" i="7"/>
  <c r="R53" i="7" s="1"/>
  <c r="Q83" i="7"/>
  <c r="R83" i="7" s="1"/>
  <c r="Q85" i="7"/>
  <c r="R85" i="7" s="1"/>
  <c r="Q151" i="7"/>
  <c r="R151" i="7" s="1"/>
  <c r="P183" i="7"/>
  <c r="P128" i="7"/>
  <c r="P162" i="7"/>
  <c r="Q178" i="7"/>
  <c r="R178" i="7" s="1"/>
  <c r="Q291" i="7"/>
  <c r="P12" i="7"/>
  <c r="P49" i="7"/>
  <c r="Q94" i="7"/>
  <c r="R94" i="7" s="1"/>
  <c r="P147" i="7"/>
  <c r="P171" i="7"/>
  <c r="Q62" i="7"/>
  <c r="R62" i="7" s="1"/>
  <c r="Q124" i="7"/>
  <c r="R124" i="7" s="1"/>
  <c r="P192" i="7"/>
  <c r="P213" i="7"/>
  <c r="P218" i="7"/>
  <c r="P268" i="7"/>
  <c r="P47" i="7"/>
  <c r="P117" i="7"/>
  <c r="Q142" i="7"/>
  <c r="R142" i="7" s="1"/>
  <c r="P23" i="7"/>
  <c r="Q92" i="7"/>
  <c r="R92" i="7" s="1"/>
  <c r="P169" i="7"/>
  <c r="P40" i="7"/>
  <c r="P129" i="7"/>
  <c r="P10" i="7"/>
  <c r="P19" i="7"/>
  <c r="P79" i="7"/>
  <c r="Q81" i="7"/>
  <c r="R81" i="7" s="1"/>
  <c r="Q104" i="7"/>
  <c r="R104" i="7" s="1"/>
  <c r="Q127" i="7"/>
  <c r="R127" i="7" s="1"/>
  <c r="P134" i="7"/>
  <c r="Q145" i="7"/>
  <c r="Q161" i="7"/>
  <c r="R161" i="7" s="1"/>
  <c r="Q170" i="7"/>
  <c r="R170" i="7" s="1"/>
  <c r="P197" i="7"/>
  <c r="P204" i="7"/>
  <c r="Q206" i="7"/>
  <c r="R206" i="7" s="1"/>
  <c r="Q239" i="7"/>
  <c r="R239" i="7" s="1"/>
  <c r="P241" i="7"/>
  <c r="Q257" i="7"/>
  <c r="P264" i="7"/>
  <c r="P273" i="7"/>
  <c r="P299" i="7"/>
  <c r="P17" i="7"/>
  <c r="P38" i="7"/>
  <c r="P65" i="7"/>
  <c r="P77" i="7"/>
  <c r="Q95" i="7"/>
  <c r="R95" i="7" s="1"/>
  <c r="P141" i="7"/>
  <c r="P143" i="7"/>
  <c r="P159" i="7"/>
  <c r="P175" i="7"/>
  <c r="P177" i="7"/>
  <c r="Q179" i="7"/>
  <c r="R179" i="7" s="1"/>
  <c r="Q195" i="7"/>
  <c r="Q230" i="7"/>
  <c r="R230" i="7" s="1"/>
  <c r="P250" i="7"/>
  <c r="P255" i="7"/>
  <c r="P262" i="7"/>
  <c r="P271" i="7"/>
  <c r="Q285" i="7"/>
  <c r="P8" i="7"/>
  <c r="Q63" i="7"/>
  <c r="R63" i="7" s="1"/>
  <c r="Q93" i="7"/>
  <c r="R93" i="7" s="1"/>
  <c r="P150" i="7"/>
  <c r="P166" i="7"/>
  <c r="P260" i="7"/>
  <c r="P269" i="7"/>
  <c r="P290" i="7"/>
  <c r="P297" i="7"/>
  <c r="P311" i="7"/>
  <c r="Q243" i="7"/>
  <c r="P15" i="7"/>
  <c r="P24" i="7"/>
  <c r="P52" i="7"/>
  <c r="P61" i="7"/>
  <c r="P157" i="7"/>
  <c r="Q189" i="7"/>
  <c r="R189" i="7" s="1"/>
  <c r="Q202" i="7"/>
  <c r="R202" i="7" s="1"/>
  <c r="P248" i="7"/>
  <c r="P253" i="7"/>
  <c r="P267" i="7"/>
  <c r="P283" i="7"/>
  <c r="P288" i="7"/>
  <c r="P295" i="7"/>
  <c r="P59" i="7"/>
  <c r="Q193" i="7"/>
  <c r="P304" i="7"/>
  <c r="Q22" i="7"/>
  <c r="R22" i="7" s="1"/>
  <c r="P98" i="7"/>
  <c r="P164" i="7"/>
  <c r="Q173" i="7"/>
  <c r="R173" i="7" s="1"/>
  <c r="Q191" i="7"/>
  <c r="R191" i="7" s="1"/>
  <c r="Q228" i="7"/>
  <c r="R228" i="7" s="1"/>
  <c r="P276" i="7"/>
  <c r="P302" i="7"/>
  <c r="P309" i="7"/>
  <c r="Q94" i="6"/>
  <c r="R94" i="6" s="1"/>
  <c r="Q6" i="7"/>
  <c r="R6" i="7" s="1"/>
  <c r="P57" i="7"/>
  <c r="P112" i="7"/>
  <c r="Q148" i="7"/>
  <c r="R148" i="7" s="1"/>
  <c r="P187" i="7"/>
  <c r="Q226" i="7"/>
  <c r="R226" i="7" s="1"/>
  <c r="P246" i="7"/>
  <c r="Q68" i="7"/>
  <c r="R68" i="7" s="1"/>
  <c r="Q89" i="7"/>
  <c r="R89" i="7" s="1"/>
  <c r="Q200" i="7"/>
  <c r="R200" i="7" s="1"/>
  <c r="Q219" i="7"/>
  <c r="R219" i="7" s="1"/>
  <c r="P238" i="7"/>
  <c r="P274" i="7"/>
  <c r="Q281" i="7"/>
  <c r="Q293" i="7"/>
  <c r="Q102" i="7"/>
  <c r="R102" i="7" s="1"/>
  <c r="Q132" i="7"/>
  <c r="R132" i="7" s="1"/>
  <c r="P29" i="7"/>
  <c r="Q50" i="7"/>
  <c r="R50" i="7" s="1"/>
  <c r="P155" i="7"/>
  <c r="P43" i="7"/>
  <c r="P114" i="7"/>
  <c r="Q27" i="7"/>
  <c r="R27" i="7" s="1"/>
  <c r="Q34" i="7"/>
  <c r="P66" i="7"/>
  <c r="P73" i="7"/>
  <c r="P78" i="7"/>
  <c r="P80" i="7"/>
  <c r="Q96" i="7"/>
  <c r="R96" i="7" s="1"/>
  <c r="P110" i="7"/>
  <c r="Q153" i="7"/>
  <c r="R153" i="7" s="1"/>
  <c r="P185" i="7"/>
  <c r="P196" i="7"/>
  <c r="P205" i="7"/>
  <c r="P240" i="7"/>
  <c r="Q244" i="7"/>
  <c r="R244" i="7" s="1"/>
  <c r="Q55" i="7"/>
  <c r="R55" i="7" s="1"/>
  <c r="Q144" i="7"/>
  <c r="Q272" i="7"/>
  <c r="Q16" i="7"/>
  <c r="R16" i="7" s="1"/>
  <c r="P16" i="7"/>
  <c r="Q28" i="7"/>
  <c r="R28" i="7" s="1"/>
  <c r="P28" i="7"/>
  <c r="P76" i="7"/>
  <c r="Q76" i="7"/>
  <c r="R76" i="7" s="1"/>
  <c r="P33" i="7"/>
  <c r="Q100" i="7"/>
  <c r="P100" i="7"/>
  <c r="Q259" i="7"/>
  <c r="P259" i="7"/>
  <c r="Q44" i="7"/>
  <c r="P44" i="7"/>
  <c r="Q82" i="7"/>
  <c r="R82" i="7" s="1"/>
  <c r="P82" i="7"/>
  <c r="P139" i="7"/>
  <c r="Q139" i="7"/>
  <c r="R139" i="7" s="1"/>
  <c r="Q292" i="7"/>
  <c r="P292" i="7"/>
  <c r="P26" i="7"/>
  <c r="Q26" i="7"/>
  <c r="Q58" i="7"/>
  <c r="R58" i="7" s="1"/>
  <c r="P58" i="7"/>
  <c r="Q56" i="7"/>
  <c r="R56" i="7" s="1"/>
  <c r="P56" i="7"/>
  <c r="P167" i="7"/>
  <c r="Q167" i="7"/>
  <c r="R167" i="7" s="1"/>
  <c r="Q210" i="7"/>
  <c r="R210" i="7" s="1"/>
  <c r="P210" i="7"/>
  <c r="Q224" i="7"/>
  <c r="R224" i="7" s="1"/>
  <c r="P224" i="7"/>
  <c r="P88" i="7"/>
  <c r="Q88" i="7"/>
  <c r="P165" i="7"/>
  <c r="Q165" i="7"/>
  <c r="R165" i="7" s="1"/>
  <c r="P286" i="7"/>
  <c r="Q286" i="7"/>
  <c r="Q86" i="7"/>
  <c r="R86" i="7" s="1"/>
  <c r="P86" i="7"/>
  <c r="P242" i="7"/>
  <c r="Q242" i="7"/>
  <c r="R242" i="7" s="1"/>
  <c r="P300" i="7"/>
  <c r="Q300" i="7"/>
  <c r="P20" i="7"/>
  <c r="Q20" i="7"/>
  <c r="Q163" i="7"/>
  <c r="R163" i="7" s="1"/>
  <c r="P163" i="7"/>
  <c r="P31" i="7"/>
  <c r="Q70" i="7"/>
  <c r="P70" i="7"/>
  <c r="Q84" i="7"/>
  <c r="R84" i="7" s="1"/>
  <c r="P84" i="7"/>
  <c r="Q208" i="7"/>
  <c r="R208" i="7" s="1"/>
  <c r="P208" i="7"/>
  <c r="P298" i="7"/>
  <c r="Q298" i="7"/>
  <c r="P294" i="7"/>
  <c r="P235" i="7"/>
  <c r="Q235" i="7"/>
  <c r="R235" i="7" s="1"/>
  <c r="Q263" i="7"/>
  <c r="R263" i="7" s="1"/>
  <c r="P119" i="7"/>
  <c r="Q125" i="7"/>
  <c r="R125" i="7" s="1"/>
  <c r="P91" i="7"/>
  <c r="P180" i="7"/>
  <c r="P182" i="7"/>
  <c r="P198" i="7"/>
  <c r="Q152" i="7"/>
  <c r="R152" i="7" s="1"/>
  <c r="P152" i="7"/>
  <c r="Q203" i="7"/>
  <c r="R203" i="7" s="1"/>
  <c r="P203" i="7"/>
  <c r="Q249" i="7"/>
  <c r="R249" i="7" s="1"/>
  <c r="Q254" i="7"/>
  <c r="P254" i="7"/>
  <c r="Q301" i="7"/>
  <c r="P18" i="7"/>
  <c r="Q18" i="7"/>
  <c r="R18" i="7" s="1"/>
  <c r="P137" i="7"/>
  <c r="Q137" i="7"/>
  <c r="R137" i="7" s="1"/>
  <c r="Q296" i="7"/>
  <c r="P296" i="7"/>
  <c r="P42" i="7"/>
  <c r="Q54" i="7"/>
  <c r="R54" i="7" s="1"/>
  <c r="P54" i="7"/>
  <c r="Q135" i="7"/>
  <c r="R135" i="7" s="1"/>
  <c r="P135" i="7"/>
  <c r="P188" i="7"/>
  <c r="Q188" i="7"/>
  <c r="R188" i="7" s="1"/>
  <c r="P186" i="7"/>
  <c r="Q186" i="7"/>
  <c r="R186" i="7" s="1"/>
  <c r="P36" i="7"/>
  <c r="Q184" i="7"/>
  <c r="R184" i="7" s="1"/>
  <c r="P184" i="7"/>
  <c r="Q222" i="7"/>
  <c r="R222" i="7" s="1"/>
  <c r="P237" i="7"/>
  <c r="Q237" i="7"/>
  <c r="R237" i="7" s="1"/>
  <c r="Q265" i="7"/>
  <c r="Q46" i="7"/>
  <c r="R46" i="7" s="1"/>
  <c r="Q48" i="7"/>
  <c r="R48" i="7" s="1"/>
  <c r="Q105" i="7"/>
  <c r="R105" i="7" s="1"/>
  <c r="P105" i="7"/>
  <c r="P261" i="7"/>
  <c r="Q284" i="7"/>
  <c r="P5" i="7"/>
  <c r="Q11" i="7"/>
  <c r="R11" i="7" s="1"/>
  <c r="P11" i="7"/>
  <c r="P30" i="7"/>
  <c r="P41" i="7"/>
  <c r="Q41" i="7"/>
  <c r="R41" i="7" s="1"/>
  <c r="P72" i="7"/>
  <c r="Q74" i="7"/>
  <c r="R74" i="7" s="1"/>
  <c r="P131" i="7"/>
  <c r="P133" i="7"/>
  <c r="P149" i="7"/>
  <c r="P212" i="7"/>
  <c r="Q233" i="7"/>
  <c r="P233" i="7"/>
  <c r="P278" i="7"/>
  <c r="P282" i="7"/>
  <c r="P7" i="7"/>
  <c r="P39" i="7"/>
  <c r="Q39" i="7"/>
  <c r="R39" i="7" s="1"/>
  <c r="Q103" i="7"/>
  <c r="R103" i="7" s="1"/>
  <c r="P103" i="7"/>
  <c r="Q154" i="7"/>
  <c r="R154" i="7" s="1"/>
  <c r="P154" i="7"/>
  <c r="Q251" i="7"/>
  <c r="P258" i="7"/>
  <c r="Q258" i="7"/>
  <c r="P25" i="7"/>
  <c r="Q37" i="7"/>
  <c r="R37" i="7" s="1"/>
  <c r="P37" i="7"/>
  <c r="P121" i="7"/>
  <c r="Q123" i="7"/>
  <c r="R123" i="7" s="1"/>
  <c r="P168" i="7"/>
  <c r="Q174" i="7"/>
  <c r="R174" i="7" s="1"/>
  <c r="P256" i="7"/>
  <c r="Q256" i="7"/>
  <c r="Q307" i="7"/>
  <c r="P9" i="7"/>
  <c r="Q13" i="7"/>
  <c r="P21" i="7"/>
  <c r="P69" i="7"/>
  <c r="Q69" i="7"/>
  <c r="P107" i="7"/>
  <c r="P67" i="7"/>
  <c r="Q67" i="7"/>
  <c r="Q97" i="7"/>
  <c r="R97" i="7" s="1"/>
  <c r="Q172" i="7"/>
  <c r="P217" i="7"/>
  <c r="Q223" i="7"/>
  <c r="R223" i="7" s="1"/>
  <c r="P229" i="7"/>
  <c r="P231" i="7"/>
  <c r="P247" i="7"/>
  <c r="Q252" i="7"/>
  <c r="P252" i="7"/>
  <c r="P279" i="7"/>
  <c r="Q279" i="7"/>
  <c r="P287" i="7"/>
  <c r="P303" i="7"/>
  <c r="Q305" i="7"/>
  <c r="P216" i="7"/>
  <c r="Q216" i="7"/>
  <c r="R216" i="7" s="1"/>
  <c r="P214" i="7"/>
  <c r="Q214" i="7"/>
  <c r="R214" i="7" s="1"/>
  <c r="Q4" i="7"/>
  <c r="P4" i="7"/>
  <c r="P45" i="7"/>
  <c r="P118" i="7"/>
  <c r="Q118" i="7"/>
  <c r="R118" i="7" s="1"/>
  <c r="Q201" i="7"/>
  <c r="R201" i="7" s="1"/>
  <c r="P201" i="7"/>
  <c r="P277" i="7"/>
  <c r="Q277" i="7"/>
  <c r="P35" i="7"/>
  <c r="Q75" i="7"/>
  <c r="R75" i="7" s="1"/>
  <c r="P90" i="7"/>
  <c r="Q90" i="7"/>
  <c r="R90" i="7" s="1"/>
  <c r="P116" i="7"/>
  <c r="Q116" i="7"/>
  <c r="R116" i="7" s="1"/>
  <c r="Q146" i="7"/>
  <c r="R146" i="7" s="1"/>
  <c r="Q221" i="7"/>
  <c r="R221" i="7" s="1"/>
  <c r="Q275" i="7"/>
  <c r="P275" i="7"/>
  <c r="Q306" i="7"/>
  <c r="P306" i="7"/>
  <c r="P32" i="7"/>
  <c r="Q109" i="7"/>
  <c r="R109" i="7" s="1"/>
  <c r="Q111" i="7"/>
  <c r="R111" i="7" s="1"/>
  <c r="Q158" i="7"/>
  <c r="R158" i="7" s="1"/>
  <c r="Q160" i="7"/>
  <c r="R160" i="7" s="1"/>
  <c r="Q207" i="7"/>
  <c r="R207" i="7" s="1"/>
  <c r="Q209" i="7"/>
  <c r="R209" i="7" s="1"/>
  <c r="P310" i="7"/>
  <c r="Q312" i="7"/>
  <c r="P299" i="6"/>
  <c r="P35" i="6"/>
  <c r="P42" i="6"/>
  <c r="P25" i="6"/>
  <c r="P192" i="6"/>
  <c r="Q216" i="6"/>
  <c r="R216" i="6" s="1"/>
  <c r="P33" i="6"/>
  <c r="Q170" i="6"/>
  <c r="R170" i="6" s="1"/>
  <c r="P261" i="6"/>
  <c r="P297" i="6"/>
  <c r="Q154" i="6"/>
  <c r="R154" i="6" s="1"/>
  <c r="P229" i="6"/>
  <c r="P243" i="6"/>
  <c r="P254" i="6"/>
  <c r="P38" i="6"/>
  <c r="P44" i="6"/>
  <c r="P63" i="6"/>
  <c r="P68" i="6"/>
  <c r="Q125" i="6"/>
  <c r="R125" i="6" s="1"/>
  <c r="P206" i="6"/>
  <c r="Q111" i="6"/>
  <c r="R111" i="6" s="1"/>
  <c r="P106" i="6"/>
  <c r="Q279" i="6"/>
  <c r="R279" i="6" s="1"/>
  <c r="P50" i="6"/>
  <c r="Q136" i="6"/>
  <c r="R136" i="6" s="1"/>
  <c r="Q158" i="6"/>
  <c r="R158" i="6" s="1"/>
  <c r="P77" i="6"/>
  <c r="P191" i="6"/>
  <c r="Q223" i="6"/>
  <c r="R223" i="6" s="1"/>
  <c r="P255" i="6"/>
  <c r="Q96" i="6"/>
  <c r="R96" i="6" s="1"/>
  <c r="P134" i="6"/>
  <c r="P309" i="6"/>
  <c r="Q64" i="6"/>
  <c r="R64" i="6" s="1"/>
  <c r="P189" i="6"/>
  <c r="Q202" i="6"/>
  <c r="R202" i="6" s="1"/>
  <c r="Q218" i="6"/>
  <c r="R218" i="6" s="1"/>
  <c r="P234" i="6"/>
  <c r="P304" i="6"/>
  <c r="P129" i="6"/>
  <c r="Q16" i="6"/>
  <c r="R16" i="6" s="1"/>
  <c r="Q27" i="6"/>
  <c r="R27" i="6" s="1"/>
  <c r="P105" i="6"/>
  <c r="P140" i="6"/>
  <c r="Q263" i="6"/>
  <c r="R263" i="6" s="1"/>
  <c r="P45" i="6"/>
  <c r="Q278" i="6"/>
  <c r="R278" i="6" s="1"/>
  <c r="P31" i="6"/>
  <c r="P123" i="6"/>
  <c r="Q143" i="6"/>
  <c r="R143" i="6" s="1"/>
  <c r="P227" i="6"/>
  <c r="Q252" i="6"/>
  <c r="R252" i="6" s="1"/>
  <c r="P273" i="6"/>
  <c r="P288" i="6"/>
  <c r="P296" i="6"/>
  <c r="Q53" i="6"/>
  <c r="R53" i="6" s="1"/>
  <c r="P98" i="6"/>
  <c r="Q115" i="6"/>
  <c r="R115" i="6" s="1"/>
  <c r="Q151" i="6"/>
  <c r="R151" i="6" s="1"/>
  <c r="P172" i="6"/>
  <c r="Q195" i="6"/>
  <c r="R195" i="6" s="1"/>
  <c r="P220" i="6"/>
  <c r="P222" i="6"/>
  <c r="P283" i="6"/>
  <c r="Q81" i="6"/>
  <c r="R81" i="6" s="1"/>
  <c r="Q86" i="6"/>
  <c r="R86" i="6" s="1"/>
  <c r="P91" i="6"/>
  <c r="Q113" i="6"/>
  <c r="R113" i="6" s="1"/>
  <c r="P180" i="6"/>
  <c r="P213" i="6"/>
  <c r="Q257" i="6"/>
  <c r="R257" i="6" s="1"/>
  <c r="Q269" i="6"/>
  <c r="R269" i="6" s="1"/>
  <c r="Q271" i="6"/>
  <c r="R271" i="6" s="1"/>
  <c r="P281" i="6"/>
  <c r="P311" i="6"/>
  <c r="Q42" i="6"/>
  <c r="P52" i="6"/>
  <c r="P80" i="6"/>
  <c r="P85" i="6"/>
  <c r="Q87" i="6"/>
  <c r="R87" i="6" s="1"/>
  <c r="Q114" i="6"/>
  <c r="R114" i="6" s="1"/>
  <c r="P127" i="6"/>
  <c r="Q150" i="6"/>
  <c r="R150" i="6" s="1"/>
  <c r="Q194" i="6"/>
  <c r="R194" i="6" s="1"/>
  <c r="P212" i="6"/>
  <c r="P214" i="6"/>
  <c r="Q221" i="6"/>
  <c r="R221" i="6" s="1"/>
  <c r="Q241" i="6"/>
  <c r="R241" i="6" s="1"/>
  <c r="Q270" i="6"/>
  <c r="R270" i="6" s="1"/>
  <c r="P282" i="6"/>
  <c r="Q35" i="6"/>
  <c r="P40" i="6"/>
  <c r="Q60" i="6"/>
  <c r="R60" i="6" s="1"/>
  <c r="P70" i="6"/>
  <c r="P107" i="6"/>
  <c r="P163" i="6"/>
  <c r="P239" i="6"/>
  <c r="P4" i="6"/>
  <c r="P9" i="6"/>
  <c r="Q20" i="6"/>
  <c r="R20" i="6" s="1"/>
  <c r="Q130" i="6"/>
  <c r="R130" i="6" s="1"/>
  <c r="Q161" i="6"/>
  <c r="R161" i="6" s="1"/>
  <c r="Q174" i="6"/>
  <c r="R174" i="6" s="1"/>
  <c r="P259" i="6"/>
  <c r="Q76" i="6"/>
  <c r="R76" i="6" s="1"/>
  <c r="Q200" i="6"/>
  <c r="R200" i="6" s="1"/>
  <c r="P250" i="6"/>
  <c r="Q51" i="6"/>
  <c r="R51" i="6" s="1"/>
  <c r="P108" i="6"/>
  <c r="Q301" i="6"/>
  <c r="R301" i="6" s="1"/>
  <c r="P57" i="6"/>
  <c r="P92" i="6"/>
  <c r="Q199" i="6"/>
  <c r="R199" i="6" s="1"/>
  <c r="Q204" i="6"/>
  <c r="R204" i="6" s="1"/>
  <c r="Q265" i="6"/>
  <c r="R265" i="6" s="1"/>
  <c r="Q272" i="6"/>
  <c r="R272" i="6" s="1"/>
  <c r="Q117" i="6"/>
  <c r="R117" i="6" s="1"/>
  <c r="P117" i="6"/>
  <c r="Q66" i="6"/>
  <c r="R66" i="6" s="1"/>
  <c r="P66" i="6"/>
  <c r="Q178" i="6"/>
  <c r="R178" i="6" s="1"/>
  <c r="P178" i="6"/>
  <c r="Q231" i="6"/>
  <c r="R231" i="6" s="1"/>
  <c r="P231" i="6"/>
  <c r="Q210" i="6"/>
  <c r="R210" i="6" s="1"/>
  <c r="P210" i="6"/>
  <c r="Q14" i="6"/>
  <c r="R14" i="6" s="1"/>
  <c r="P24" i="6"/>
  <c r="P47" i="6"/>
  <c r="P59" i="6"/>
  <c r="Q61" i="6"/>
  <c r="R61" i="6" s="1"/>
  <c r="Q149" i="6"/>
  <c r="R149" i="6" s="1"/>
  <c r="P149" i="6"/>
  <c r="Q183" i="6"/>
  <c r="R183" i="6" s="1"/>
  <c r="P22" i="6"/>
  <c r="Q73" i="6"/>
  <c r="R73" i="6" s="1"/>
  <c r="P101" i="6"/>
  <c r="P104" i="6"/>
  <c r="Q104" i="6"/>
  <c r="R104" i="6" s="1"/>
  <c r="Q132" i="6"/>
  <c r="R132" i="6" s="1"/>
  <c r="P142" i="6"/>
  <c r="Q171" i="6"/>
  <c r="R171" i="6" s="1"/>
  <c r="P171" i="6"/>
  <c r="Q203" i="6"/>
  <c r="R203" i="6" s="1"/>
  <c r="P203" i="6"/>
  <c r="P248" i="6"/>
  <c r="P280" i="6"/>
  <c r="Q292" i="6"/>
  <c r="R292" i="6" s="1"/>
  <c r="P292" i="6"/>
  <c r="P294" i="6"/>
  <c r="Q233" i="6"/>
  <c r="R233" i="6" s="1"/>
  <c r="P233" i="6"/>
  <c r="Q29" i="6"/>
  <c r="R29" i="6" s="1"/>
  <c r="Q166" i="6"/>
  <c r="R166" i="6" s="1"/>
  <c r="P166" i="6"/>
  <c r="Q276" i="6"/>
  <c r="R276" i="6" s="1"/>
  <c r="P276" i="6"/>
  <c r="Q138" i="6"/>
  <c r="R138" i="6" s="1"/>
  <c r="P138" i="6"/>
  <c r="Q201" i="6"/>
  <c r="R201" i="6" s="1"/>
  <c r="P201" i="6"/>
  <c r="P244" i="6"/>
  <c r="Q244" i="6"/>
  <c r="R244" i="6" s="1"/>
  <c r="Q100" i="6"/>
  <c r="R100" i="6" s="1"/>
  <c r="P100" i="6"/>
  <c r="Q162" i="6"/>
  <c r="R162" i="6" s="1"/>
  <c r="P162" i="6"/>
  <c r="Q208" i="6"/>
  <c r="R208" i="6" s="1"/>
  <c r="Q121" i="6"/>
  <c r="R121" i="6" s="1"/>
  <c r="P153" i="6"/>
  <c r="Q153" i="6"/>
  <c r="R153" i="6" s="1"/>
  <c r="P37" i="6"/>
  <c r="Q37" i="6"/>
  <c r="Q18" i="6"/>
  <c r="R18" i="6" s="1"/>
  <c r="P18" i="6"/>
  <c r="Q102" i="6"/>
  <c r="R102" i="6" s="1"/>
  <c r="P102" i="6"/>
  <c r="P267" i="6"/>
  <c r="Q267" i="6"/>
  <c r="R267" i="6" s="1"/>
  <c r="Q55" i="6"/>
  <c r="R55" i="6" s="1"/>
  <c r="Q147" i="6"/>
  <c r="R147" i="6" s="1"/>
  <c r="P262" i="6"/>
  <c r="Q312" i="6"/>
  <c r="R312" i="6" s="1"/>
  <c r="P312" i="6"/>
  <c r="P7" i="6"/>
  <c r="P13" i="6"/>
  <c r="Q48" i="6"/>
  <c r="R48" i="6" s="1"/>
  <c r="P124" i="6"/>
  <c r="Q124" i="6"/>
  <c r="R124" i="6" s="1"/>
  <c r="P145" i="6"/>
  <c r="Q159" i="6"/>
  <c r="R159" i="6" s="1"/>
  <c r="P232" i="6"/>
  <c r="P242" i="6"/>
  <c r="Q242" i="6"/>
  <c r="R242" i="6" s="1"/>
  <c r="P290" i="6"/>
  <c r="Q25" i="6"/>
  <c r="P72" i="6"/>
  <c r="P79" i="6"/>
  <c r="P126" i="6"/>
  <c r="Q155" i="6"/>
  <c r="R155" i="6" s="1"/>
  <c r="P155" i="6"/>
  <c r="P157" i="6"/>
  <c r="Q185" i="6"/>
  <c r="R185" i="6" s="1"/>
  <c r="P185" i="6"/>
  <c r="P187" i="6"/>
  <c r="Q305" i="6"/>
  <c r="R305" i="6" s="1"/>
  <c r="P305" i="6"/>
  <c r="Q307" i="6"/>
  <c r="R307" i="6" s="1"/>
  <c r="P75" i="6"/>
  <c r="Q75" i="6"/>
  <c r="R75" i="6" s="1"/>
  <c r="Q122" i="6"/>
  <c r="R122" i="6" s="1"/>
  <c r="P122" i="6"/>
  <c r="Q164" i="6"/>
  <c r="R164" i="6" s="1"/>
  <c r="Q225" i="6"/>
  <c r="R225" i="6" s="1"/>
  <c r="P240" i="6"/>
  <c r="Q240" i="6"/>
  <c r="R240" i="6" s="1"/>
  <c r="Q303" i="6"/>
  <c r="R303" i="6" s="1"/>
  <c r="P303" i="6"/>
  <c r="P251" i="6"/>
  <c r="Q251" i="6"/>
  <c r="R251" i="6" s="1"/>
  <c r="P112" i="6"/>
  <c r="Q112" i="6"/>
  <c r="R112" i="6" s="1"/>
  <c r="Q249" i="6"/>
  <c r="R249" i="6" s="1"/>
  <c r="P249" i="6"/>
  <c r="Q266" i="6"/>
  <c r="R266" i="6" s="1"/>
  <c r="P266" i="6"/>
  <c r="P285" i="6"/>
  <c r="Q285" i="6"/>
  <c r="R285" i="6" s="1"/>
  <c r="P196" i="6"/>
  <c r="Q196" i="6"/>
  <c r="R196" i="6" s="1"/>
  <c r="Q205" i="6"/>
  <c r="R205" i="6" s="1"/>
  <c r="P205" i="6"/>
  <c r="Q235" i="6"/>
  <c r="R235" i="6" s="1"/>
  <c r="P235" i="6"/>
  <c r="P300" i="6"/>
  <c r="Q300" i="6"/>
  <c r="R300" i="6" s="1"/>
  <c r="Q175" i="6"/>
  <c r="R175" i="6" s="1"/>
  <c r="P175" i="6"/>
  <c r="Q12" i="6"/>
  <c r="R12" i="6" s="1"/>
  <c r="P12" i="6"/>
  <c r="Q23" i="6"/>
  <c r="R23" i="6" s="1"/>
  <c r="P23" i="6"/>
  <c r="Q119" i="6"/>
  <c r="R119" i="6" s="1"/>
  <c r="P119" i="6"/>
  <c r="Q190" i="6"/>
  <c r="R190" i="6" s="1"/>
  <c r="P190" i="6"/>
  <c r="Q238" i="6"/>
  <c r="R238" i="6" s="1"/>
  <c r="P238" i="6"/>
  <c r="P247" i="6"/>
  <c r="Q247" i="6"/>
  <c r="R247" i="6" s="1"/>
  <c r="Q264" i="6"/>
  <c r="R264" i="6" s="1"/>
  <c r="P264" i="6"/>
  <c r="Q275" i="6"/>
  <c r="R275" i="6" s="1"/>
  <c r="P275" i="6"/>
  <c r="P34" i="6"/>
  <c r="Q34" i="6"/>
  <c r="R34" i="6" s="1"/>
  <c r="P46" i="6"/>
  <c r="P89" i="6"/>
  <c r="P139" i="6"/>
  <c r="Q139" i="6"/>
  <c r="R139" i="6" s="1"/>
  <c r="Q93" i="6"/>
  <c r="R93" i="6" s="1"/>
  <c r="P93" i="6"/>
  <c r="P78" i="6"/>
  <c r="Q78" i="6"/>
  <c r="R78" i="6" s="1"/>
  <c r="P109" i="6"/>
  <c r="Q10" i="6"/>
  <c r="R10" i="6" s="1"/>
  <c r="P10" i="6"/>
  <c r="Q21" i="6"/>
  <c r="R21" i="6" s="1"/>
  <c r="P21" i="6"/>
  <c r="P110" i="6"/>
  <c r="Q110" i="6"/>
  <c r="R110" i="6" s="1"/>
  <c r="Q141" i="6"/>
  <c r="R141" i="6" s="1"/>
  <c r="P141" i="6"/>
  <c r="Q173" i="6"/>
  <c r="R173" i="6" s="1"/>
  <c r="P173" i="6"/>
  <c r="P188" i="6"/>
  <c r="Q188" i="6"/>
  <c r="R188" i="6" s="1"/>
  <c r="P133" i="6"/>
  <c r="Q133" i="6"/>
  <c r="R133" i="6" s="1"/>
  <c r="P277" i="6"/>
  <c r="Q58" i="6"/>
  <c r="R58" i="6" s="1"/>
  <c r="P58" i="6"/>
  <c r="Q83" i="6"/>
  <c r="R83" i="6" s="1"/>
  <c r="Q148" i="6"/>
  <c r="R148" i="6" s="1"/>
  <c r="P148" i="6"/>
  <c r="P298" i="6"/>
  <c r="Q19" i="6"/>
  <c r="R19" i="6" s="1"/>
  <c r="P19" i="6"/>
  <c r="Q156" i="6"/>
  <c r="R156" i="6" s="1"/>
  <c r="P156" i="6"/>
  <c r="Q184" i="6"/>
  <c r="R184" i="6" s="1"/>
  <c r="P184" i="6"/>
  <c r="P245" i="6"/>
  <c r="Q245" i="6"/>
  <c r="R245" i="6" s="1"/>
  <c r="Q30" i="6"/>
  <c r="P30" i="6"/>
  <c r="Q135" i="6"/>
  <c r="R135" i="6" s="1"/>
  <c r="P135" i="6"/>
  <c r="P41" i="6"/>
  <c r="Q41" i="6"/>
  <c r="R41" i="6" s="1"/>
  <c r="Q56" i="6"/>
  <c r="R56" i="6" s="1"/>
  <c r="P56" i="6"/>
  <c r="P131" i="6"/>
  <c r="Q131" i="6"/>
  <c r="R131" i="6" s="1"/>
  <c r="Q182" i="6"/>
  <c r="R182" i="6" s="1"/>
  <c r="Q226" i="6"/>
  <c r="R226" i="6" s="1"/>
  <c r="P226" i="6"/>
  <c r="Q39" i="6"/>
  <c r="R39" i="6" s="1"/>
  <c r="P39" i="6"/>
  <c r="P69" i="6"/>
  <c r="Q69" i="6"/>
  <c r="R69" i="6" s="1"/>
  <c r="P165" i="6"/>
  <c r="Q165" i="6"/>
  <c r="R165" i="6" s="1"/>
  <c r="P176" i="6"/>
  <c r="Q211" i="6"/>
  <c r="R211" i="6" s="1"/>
  <c r="P211" i="6"/>
  <c r="P256" i="6"/>
  <c r="P8" i="6"/>
  <c r="P152" i="6"/>
  <c r="Q152" i="6"/>
  <c r="R152" i="6" s="1"/>
  <c r="P167" i="6"/>
  <c r="Q167" i="6"/>
  <c r="R167" i="6" s="1"/>
  <c r="P169" i="6"/>
  <c r="Q258" i="6"/>
  <c r="R258" i="6" s="1"/>
  <c r="P146" i="6"/>
  <c r="Q146" i="6"/>
  <c r="R146" i="6" s="1"/>
  <c r="P15" i="6"/>
  <c r="P28" i="6"/>
  <c r="P84" i="6"/>
  <c r="Q84" i="6"/>
  <c r="R84" i="6" s="1"/>
  <c r="Q99" i="6"/>
  <c r="R99" i="6" s="1"/>
  <c r="P99" i="6"/>
  <c r="P118" i="6"/>
  <c r="Q118" i="6"/>
  <c r="R118" i="6" s="1"/>
  <c r="P198" i="6"/>
  <c r="Q198" i="6"/>
  <c r="R198" i="6" s="1"/>
  <c r="P209" i="6"/>
  <c r="Q209" i="6"/>
  <c r="R209" i="6" s="1"/>
  <c r="Q224" i="6"/>
  <c r="R224" i="6" s="1"/>
  <c r="P224" i="6"/>
  <c r="Q289" i="6"/>
  <c r="R289" i="6" s="1"/>
  <c r="P289" i="6"/>
  <c r="Q308" i="6"/>
  <c r="R308" i="6" s="1"/>
  <c r="P308" i="6"/>
  <c r="P260" i="6"/>
  <c r="Q260" i="6"/>
  <c r="R260" i="6" s="1"/>
  <c r="P6" i="6"/>
  <c r="Q32" i="6"/>
  <c r="P32" i="6"/>
  <c r="P74" i="6"/>
  <c r="P230" i="6"/>
  <c r="Q230" i="6"/>
  <c r="R230" i="6" s="1"/>
  <c r="Q228" i="6"/>
  <c r="R228" i="6" s="1"/>
  <c r="P228" i="6"/>
  <c r="P26" i="6"/>
  <c r="P54" i="6"/>
  <c r="Q54" i="6"/>
  <c r="R54" i="6" s="1"/>
  <c r="P11" i="6"/>
  <c r="Q67" i="6"/>
  <c r="R67" i="6" s="1"/>
  <c r="P67" i="6"/>
  <c r="P97" i="6"/>
  <c r="Q97" i="6"/>
  <c r="R97" i="6" s="1"/>
  <c r="P193" i="6"/>
  <c r="P287" i="6"/>
  <c r="Q287" i="6"/>
  <c r="R287" i="6" s="1"/>
  <c r="Q186" i="6"/>
  <c r="R186" i="6" s="1"/>
  <c r="P186" i="6"/>
  <c r="Q236" i="6"/>
  <c r="R236" i="6" s="1"/>
  <c r="P236" i="6"/>
  <c r="Q6" i="6"/>
  <c r="P17" i="6"/>
  <c r="Q17" i="6"/>
  <c r="R17" i="6" s="1"/>
  <c r="Q43" i="6"/>
  <c r="P43" i="6"/>
  <c r="Q71" i="6"/>
  <c r="R71" i="6" s="1"/>
  <c r="P71" i="6"/>
  <c r="Q120" i="6"/>
  <c r="R120" i="6" s="1"/>
  <c r="P120" i="6"/>
  <c r="Q65" i="6"/>
  <c r="R65" i="6" s="1"/>
  <c r="P65" i="6"/>
  <c r="Q82" i="6"/>
  <c r="R82" i="6" s="1"/>
  <c r="P82" i="6"/>
  <c r="Q95" i="6"/>
  <c r="R95" i="6" s="1"/>
  <c r="P95" i="6"/>
  <c r="P144" i="6"/>
  <c r="Q207" i="6"/>
  <c r="R207" i="6" s="1"/>
  <c r="P207" i="6"/>
  <c r="Q268" i="6"/>
  <c r="R268" i="6" s="1"/>
  <c r="P268" i="6"/>
  <c r="Q302" i="6"/>
  <c r="R302" i="6" s="1"/>
  <c r="P302" i="6"/>
  <c r="P306" i="6"/>
  <c r="Q306" i="6"/>
  <c r="R306" i="6" s="1"/>
  <c r="Q217" i="6"/>
  <c r="R217" i="6" s="1"/>
  <c r="P217" i="6"/>
  <c r="Q295" i="6"/>
  <c r="R295" i="6" s="1"/>
  <c r="P295" i="6"/>
  <c r="P90" i="6"/>
  <c r="Q90" i="6"/>
  <c r="R90" i="6" s="1"/>
  <c r="Q137" i="6"/>
  <c r="R137" i="6" s="1"/>
  <c r="P137" i="6"/>
  <c r="Q168" i="6"/>
  <c r="R168" i="6" s="1"/>
  <c r="P168" i="6"/>
  <c r="P36" i="6"/>
  <c r="P49" i="6"/>
  <c r="P179" i="6"/>
  <c r="Q246" i="6"/>
  <c r="R246" i="6" s="1"/>
  <c r="P246" i="6"/>
  <c r="P253" i="6"/>
  <c r="P274" i="6"/>
  <c r="P286" i="6"/>
  <c r="Q286" i="6"/>
  <c r="R286" i="6" s="1"/>
  <c r="P291" i="6"/>
  <c r="P310" i="6"/>
  <c r="Q177" i="6"/>
  <c r="R177" i="6" s="1"/>
  <c r="P177" i="6"/>
  <c r="Q88" i="6"/>
  <c r="R88" i="6" s="1"/>
  <c r="P88" i="6"/>
  <c r="Q128" i="6"/>
  <c r="R128" i="6" s="1"/>
  <c r="P128" i="6"/>
  <c r="P103" i="6"/>
  <c r="P116" i="6"/>
  <c r="P219" i="6"/>
  <c r="P5" i="6"/>
  <c r="Q62" i="6"/>
  <c r="R62" i="6" s="1"/>
  <c r="Q160" i="6"/>
  <c r="R160" i="6" s="1"/>
  <c r="Q181" i="6"/>
  <c r="R181" i="6" s="1"/>
  <c r="P215" i="6"/>
  <c r="Q284" i="6"/>
  <c r="R284" i="6" s="1"/>
  <c r="P284" i="6"/>
  <c r="Q293" i="6"/>
  <c r="R293" i="6" s="1"/>
  <c r="Q197" i="6"/>
  <c r="R197" i="6" s="1"/>
  <c r="P197" i="6"/>
  <c r="P237" i="6"/>
  <c r="Q237" i="6"/>
  <c r="R237" i="6" s="1"/>
  <c r="R98" i="8" l="1"/>
  <c r="R160" i="10"/>
  <c r="R65" i="7"/>
  <c r="R105" i="8"/>
  <c r="R112" i="8"/>
  <c r="R249" i="13"/>
  <c r="R217" i="13"/>
  <c r="R34" i="10"/>
  <c r="R81" i="13"/>
  <c r="R100" i="7"/>
  <c r="R175" i="13"/>
  <c r="R9" i="13"/>
  <c r="R37" i="6"/>
  <c r="R243" i="7"/>
  <c r="R106" i="8"/>
  <c r="R172" i="7"/>
  <c r="R99" i="8"/>
  <c r="R88" i="10"/>
  <c r="R51" i="9"/>
  <c r="R6" i="13"/>
  <c r="R130" i="13"/>
  <c r="R279" i="13"/>
  <c r="R309" i="13"/>
  <c r="R297" i="13"/>
  <c r="R293" i="13"/>
  <c r="R303" i="13"/>
  <c r="R311" i="13"/>
  <c r="R294" i="13"/>
  <c r="R267" i="13"/>
  <c r="R283" i="13"/>
  <c r="R125" i="13"/>
  <c r="R307" i="13"/>
  <c r="R286" i="13"/>
  <c r="R290" i="13"/>
  <c r="R310" i="13"/>
  <c r="R300" i="13"/>
  <c r="R220" i="13"/>
  <c r="R308" i="13"/>
  <c r="R302" i="13"/>
  <c r="R287" i="13"/>
  <c r="R305" i="13"/>
  <c r="R282" i="13"/>
  <c r="R280" i="13"/>
  <c r="R306" i="13"/>
  <c r="R292" i="13"/>
  <c r="R281" i="13"/>
  <c r="R268" i="13"/>
  <c r="R295" i="13"/>
  <c r="R269" i="13"/>
  <c r="R265" i="13"/>
  <c r="R301" i="13"/>
  <c r="R289" i="13"/>
  <c r="R296" i="13"/>
  <c r="R304" i="13"/>
  <c r="R285" i="13"/>
  <c r="R16" i="13"/>
  <c r="R266" i="13"/>
  <c r="R284" i="13"/>
  <c r="R291" i="13"/>
  <c r="R12" i="13"/>
  <c r="R19" i="13"/>
  <c r="R30" i="13"/>
  <c r="R30" i="12"/>
  <c r="R19" i="12"/>
  <c r="R12" i="12"/>
  <c r="R162" i="12"/>
  <c r="R310" i="12"/>
  <c r="R311" i="12"/>
  <c r="R309" i="12"/>
  <c r="R302" i="12"/>
  <c r="R293" i="12"/>
  <c r="R297" i="12"/>
  <c r="R271" i="12"/>
  <c r="R287" i="12"/>
  <c r="R269" i="12"/>
  <c r="R18" i="12"/>
  <c r="R267" i="12"/>
  <c r="R244" i="12"/>
  <c r="R251" i="12"/>
  <c r="R305" i="12"/>
  <c r="R307" i="12"/>
  <c r="R286" i="12"/>
  <c r="R20" i="12"/>
  <c r="R289" i="12"/>
  <c r="R294" i="12"/>
  <c r="R284" i="12"/>
  <c r="R250" i="12"/>
  <c r="R265" i="12"/>
  <c r="R299" i="12"/>
  <c r="R303" i="12"/>
  <c r="R272" i="12"/>
  <c r="R33" i="12"/>
  <c r="R266" i="12"/>
  <c r="R291" i="12"/>
  <c r="R312" i="12"/>
  <c r="R282" i="12"/>
  <c r="R296" i="12"/>
  <c r="R298" i="12"/>
  <c r="R300" i="12"/>
  <c r="R304" i="12"/>
  <c r="R270" i="12"/>
  <c r="R245" i="12"/>
  <c r="R285" i="12"/>
  <c r="R268" i="12"/>
  <c r="R273" i="12"/>
  <c r="R138" i="12"/>
  <c r="R295" i="12"/>
  <c r="R288" i="12"/>
  <c r="R97" i="12"/>
  <c r="R306" i="12"/>
  <c r="R308" i="12"/>
  <c r="R5" i="12"/>
  <c r="R283" i="12"/>
  <c r="R301" i="12"/>
  <c r="R292" i="12"/>
  <c r="R299" i="10"/>
  <c r="R287" i="10"/>
  <c r="R266" i="10"/>
  <c r="R307" i="10"/>
  <c r="R293" i="10"/>
  <c r="R306" i="10"/>
  <c r="R310" i="10"/>
  <c r="R308" i="10"/>
  <c r="R284" i="10"/>
  <c r="R300" i="10"/>
  <c r="R298" i="10"/>
  <c r="R296" i="10"/>
  <c r="R304" i="10"/>
  <c r="R302" i="10"/>
  <c r="R245" i="10"/>
  <c r="R272" i="10"/>
  <c r="R268" i="10"/>
  <c r="R288" i="10"/>
  <c r="R18" i="10"/>
  <c r="R291" i="10"/>
  <c r="R265" i="10"/>
  <c r="R251" i="10"/>
  <c r="R311" i="10"/>
  <c r="R283" i="10"/>
  <c r="R97" i="10"/>
  <c r="R269" i="10"/>
  <c r="R138" i="10"/>
  <c r="R267" i="10"/>
  <c r="R270" i="10"/>
  <c r="R301" i="10"/>
  <c r="R295" i="10"/>
  <c r="R273" i="10"/>
  <c r="R312" i="10"/>
  <c r="R294" i="10"/>
  <c r="R271" i="10"/>
  <c r="R309" i="10"/>
  <c r="R305" i="10"/>
  <c r="R285" i="10"/>
  <c r="R282" i="10"/>
  <c r="R289" i="10"/>
  <c r="R292" i="10"/>
  <c r="R286" i="10"/>
  <c r="R33" i="10"/>
  <c r="R162" i="10"/>
  <c r="R303" i="10"/>
  <c r="R250" i="10"/>
  <c r="R297" i="10"/>
  <c r="R244" i="10"/>
  <c r="R20" i="10"/>
  <c r="R56" i="8"/>
  <c r="R250" i="7"/>
  <c r="R95" i="8"/>
  <c r="R231" i="7"/>
  <c r="R193" i="7"/>
  <c r="R66" i="7"/>
  <c r="R24" i="7"/>
  <c r="R69" i="7"/>
  <c r="R233" i="7"/>
  <c r="R217" i="7"/>
  <c r="R112" i="7"/>
  <c r="R87" i="7"/>
  <c r="R144" i="7"/>
  <c r="R34" i="7"/>
  <c r="R13" i="7"/>
  <c r="R19" i="7"/>
  <c r="R25" i="8"/>
  <c r="R232" i="8"/>
  <c r="R294" i="8"/>
  <c r="R280" i="8"/>
  <c r="R306" i="8"/>
  <c r="R295" i="8"/>
  <c r="R279" i="8"/>
  <c r="R288" i="8"/>
  <c r="R4" i="8"/>
  <c r="R273" i="8"/>
  <c r="R113" i="8"/>
  <c r="R234" i="8"/>
  <c r="R269" i="8"/>
  <c r="R20" i="8"/>
  <c r="R276" i="8"/>
  <c r="R265" i="8"/>
  <c r="R305" i="8"/>
  <c r="R302" i="8"/>
  <c r="R290" i="8"/>
  <c r="R251" i="8"/>
  <c r="R310" i="8"/>
  <c r="R14" i="8"/>
  <c r="R67" i="8"/>
  <c r="R307" i="8"/>
  <c r="R260" i="8"/>
  <c r="R289" i="8"/>
  <c r="R272" i="8"/>
  <c r="R277" i="8"/>
  <c r="R286" i="8"/>
  <c r="R309" i="8"/>
  <c r="R292" i="8"/>
  <c r="R284" i="8"/>
  <c r="R297" i="8"/>
  <c r="R70" i="8"/>
  <c r="R293" i="8"/>
  <c r="R256" i="8"/>
  <c r="R301" i="8"/>
  <c r="R299" i="8"/>
  <c r="R194" i="8"/>
  <c r="R298" i="8"/>
  <c r="R300" i="8"/>
  <c r="R282" i="8"/>
  <c r="R88" i="8"/>
  <c r="R308" i="8"/>
  <c r="R278" i="8"/>
  <c r="R258" i="8"/>
  <c r="R145" i="8"/>
  <c r="R195" i="8"/>
  <c r="R255" i="8"/>
  <c r="R33" i="8"/>
  <c r="R275" i="8"/>
  <c r="R259" i="8"/>
  <c r="R257" i="8"/>
  <c r="R304" i="8"/>
  <c r="R268" i="8"/>
  <c r="R281" i="8"/>
  <c r="R267" i="8"/>
  <c r="R254" i="8"/>
  <c r="R35" i="8"/>
  <c r="R291" i="8"/>
  <c r="R312" i="8"/>
  <c r="R285" i="8"/>
  <c r="R311" i="8"/>
  <c r="R296" i="8"/>
  <c r="R274" i="8"/>
  <c r="R270" i="8"/>
  <c r="R287" i="8"/>
  <c r="R283" i="8"/>
  <c r="R303" i="8"/>
  <c r="R253" i="8"/>
  <c r="R266" i="8"/>
  <c r="R218" i="8"/>
  <c r="R271" i="8"/>
  <c r="R252" i="8"/>
  <c r="R20" i="7"/>
  <c r="R14" i="7"/>
  <c r="R310" i="7"/>
  <c r="R306" i="7"/>
  <c r="R195" i="7"/>
  <c r="R288" i="7"/>
  <c r="R275" i="7"/>
  <c r="R251" i="7"/>
  <c r="R298" i="7"/>
  <c r="R260" i="7"/>
  <c r="R305" i="7"/>
  <c r="R67" i="7"/>
  <c r="R268" i="7"/>
  <c r="R303" i="7"/>
  <c r="R88" i="7"/>
  <c r="R289" i="7"/>
  <c r="R277" i="7"/>
  <c r="R284" i="7"/>
  <c r="R301" i="7"/>
  <c r="R292" i="7"/>
  <c r="R293" i="7"/>
  <c r="R308" i="7"/>
  <c r="R287" i="7"/>
  <c r="R282" i="7"/>
  <c r="R266" i="7"/>
  <c r="R300" i="7"/>
  <c r="R257" i="7"/>
  <c r="R297" i="7"/>
  <c r="R274" i="7"/>
  <c r="R273" i="7"/>
  <c r="R311" i="7"/>
  <c r="R252" i="7"/>
  <c r="R272" i="7"/>
  <c r="R283" i="7"/>
  <c r="R269" i="7"/>
  <c r="R312" i="7"/>
  <c r="R194" i="7"/>
  <c r="R309" i="7"/>
  <c r="R255" i="7"/>
  <c r="R218" i="7"/>
  <c r="R256" i="7"/>
  <c r="R278" i="7"/>
  <c r="R295" i="7"/>
  <c r="R299" i="7"/>
  <c r="R279" i="7"/>
  <c r="R302" i="7"/>
  <c r="R258" i="7"/>
  <c r="R254" i="7"/>
  <c r="R270" i="7"/>
  <c r="R294" i="7"/>
  <c r="R267" i="7"/>
  <c r="R281" i="7"/>
  <c r="R232" i="7"/>
  <c r="R307" i="7"/>
  <c r="R265" i="7"/>
  <c r="R259" i="7"/>
  <c r="R113" i="7"/>
  <c r="R304" i="7"/>
  <c r="R296" i="7"/>
  <c r="R286" i="7"/>
  <c r="R280" i="7"/>
  <c r="R290" i="7"/>
  <c r="R271" i="7"/>
  <c r="R285" i="7"/>
  <c r="R291" i="7"/>
  <c r="R276" i="7"/>
  <c r="R253" i="7"/>
  <c r="R70" i="7"/>
  <c r="R145" i="7"/>
  <c r="R234" i="7"/>
  <c r="R35" i="7"/>
  <c r="R43" i="7"/>
  <c r="R33" i="7"/>
  <c r="R31" i="7"/>
  <c r="R4" i="7"/>
  <c r="R45" i="7"/>
  <c r="R8" i="7"/>
  <c r="R26" i="7"/>
  <c r="R42" i="7"/>
  <c r="R44" i="7"/>
  <c r="R36" i="7"/>
  <c r="R25" i="7"/>
  <c r="R30" i="7"/>
  <c r="R32" i="7"/>
  <c r="R7" i="7"/>
  <c r="R45" i="6"/>
  <c r="R8" i="6"/>
  <c r="R35" i="6"/>
  <c r="R42" i="6"/>
  <c r="R33" i="6"/>
  <c r="R36" i="6"/>
  <c r="R30" i="6"/>
  <c r="R25" i="6"/>
  <c r="R44" i="6"/>
  <c r="R32" i="6"/>
  <c r="R31" i="6"/>
  <c r="R26" i="6"/>
  <c r="R43" i="6"/>
  <c r="R109" i="6"/>
  <c r="R6" i="6"/>
  <c r="R7" i="6"/>
  <c r="O312" i="5" l="1"/>
  <c r="M312" i="5"/>
  <c r="L312" i="5"/>
  <c r="K312" i="5"/>
  <c r="Q312" i="5" s="1"/>
  <c r="R312" i="5" s="1"/>
  <c r="J312" i="5"/>
  <c r="O311" i="5"/>
  <c r="M311" i="5"/>
  <c r="L311" i="5"/>
  <c r="K311" i="5"/>
  <c r="Q311" i="5" s="1"/>
  <c r="R311" i="5" s="1"/>
  <c r="J311" i="5"/>
  <c r="O310" i="5"/>
  <c r="M310" i="5"/>
  <c r="L310" i="5"/>
  <c r="K310" i="5"/>
  <c r="P310" i="5" s="1"/>
  <c r="J310" i="5"/>
  <c r="O309" i="5"/>
  <c r="M309" i="5"/>
  <c r="L309" i="5"/>
  <c r="K309" i="5"/>
  <c r="J309" i="5"/>
  <c r="O308" i="5"/>
  <c r="M308" i="5"/>
  <c r="L308" i="5"/>
  <c r="K308" i="5"/>
  <c r="Q308" i="5" s="1"/>
  <c r="R308" i="5" s="1"/>
  <c r="J308" i="5"/>
  <c r="O307" i="5"/>
  <c r="M307" i="5"/>
  <c r="L307" i="5"/>
  <c r="K307" i="5"/>
  <c r="P307" i="5" s="1"/>
  <c r="J307" i="5"/>
  <c r="O306" i="5"/>
  <c r="M306" i="5"/>
  <c r="L306" i="5"/>
  <c r="K306" i="5"/>
  <c r="P306" i="5" s="1"/>
  <c r="J306" i="5"/>
  <c r="O305" i="5"/>
  <c r="M305" i="5"/>
  <c r="L305" i="5"/>
  <c r="K305" i="5"/>
  <c r="Q305" i="5" s="1"/>
  <c r="R305" i="5" s="1"/>
  <c r="J305" i="5"/>
  <c r="O304" i="5"/>
  <c r="M304" i="5"/>
  <c r="L304" i="5"/>
  <c r="K304" i="5"/>
  <c r="Q304" i="5" s="1"/>
  <c r="R304" i="5" s="1"/>
  <c r="J304" i="5"/>
  <c r="O303" i="5"/>
  <c r="M303" i="5"/>
  <c r="L303" i="5"/>
  <c r="K303" i="5"/>
  <c r="Q303" i="5" s="1"/>
  <c r="R303" i="5" s="1"/>
  <c r="J303" i="5"/>
  <c r="O302" i="5"/>
  <c r="M302" i="5"/>
  <c r="L302" i="5"/>
  <c r="K302" i="5"/>
  <c r="J302" i="5"/>
  <c r="O301" i="5"/>
  <c r="M301" i="5"/>
  <c r="L301" i="5"/>
  <c r="K301" i="5"/>
  <c r="Q301" i="5" s="1"/>
  <c r="R301" i="5" s="1"/>
  <c r="J301" i="5"/>
  <c r="O300" i="5"/>
  <c r="M300" i="5"/>
  <c r="L300" i="5"/>
  <c r="K300" i="5"/>
  <c r="P300" i="5" s="1"/>
  <c r="J300" i="5"/>
  <c r="O299" i="5"/>
  <c r="M299" i="5"/>
  <c r="L299" i="5"/>
  <c r="K299" i="5"/>
  <c r="P299" i="5" s="1"/>
  <c r="J299" i="5"/>
  <c r="O298" i="5"/>
  <c r="M298" i="5"/>
  <c r="L298" i="5"/>
  <c r="K298" i="5"/>
  <c r="Q298" i="5" s="1"/>
  <c r="R298" i="5" s="1"/>
  <c r="J298" i="5"/>
  <c r="O297" i="5"/>
  <c r="M297" i="5"/>
  <c r="L297" i="5"/>
  <c r="K297" i="5"/>
  <c r="Q297" i="5" s="1"/>
  <c r="R297" i="5" s="1"/>
  <c r="J297" i="5"/>
  <c r="O296" i="5"/>
  <c r="M296" i="5"/>
  <c r="L296" i="5"/>
  <c r="K296" i="5"/>
  <c r="Q296" i="5" s="1"/>
  <c r="R296" i="5" s="1"/>
  <c r="J296" i="5"/>
  <c r="O295" i="5"/>
  <c r="M295" i="5"/>
  <c r="L295" i="5"/>
  <c r="K295" i="5"/>
  <c r="J295" i="5"/>
  <c r="O294" i="5"/>
  <c r="M294" i="5"/>
  <c r="L294" i="5"/>
  <c r="K294" i="5"/>
  <c r="Q294" i="5" s="1"/>
  <c r="R294" i="5" s="1"/>
  <c r="J294" i="5"/>
  <c r="O293" i="5"/>
  <c r="M293" i="5"/>
  <c r="L293" i="5"/>
  <c r="K293" i="5"/>
  <c r="P293" i="5" s="1"/>
  <c r="J293" i="5"/>
  <c r="O292" i="5"/>
  <c r="M292" i="5"/>
  <c r="L292" i="5"/>
  <c r="K292" i="5"/>
  <c r="P292" i="5" s="1"/>
  <c r="J292" i="5"/>
  <c r="O291" i="5"/>
  <c r="M291" i="5"/>
  <c r="L291" i="5"/>
  <c r="K291" i="5"/>
  <c r="Q291" i="5" s="1"/>
  <c r="R291" i="5" s="1"/>
  <c r="J291" i="5"/>
  <c r="O290" i="5"/>
  <c r="M290" i="5"/>
  <c r="L290" i="5"/>
  <c r="K290" i="5"/>
  <c r="P290" i="5" s="1"/>
  <c r="J290" i="5"/>
  <c r="O289" i="5"/>
  <c r="M289" i="5"/>
  <c r="L289" i="5"/>
  <c r="K289" i="5"/>
  <c r="Q289" i="5" s="1"/>
  <c r="R289" i="5" s="1"/>
  <c r="J289" i="5"/>
  <c r="O288" i="5"/>
  <c r="M288" i="5"/>
  <c r="L288" i="5"/>
  <c r="K288" i="5"/>
  <c r="J288" i="5"/>
  <c r="O287" i="5"/>
  <c r="M287" i="5"/>
  <c r="L287" i="5"/>
  <c r="K287" i="5"/>
  <c r="Q287" i="5" s="1"/>
  <c r="R287" i="5" s="1"/>
  <c r="J287" i="5"/>
  <c r="O286" i="5"/>
  <c r="M286" i="5"/>
  <c r="L286" i="5"/>
  <c r="K286" i="5"/>
  <c r="P286" i="5" s="1"/>
  <c r="J286" i="5"/>
  <c r="O285" i="5"/>
  <c r="M285" i="5"/>
  <c r="L285" i="5"/>
  <c r="K285" i="5"/>
  <c r="P285" i="5" s="1"/>
  <c r="J285" i="5"/>
  <c r="O284" i="5"/>
  <c r="M284" i="5"/>
  <c r="L284" i="5"/>
  <c r="K284" i="5"/>
  <c r="Q284" i="5" s="1"/>
  <c r="R284" i="5" s="1"/>
  <c r="J284" i="5"/>
  <c r="O283" i="5"/>
  <c r="M283" i="5"/>
  <c r="L283" i="5"/>
  <c r="K283" i="5"/>
  <c r="Q283" i="5" s="1"/>
  <c r="R283" i="5" s="1"/>
  <c r="J283" i="5"/>
  <c r="O282" i="5"/>
  <c r="M282" i="5"/>
  <c r="L282" i="5"/>
  <c r="K282" i="5"/>
  <c r="Q282" i="5" s="1"/>
  <c r="R282" i="5" s="1"/>
  <c r="J282" i="5"/>
  <c r="O281" i="5"/>
  <c r="M281" i="5"/>
  <c r="L281" i="5"/>
  <c r="K281" i="5"/>
  <c r="J281" i="5"/>
  <c r="O280" i="5"/>
  <c r="M280" i="5"/>
  <c r="L280" i="5"/>
  <c r="K280" i="5"/>
  <c r="Q280" i="5" s="1"/>
  <c r="R280" i="5" s="1"/>
  <c r="J280" i="5"/>
  <c r="O279" i="5"/>
  <c r="M279" i="5"/>
  <c r="L279" i="5"/>
  <c r="K279" i="5"/>
  <c r="P279" i="5" s="1"/>
  <c r="J279" i="5"/>
  <c r="O278" i="5"/>
  <c r="M278" i="5"/>
  <c r="L278" i="5"/>
  <c r="K278" i="5"/>
  <c r="P278" i="5" s="1"/>
  <c r="J278" i="5"/>
  <c r="O277" i="5"/>
  <c r="M277" i="5"/>
  <c r="L277" i="5"/>
  <c r="K277" i="5"/>
  <c r="Q277" i="5" s="1"/>
  <c r="R277" i="5" s="1"/>
  <c r="J277" i="5"/>
  <c r="O276" i="5"/>
  <c r="M276" i="5"/>
  <c r="L276" i="5"/>
  <c r="K276" i="5"/>
  <c r="Q276" i="5" s="1"/>
  <c r="R276" i="5" s="1"/>
  <c r="J276" i="5"/>
  <c r="O275" i="5"/>
  <c r="M275" i="5"/>
  <c r="L275" i="5"/>
  <c r="K275" i="5"/>
  <c r="Q275" i="5" s="1"/>
  <c r="R275" i="5" s="1"/>
  <c r="J275" i="5"/>
  <c r="O274" i="5"/>
  <c r="M274" i="5"/>
  <c r="L274" i="5"/>
  <c r="K274" i="5"/>
  <c r="J274" i="5"/>
  <c r="O273" i="5"/>
  <c r="M273" i="5"/>
  <c r="L273" i="5"/>
  <c r="K273" i="5"/>
  <c r="Q273" i="5" s="1"/>
  <c r="R273" i="5" s="1"/>
  <c r="J273" i="5"/>
  <c r="O272" i="5"/>
  <c r="M272" i="5"/>
  <c r="L272" i="5"/>
  <c r="K272" i="5"/>
  <c r="P272" i="5" s="1"/>
  <c r="J272" i="5"/>
  <c r="O271" i="5"/>
  <c r="M271" i="5"/>
  <c r="L271" i="5"/>
  <c r="K271" i="5"/>
  <c r="P271" i="5" s="1"/>
  <c r="J271" i="5"/>
  <c r="O270" i="5"/>
  <c r="M270" i="5"/>
  <c r="L270" i="5"/>
  <c r="K270" i="5"/>
  <c r="Q270" i="5" s="1"/>
  <c r="R270" i="5" s="1"/>
  <c r="J270" i="5"/>
  <c r="O269" i="5"/>
  <c r="M269" i="5"/>
  <c r="L269" i="5"/>
  <c r="K269" i="5"/>
  <c r="Q269" i="5" s="1"/>
  <c r="R269" i="5" s="1"/>
  <c r="J269" i="5"/>
  <c r="O268" i="5"/>
  <c r="M268" i="5"/>
  <c r="L268" i="5"/>
  <c r="K268" i="5"/>
  <c r="Q268" i="5" s="1"/>
  <c r="R268" i="5" s="1"/>
  <c r="J268" i="5"/>
  <c r="O267" i="5"/>
  <c r="M267" i="5"/>
  <c r="L267" i="5"/>
  <c r="K267" i="5"/>
  <c r="J267" i="5"/>
  <c r="O266" i="5"/>
  <c r="M266" i="5"/>
  <c r="L266" i="5"/>
  <c r="K266" i="5"/>
  <c r="Q266" i="5" s="1"/>
  <c r="R266" i="5" s="1"/>
  <c r="J266" i="5"/>
  <c r="O265" i="5"/>
  <c r="M265" i="5"/>
  <c r="L265" i="5"/>
  <c r="K265" i="5"/>
  <c r="P265" i="5" s="1"/>
  <c r="J265" i="5"/>
  <c r="O264" i="5"/>
  <c r="M264" i="5"/>
  <c r="L264" i="5"/>
  <c r="K264" i="5"/>
  <c r="P264" i="5" s="1"/>
  <c r="J264" i="5"/>
  <c r="O263" i="5"/>
  <c r="M263" i="5"/>
  <c r="L263" i="5"/>
  <c r="K263" i="5"/>
  <c r="Q263" i="5" s="1"/>
  <c r="R263" i="5" s="1"/>
  <c r="J263" i="5"/>
  <c r="O262" i="5"/>
  <c r="M262" i="5"/>
  <c r="L262" i="5"/>
  <c r="K262" i="5"/>
  <c r="P262" i="5" s="1"/>
  <c r="J262" i="5"/>
  <c r="O261" i="5"/>
  <c r="M261" i="5"/>
  <c r="L261" i="5"/>
  <c r="K261" i="5"/>
  <c r="Q261" i="5" s="1"/>
  <c r="R261" i="5" s="1"/>
  <c r="J261" i="5"/>
  <c r="O260" i="5"/>
  <c r="M260" i="5"/>
  <c r="L260" i="5"/>
  <c r="K260" i="5"/>
  <c r="J260" i="5"/>
  <c r="O259" i="5"/>
  <c r="M259" i="5"/>
  <c r="L259" i="5"/>
  <c r="K259" i="5"/>
  <c r="Q259" i="5" s="1"/>
  <c r="R259" i="5" s="1"/>
  <c r="J259" i="5"/>
  <c r="O258" i="5"/>
  <c r="M258" i="5"/>
  <c r="L258" i="5"/>
  <c r="K258" i="5"/>
  <c r="P258" i="5" s="1"/>
  <c r="J258" i="5"/>
  <c r="O257" i="5"/>
  <c r="M257" i="5"/>
  <c r="L257" i="5"/>
  <c r="K257" i="5"/>
  <c r="P257" i="5" s="1"/>
  <c r="J257" i="5"/>
  <c r="O256" i="5"/>
  <c r="M256" i="5"/>
  <c r="L256" i="5"/>
  <c r="K256" i="5"/>
  <c r="Q256" i="5" s="1"/>
  <c r="R256" i="5" s="1"/>
  <c r="J256" i="5"/>
  <c r="O255" i="5"/>
  <c r="M255" i="5"/>
  <c r="L255" i="5"/>
  <c r="K255" i="5"/>
  <c r="Q255" i="5" s="1"/>
  <c r="R255" i="5" s="1"/>
  <c r="J255" i="5"/>
  <c r="O254" i="5"/>
  <c r="M254" i="5"/>
  <c r="L254" i="5"/>
  <c r="K254" i="5"/>
  <c r="Q254" i="5" s="1"/>
  <c r="R254" i="5" s="1"/>
  <c r="J254" i="5"/>
  <c r="O253" i="5"/>
  <c r="M253" i="5"/>
  <c r="L253" i="5"/>
  <c r="K253" i="5"/>
  <c r="J253" i="5"/>
  <c r="O252" i="5"/>
  <c r="M252" i="5"/>
  <c r="L252" i="5"/>
  <c r="K252" i="5"/>
  <c r="Q252" i="5" s="1"/>
  <c r="R252" i="5" s="1"/>
  <c r="J252" i="5"/>
  <c r="O251" i="5"/>
  <c r="M251" i="5"/>
  <c r="L251" i="5"/>
  <c r="K251" i="5"/>
  <c r="P251" i="5" s="1"/>
  <c r="J251" i="5"/>
  <c r="O250" i="5"/>
  <c r="M250" i="5"/>
  <c r="L250" i="5"/>
  <c r="K250" i="5"/>
  <c r="P250" i="5" s="1"/>
  <c r="J250" i="5"/>
  <c r="O249" i="5"/>
  <c r="M249" i="5"/>
  <c r="L249" i="5"/>
  <c r="K249" i="5"/>
  <c r="P249" i="5" s="1"/>
  <c r="J249" i="5"/>
  <c r="O248" i="5"/>
  <c r="M248" i="5"/>
  <c r="L248" i="5"/>
  <c r="K248" i="5"/>
  <c r="Q248" i="5" s="1"/>
  <c r="R248" i="5" s="1"/>
  <c r="J248" i="5"/>
  <c r="O247" i="5"/>
  <c r="M247" i="5"/>
  <c r="L247" i="5"/>
  <c r="K247" i="5"/>
  <c r="Q247" i="5" s="1"/>
  <c r="R247" i="5" s="1"/>
  <c r="J247" i="5"/>
  <c r="O246" i="5"/>
  <c r="M246" i="5"/>
  <c r="L246" i="5"/>
  <c r="K246" i="5"/>
  <c r="P246" i="5" s="1"/>
  <c r="J246" i="5"/>
  <c r="O245" i="5"/>
  <c r="M245" i="5"/>
  <c r="L245" i="5"/>
  <c r="K245" i="5"/>
  <c r="Q245" i="5" s="1"/>
  <c r="R245" i="5" s="1"/>
  <c r="J245" i="5"/>
  <c r="O244" i="5"/>
  <c r="M244" i="5"/>
  <c r="L244" i="5"/>
  <c r="K244" i="5"/>
  <c r="P244" i="5" s="1"/>
  <c r="J244" i="5"/>
  <c r="O243" i="5"/>
  <c r="M243" i="5"/>
  <c r="L243" i="5"/>
  <c r="K243" i="5"/>
  <c r="P243" i="5" s="1"/>
  <c r="J243" i="5"/>
  <c r="O242" i="5"/>
  <c r="M242" i="5"/>
  <c r="L242" i="5"/>
  <c r="K242" i="5"/>
  <c r="P242" i="5" s="1"/>
  <c r="J242" i="5"/>
  <c r="O241" i="5"/>
  <c r="M241" i="5"/>
  <c r="L241" i="5"/>
  <c r="K241" i="5"/>
  <c r="Q241" i="5" s="1"/>
  <c r="R241" i="5" s="1"/>
  <c r="J241" i="5"/>
  <c r="O240" i="5"/>
  <c r="M240" i="5"/>
  <c r="L240" i="5"/>
  <c r="K240" i="5"/>
  <c r="Q240" i="5" s="1"/>
  <c r="R240" i="5" s="1"/>
  <c r="J240" i="5"/>
  <c r="O239" i="5"/>
  <c r="M239" i="5"/>
  <c r="L239" i="5"/>
  <c r="K239" i="5"/>
  <c r="P239" i="5" s="1"/>
  <c r="J239" i="5"/>
  <c r="O238" i="5"/>
  <c r="M238" i="5"/>
  <c r="L238" i="5"/>
  <c r="K238" i="5"/>
  <c r="Q238" i="5" s="1"/>
  <c r="R238" i="5" s="1"/>
  <c r="J238" i="5"/>
  <c r="O237" i="5"/>
  <c r="M237" i="5"/>
  <c r="L237" i="5"/>
  <c r="K237" i="5"/>
  <c r="P237" i="5" s="1"/>
  <c r="J237" i="5"/>
  <c r="O236" i="5"/>
  <c r="M236" i="5"/>
  <c r="L236" i="5"/>
  <c r="K236" i="5"/>
  <c r="P236" i="5" s="1"/>
  <c r="J236" i="5"/>
  <c r="O235" i="5"/>
  <c r="M235" i="5"/>
  <c r="L235" i="5"/>
  <c r="K235" i="5"/>
  <c r="Q235" i="5" s="1"/>
  <c r="R235" i="5" s="1"/>
  <c r="J235" i="5"/>
  <c r="O234" i="5"/>
  <c r="M234" i="5"/>
  <c r="L234" i="5"/>
  <c r="K234" i="5"/>
  <c r="P234" i="5" s="1"/>
  <c r="J234" i="5"/>
  <c r="O233" i="5"/>
  <c r="M233" i="5"/>
  <c r="L233" i="5"/>
  <c r="K233" i="5"/>
  <c r="Q233" i="5" s="1"/>
  <c r="R233" i="5" s="1"/>
  <c r="J233" i="5"/>
  <c r="O232" i="5"/>
  <c r="M232" i="5"/>
  <c r="L232" i="5"/>
  <c r="K232" i="5"/>
  <c r="P232" i="5" s="1"/>
  <c r="J232" i="5"/>
  <c r="O231" i="5"/>
  <c r="M231" i="5"/>
  <c r="L231" i="5"/>
  <c r="K231" i="5"/>
  <c r="Q231" i="5" s="1"/>
  <c r="R231" i="5" s="1"/>
  <c r="J231" i="5"/>
  <c r="O230" i="5"/>
  <c r="M230" i="5"/>
  <c r="L230" i="5"/>
  <c r="K230" i="5"/>
  <c r="P230" i="5" s="1"/>
  <c r="J230" i="5"/>
  <c r="O229" i="5"/>
  <c r="M229" i="5"/>
  <c r="L229" i="5"/>
  <c r="K229" i="5"/>
  <c r="P229" i="5" s="1"/>
  <c r="J229" i="5"/>
  <c r="O228" i="5"/>
  <c r="M228" i="5"/>
  <c r="L228" i="5"/>
  <c r="K228" i="5"/>
  <c r="P228" i="5" s="1"/>
  <c r="J228" i="5"/>
  <c r="O227" i="5"/>
  <c r="M227" i="5"/>
  <c r="L227" i="5"/>
  <c r="K227" i="5"/>
  <c r="Q227" i="5" s="1"/>
  <c r="R227" i="5" s="1"/>
  <c r="J227" i="5"/>
  <c r="O226" i="5"/>
  <c r="M226" i="5"/>
  <c r="L226" i="5"/>
  <c r="K226" i="5"/>
  <c r="Q226" i="5" s="1"/>
  <c r="R226" i="5" s="1"/>
  <c r="J226" i="5"/>
  <c r="O225" i="5"/>
  <c r="M225" i="5"/>
  <c r="L225" i="5"/>
  <c r="K225" i="5"/>
  <c r="P225" i="5" s="1"/>
  <c r="J225" i="5"/>
  <c r="O224" i="5"/>
  <c r="M224" i="5"/>
  <c r="L224" i="5"/>
  <c r="K224" i="5"/>
  <c r="Q224" i="5" s="1"/>
  <c r="R224" i="5" s="1"/>
  <c r="J224" i="5"/>
  <c r="O223" i="5"/>
  <c r="M223" i="5"/>
  <c r="L223" i="5"/>
  <c r="K223" i="5"/>
  <c r="P223" i="5" s="1"/>
  <c r="J223" i="5"/>
  <c r="O222" i="5"/>
  <c r="M222" i="5"/>
  <c r="L222" i="5"/>
  <c r="K222" i="5"/>
  <c r="P222" i="5" s="1"/>
  <c r="J222" i="5"/>
  <c r="O221" i="5"/>
  <c r="M221" i="5"/>
  <c r="L221" i="5"/>
  <c r="K221" i="5"/>
  <c r="Q221" i="5" s="1"/>
  <c r="R221" i="5" s="1"/>
  <c r="J221" i="5"/>
  <c r="O220" i="5"/>
  <c r="M220" i="5"/>
  <c r="L220" i="5"/>
  <c r="K220" i="5"/>
  <c r="Q220" i="5" s="1"/>
  <c r="R220" i="5" s="1"/>
  <c r="J220" i="5"/>
  <c r="O219" i="5"/>
  <c r="M219" i="5"/>
  <c r="L219" i="5"/>
  <c r="K219" i="5"/>
  <c r="Q219" i="5" s="1"/>
  <c r="R219" i="5" s="1"/>
  <c r="J219" i="5"/>
  <c r="O218" i="5"/>
  <c r="M218" i="5"/>
  <c r="L218" i="5"/>
  <c r="K218" i="5"/>
  <c r="P218" i="5" s="1"/>
  <c r="J218" i="5"/>
  <c r="O217" i="5"/>
  <c r="M217" i="5"/>
  <c r="L217" i="5"/>
  <c r="K217" i="5"/>
  <c r="Q217" i="5" s="1"/>
  <c r="R217" i="5" s="1"/>
  <c r="J217" i="5"/>
  <c r="O216" i="5"/>
  <c r="M216" i="5"/>
  <c r="L216" i="5"/>
  <c r="K216" i="5"/>
  <c r="P216" i="5" s="1"/>
  <c r="J216" i="5"/>
  <c r="O215" i="5"/>
  <c r="M215" i="5"/>
  <c r="L215" i="5"/>
  <c r="K215" i="5"/>
  <c r="P215" i="5" s="1"/>
  <c r="J215" i="5"/>
  <c r="O214" i="5"/>
  <c r="M214" i="5"/>
  <c r="L214" i="5"/>
  <c r="K214" i="5"/>
  <c r="P214" i="5" s="1"/>
  <c r="J214" i="5"/>
  <c r="O213" i="5"/>
  <c r="M213" i="5"/>
  <c r="L213" i="5"/>
  <c r="K213" i="5"/>
  <c r="Q213" i="5" s="1"/>
  <c r="R213" i="5" s="1"/>
  <c r="J213" i="5"/>
  <c r="O212" i="5"/>
  <c r="M212" i="5"/>
  <c r="L212" i="5"/>
  <c r="K212" i="5"/>
  <c r="P212" i="5" s="1"/>
  <c r="J212" i="5"/>
  <c r="O211" i="5"/>
  <c r="M211" i="5"/>
  <c r="L211" i="5"/>
  <c r="K211" i="5"/>
  <c r="P211" i="5" s="1"/>
  <c r="J211" i="5"/>
  <c r="O210" i="5"/>
  <c r="M210" i="5"/>
  <c r="L210" i="5"/>
  <c r="K210" i="5"/>
  <c r="Q210" i="5" s="1"/>
  <c r="R210" i="5" s="1"/>
  <c r="J210" i="5"/>
  <c r="O209" i="5"/>
  <c r="M209" i="5"/>
  <c r="L209" i="5"/>
  <c r="K209" i="5"/>
  <c r="P209" i="5" s="1"/>
  <c r="J209" i="5"/>
  <c r="O208" i="5"/>
  <c r="M208" i="5"/>
  <c r="L208" i="5"/>
  <c r="K208" i="5"/>
  <c r="P208" i="5" s="1"/>
  <c r="J208" i="5"/>
  <c r="O207" i="5"/>
  <c r="M207" i="5"/>
  <c r="L207" i="5"/>
  <c r="K207" i="5"/>
  <c r="P207" i="5" s="1"/>
  <c r="J207" i="5"/>
  <c r="O206" i="5"/>
  <c r="M206" i="5"/>
  <c r="L206" i="5"/>
  <c r="K206" i="5"/>
  <c r="Q206" i="5" s="1"/>
  <c r="R206" i="5" s="1"/>
  <c r="J206" i="5"/>
  <c r="O205" i="5"/>
  <c r="M205" i="5"/>
  <c r="L205" i="5"/>
  <c r="K205" i="5"/>
  <c r="P205" i="5" s="1"/>
  <c r="J205" i="5"/>
  <c r="O204" i="5"/>
  <c r="M204" i="5"/>
  <c r="L204" i="5"/>
  <c r="K204" i="5"/>
  <c r="P204" i="5" s="1"/>
  <c r="J204" i="5"/>
  <c r="O203" i="5"/>
  <c r="M203" i="5"/>
  <c r="L203" i="5"/>
  <c r="K203" i="5"/>
  <c r="Q203" i="5" s="1"/>
  <c r="R203" i="5" s="1"/>
  <c r="J203" i="5"/>
  <c r="O202" i="5"/>
  <c r="M202" i="5"/>
  <c r="L202" i="5"/>
  <c r="K202" i="5"/>
  <c r="P202" i="5" s="1"/>
  <c r="J202" i="5"/>
  <c r="O201" i="5"/>
  <c r="M201" i="5"/>
  <c r="L201" i="5"/>
  <c r="K201" i="5"/>
  <c r="P201" i="5" s="1"/>
  <c r="J201" i="5"/>
  <c r="O200" i="5"/>
  <c r="M200" i="5"/>
  <c r="L200" i="5"/>
  <c r="K200" i="5"/>
  <c r="Q200" i="5" s="1"/>
  <c r="R200" i="5" s="1"/>
  <c r="J200" i="5"/>
  <c r="O199" i="5"/>
  <c r="M199" i="5"/>
  <c r="L199" i="5"/>
  <c r="K199" i="5"/>
  <c r="Q199" i="5" s="1"/>
  <c r="R199" i="5" s="1"/>
  <c r="J199" i="5"/>
  <c r="O198" i="5"/>
  <c r="M198" i="5"/>
  <c r="L198" i="5"/>
  <c r="K198" i="5"/>
  <c r="Q198" i="5" s="1"/>
  <c r="R198" i="5" s="1"/>
  <c r="J198" i="5"/>
  <c r="O197" i="5"/>
  <c r="M197" i="5"/>
  <c r="L197" i="5"/>
  <c r="K197" i="5"/>
  <c r="Q197" i="5" s="1"/>
  <c r="R197" i="5" s="1"/>
  <c r="J197" i="5"/>
  <c r="O196" i="5"/>
  <c r="M196" i="5"/>
  <c r="L196" i="5"/>
  <c r="K196" i="5"/>
  <c r="Q196" i="5" s="1"/>
  <c r="R196" i="5" s="1"/>
  <c r="J196" i="5"/>
  <c r="O195" i="5"/>
  <c r="M195" i="5"/>
  <c r="L195" i="5"/>
  <c r="K195" i="5"/>
  <c r="P195" i="5" s="1"/>
  <c r="J195" i="5"/>
  <c r="O194" i="5"/>
  <c r="M194" i="5"/>
  <c r="L194" i="5"/>
  <c r="K194" i="5"/>
  <c r="P194" i="5" s="1"/>
  <c r="J194" i="5"/>
  <c r="O193" i="5"/>
  <c r="M193" i="5"/>
  <c r="L193" i="5"/>
  <c r="K193" i="5"/>
  <c r="P193" i="5" s="1"/>
  <c r="J193" i="5"/>
  <c r="O192" i="5"/>
  <c r="M192" i="5"/>
  <c r="L192" i="5"/>
  <c r="K192" i="5"/>
  <c r="Q192" i="5" s="1"/>
  <c r="R192" i="5" s="1"/>
  <c r="J192" i="5"/>
  <c r="O191" i="5"/>
  <c r="M191" i="5"/>
  <c r="L191" i="5"/>
  <c r="K191" i="5"/>
  <c r="Q191" i="5" s="1"/>
  <c r="R191" i="5" s="1"/>
  <c r="J191" i="5"/>
  <c r="O190" i="5"/>
  <c r="M190" i="5"/>
  <c r="L190" i="5"/>
  <c r="K190" i="5"/>
  <c r="Q190" i="5" s="1"/>
  <c r="R190" i="5" s="1"/>
  <c r="J190" i="5"/>
  <c r="O189" i="5"/>
  <c r="M189" i="5"/>
  <c r="L189" i="5"/>
  <c r="K189" i="5"/>
  <c r="P189" i="5" s="1"/>
  <c r="J189" i="5"/>
  <c r="O188" i="5"/>
  <c r="M188" i="5"/>
  <c r="L188" i="5"/>
  <c r="K188" i="5"/>
  <c r="P188" i="5" s="1"/>
  <c r="J188" i="5"/>
  <c r="O187" i="5"/>
  <c r="M187" i="5"/>
  <c r="L187" i="5"/>
  <c r="K187" i="5"/>
  <c r="P187" i="5" s="1"/>
  <c r="J187" i="5"/>
  <c r="O186" i="5"/>
  <c r="M186" i="5"/>
  <c r="L186" i="5"/>
  <c r="K186" i="5"/>
  <c r="Q186" i="5" s="1"/>
  <c r="R186" i="5" s="1"/>
  <c r="J186" i="5"/>
  <c r="O185" i="5"/>
  <c r="M185" i="5"/>
  <c r="L185" i="5"/>
  <c r="K185" i="5"/>
  <c r="P185" i="5" s="1"/>
  <c r="J185" i="5"/>
  <c r="O184" i="5"/>
  <c r="M184" i="5"/>
  <c r="L184" i="5"/>
  <c r="K184" i="5"/>
  <c r="Q184" i="5" s="1"/>
  <c r="R184" i="5" s="1"/>
  <c r="J184" i="5"/>
  <c r="O183" i="5"/>
  <c r="M183" i="5"/>
  <c r="L183" i="5"/>
  <c r="K183" i="5"/>
  <c r="Q183" i="5" s="1"/>
  <c r="R183" i="5" s="1"/>
  <c r="J183" i="5"/>
  <c r="O182" i="5"/>
  <c r="M182" i="5"/>
  <c r="L182" i="5"/>
  <c r="K182" i="5"/>
  <c r="P182" i="5" s="1"/>
  <c r="J182" i="5"/>
  <c r="O181" i="5"/>
  <c r="M181" i="5"/>
  <c r="L181" i="5"/>
  <c r="K181" i="5"/>
  <c r="P181" i="5" s="1"/>
  <c r="J181" i="5"/>
  <c r="O180" i="5"/>
  <c r="M180" i="5"/>
  <c r="L180" i="5"/>
  <c r="K180" i="5"/>
  <c r="P180" i="5" s="1"/>
  <c r="J180" i="5"/>
  <c r="O179" i="5"/>
  <c r="M179" i="5"/>
  <c r="L179" i="5"/>
  <c r="K179" i="5"/>
  <c r="Q179" i="5" s="1"/>
  <c r="R179" i="5" s="1"/>
  <c r="J179" i="5"/>
  <c r="O178" i="5"/>
  <c r="M178" i="5"/>
  <c r="L178" i="5"/>
  <c r="K178" i="5"/>
  <c r="P178" i="5" s="1"/>
  <c r="J178" i="5"/>
  <c r="O177" i="5"/>
  <c r="M177" i="5"/>
  <c r="L177" i="5"/>
  <c r="K177" i="5"/>
  <c r="P177" i="5" s="1"/>
  <c r="J177" i="5"/>
  <c r="O176" i="5"/>
  <c r="M176" i="5"/>
  <c r="L176" i="5"/>
  <c r="K176" i="5"/>
  <c r="Q176" i="5" s="1"/>
  <c r="R176" i="5" s="1"/>
  <c r="J176" i="5"/>
  <c r="O175" i="5"/>
  <c r="M175" i="5"/>
  <c r="L175" i="5"/>
  <c r="K175" i="5"/>
  <c r="Q175" i="5" s="1"/>
  <c r="R175" i="5" s="1"/>
  <c r="J175" i="5"/>
  <c r="O174" i="5"/>
  <c r="M174" i="5"/>
  <c r="L174" i="5"/>
  <c r="K174" i="5"/>
  <c r="P174" i="5" s="1"/>
  <c r="J174" i="5"/>
  <c r="O173" i="5"/>
  <c r="M173" i="5"/>
  <c r="L173" i="5"/>
  <c r="K173" i="5"/>
  <c r="P173" i="5" s="1"/>
  <c r="J173" i="5"/>
  <c r="O172" i="5"/>
  <c r="M172" i="5"/>
  <c r="L172" i="5"/>
  <c r="K172" i="5"/>
  <c r="Q172" i="5" s="1"/>
  <c r="R172" i="5" s="1"/>
  <c r="J172" i="5"/>
  <c r="O171" i="5"/>
  <c r="M171" i="5"/>
  <c r="L171" i="5"/>
  <c r="K171" i="5"/>
  <c r="Q171" i="5" s="1"/>
  <c r="R171" i="5" s="1"/>
  <c r="J171" i="5"/>
  <c r="O170" i="5"/>
  <c r="M170" i="5"/>
  <c r="L170" i="5"/>
  <c r="K170" i="5"/>
  <c r="Q170" i="5" s="1"/>
  <c r="R170" i="5" s="1"/>
  <c r="J170" i="5"/>
  <c r="O169" i="5"/>
  <c r="M169" i="5"/>
  <c r="L169" i="5"/>
  <c r="K169" i="5"/>
  <c r="Q169" i="5" s="1"/>
  <c r="R169" i="5" s="1"/>
  <c r="J169" i="5"/>
  <c r="O168" i="5"/>
  <c r="M168" i="5"/>
  <c r="L168" i="5"/>
  <c r="K168" i="5"/>
  <c r="Q168" i="5" s="1"/>
  <c r="R168" i="5" s="1"/>
  <c r="J168" i="5"/>
  <c r="O167" i="5"/>
  <c r="M167" i="5"/>
  <c r="L167" i="5"/>
  <c r="K167" i="5"/>
  <c r="P167" i="5" s="1"/>
  <c r="J167" i="5"/>
  <c r="O166" i="5"/>
  <c r="M166" i="5"/>
  <c r="L166" i="5"/>
  <c r="K166" i="5"/>
  <c r="P166" i="5" s="1"/>
  <c r="J166" i="5"/>
  <c r="O165" i="5"/>
  <c r="M165" i="5"/>
  <c r="L165" i="5"/>
  <c r="K165" i="5"/>
  <c r="Q165" i="5" s="1"/>
  <c r="R165" i="5" s="1"/>
  <c r="J165" i="5"/>
  <c r="O164" i="5"/>
  <c r="M164" i="5"/>
  <c r="L164" i="5"/>
  <c r="K164" i="5"/>
  <c r="Q164" i="5" s="1"/>
  <c r="R164" i="5" s="1"/>
  <c r="J164" i="5"/>
  <c r="O163" i="5"/>
  <c r="M163" i="5"/>
  <c r="L163" i="5"/>
  <c r="K163" i="5"/>
  <c r="Q163" i="5" s="1"/>
  <c r="R163" i="5" s="1"/>
  <c r="J163" i="5"/>
  <c r="O162" i="5"/>
  <c r="M162" i="5"/>
  <c r="L162" i="5"/>
  <c r="K162" i="5"/>
  <c r="P162" i="5" s="1"/>
  <c r="J162" i="5"/>
  <c r="O161" i="5"/>
  <c r="M161" i="5"/>
  <c r="L161" i="5"/>
  <c r="K161" i="5"/>
  <c r="Q161" i="5" s="1"/>
  <c r="R161" i="5" s="1"/>
  <c r="J161" i="5"/>
  <c r="O160" i="5"/>
  <c r="M160" i="5"/>
  <c r="L160" i="5"/>
  <c r="K160" i="5"/>
  <c r="P160" i="5" s="1"/>
  <c r="J160" i="5"/>
  <c r="O159" i="5"/>
  <c r="M159" i="5"/>
  <c r="L159" i="5"/>
  <c r="K159" i="5"/>
  <c r="P159" i="5" s="1"/>
  <c r="J159" i="5"/>
  <c r="O158" i="5"/>
  <c r="M158" i="5"/>
  <c r="L158" i="5"/>
  <c r="K158" i="5"/>
  <c r="P158" i="5" s="1"/>
  <c r="J158" i="5"/>
  <c r="O157" i="5"/>
  <c r="M157" i="5"/>
  <c r="L157" i="5"/>
  <c r="K157" i="5"/>
  <c r="Q157" i="5" s="1"/>
  <c r="R157" i="5" s="1"/>
  <c r="J157" i="5"/>
  <c r="O156" i="5"/>
  <c r="M156" i="5"/>
  <c r="L156" i="5"/>
  <c r="K156" i="5"/>
  <c r="Q156" i="5" s="1"/>
  <c r="R156" i="5" s="1"/>
  <c r="J156" i="5"/>
  <c r="O155" i="5"/>
  <c r="M155" i="5"/>
  <c r="L155" i="5"/>
  <c r="K155" i="5"/>
  <c r="P155" i="5" s="1"/>
  <c r="J155" i="5"/>
  <c r="O154" i="5"/>
  <c r="M154" i="5"/>
  <c r="L154" i="5"/>
  <c r="K154" i="5"/>
  <c r="Q154" i="5" s="1"/>
  <c r="R154" i="5" s="1"/>
  <c r="J154" i="5"/>
  <c r="O153" i="5"/>
  <c r="M153" i="5"/>
  <c r="L153" i="5"/>
  <c r="K153" i="5"/>
  <c r="P153" i="5" s="1"/>
  <c r="J153" i="5"/>
  <c r="O152" i="5"/>
  <c r="M152" i="5"/>
  <c r="L152" i="5"/>
  <c r="K152" i="5"/>
  <c r="P152" i="5" s="1"/>
  <c r="J152" i="5"/>
  <c r="O151" i="5"/>
  <c r="M151" i="5"/>
  <c r="L151" i="5"/>
  <c r="K151" i="5"/>
  <c r="Q151" i="5" s="1"/>
  <c r="R151" i="5" s="1"/>
  <c r="J151" i="5"/>
  <c r="O150" i="5"/>
  <c r="M150" i="5"/>
  <c r="L150" i="5"/>
  <c r="K150" i="5"/>
  <c r="Q150" i="5" s="1"/>
  <c r="R150" i="5" s="1"/>
  <c r="J150" i="5"/>
  <c r="O149" i="5"/>
  <c r="M149" i="5"/>
  <c r="L149" i="5"/>
  <c r="K149" i="5"/>
  <c r="Q149" i="5" s="1"/>
  <c r="R149" i="5" s="1"/>
  <c r="J149" i="5"/>
  <c r="O148" i="5"/>
  <c r="M148" i="5"/>
  <c r="L148" i="5"/>
  <c r="K148" i="5"/>
  <c r="P148" i="5" s="1"/>
  <c r="J148" i="5"/>
  <c r="O147" i="5"/>
  <c r="M147" i="5"/>
  <c r="L147" i="5"/>
  <c r="K147" i="5"/>
  <c r="Q147" i="5" s="1"/>
  <c r="R147" i="5" s="1"/>
  <c r="J147" i="5"/>
  <c r="O146" i="5"/>
  <c r="M146" i="5"/>
  <c r="L146" i="5"/>
  <c r="K146" i="5"/>
  <c r="P146" i="5" s="1"/>
  <c r="J146" i="5"/>
  <c r="O145" i="5"/>
  <c r="M145" i="5"/>
  <c r="L145" i="5"/>
  <c r="K145" i="5"/>
  <c r="P145" i="5" s="1"/>
  <c r="J145" i="5"/>
  <c r="O144" i="5"/>
  <c r="M144" i="5"/>
  <c r="L144" i="5"/>
  <c r="K144" i="5"/>
  <c r="P144" i="5" s="1"/>
  <c r="J144" i="5"/>
  <c r="O143" i="5"/>
  <c r="M143" i="5"/>
  <c r="L143" i="5"/>
  <c r="K143" i="5"/>
  <c r="Q143" i="5" s="1"/>
  <c r="R143" i="5" s="1"/>
  <c r="J143" i="5"/>
  <c r="O142" i="5"/>
  <c r="M142" i="5"/>
  <c r="L142" i="5"/>
  <c r="K142" i="5"/>
  <c r="Q142" i="5" s="1"/>
  <c r="R142" i="5" s="1"/>
  <c r="J142" i="5"/>
  <c r="O141" i="5"/>
  <c r="M141" i="5"/>
  <c r="L141" i="5"/>
  <c r="K141" i="5"/>
  <c r="Q141" i="5" s="1"/>
  <c r="R141" i="5" s="1"/>
  <c r="J141" i="5"/>
  <c r="O140" i="5"/>
  <c r="M140" i="5"/>
  <c r="L140" i="5"/>
  <c r="K140" i="5"/>
  <c r="P140" i="5" s="1"/>
  <c r="J140" i="5"/>
  <c r="O139" i="5"/>
  <c r="M139" i="5"/>
  <c r="L139" i="5"/>
  <c r="K139" i="5"/>
  <c r="P139" i="5" s="1"/>
  <c r="J139" i="5"/>
  <c r="O138" i="5"/>
  <c r="M138" i="5"/>
  <c r="L138" i="5"/>
  <c r="K138" i="5"/>
  <c r="P138" i="5" s="1"/>
  <c r="J138" i="5"/>
  <c r="O137" i="5"/>
  <c r="M137" i="5"/>
  <c r="L137" i="5"/>
  <c r="K137" i="5"/>
  <c r="P137" i="5" s="1"/>
  <c r="J137" i="5"/>
  <c r="O136" i="5"/>
  <c r="M136" i="5"/>
  <c r="L136" i="5"/>
  <c r="K136" i="5"/>
  <c r="P136" i="5" s="1"/>
  <c r="J136" i="5"/>
  <c r="O135" i="5"/>
  <c r="M135" i="5"/>
  <c r="L135" i="5"/>
  <c r="K135" i="5"/>
  <c r="Q135" i="5" s="1"/>
  <c r="R135" i="5" s="1"/>
  <c r="J135" i="5"/>
  <c r="O134" i="5"/>
  <c r="M134" i="5"/>
  <c r="L134" i="5"/>
  <c r="K134" i="5"/>
  <c r="P134" i="5" s="1"/>
  <c r="J134" i="5"/>
  <c r="O133" i="5"/>
  <c r="M133" i="5"/>
  <c r="L133" i="5"/>
  <c r="K133" i="5"/>
  <c r="Q133" i="5" s="1"/>
  <c r="R133" i="5" s="1"/>
  <c r="J133" i="5"/>
  <c r="O132" i="5"/>
  <c r="M132" i="5"/>
  <c r="L132" i="5"/>
  <c r="K132" i="5"/>
  <c r="P132" i="5" s="1"/>
  <c r="J132" i="5"/>
  <c r="O131" i="5"/>
  <c r="M131" i="5"/>
  <c r="L131" i="5"/>
  <c r="K131" i="5"/>
  <c r="P131" i="5" s="1"/>
  <c r="J131" i="5"/>
  <c r="O130" i="5"/>
  <c r="M130" i="5"/>
  <c r="L130" i="5"/>
  <c r="K130" i="5"/>
  <c r="Q130" i="5" s="1"/>
  <c r="R130" i="5" s="1"/>
  <c r="J130" i="5"/>
  <c r="O129" i="5"/>
  <c r="M129" i="5"/>
  <c r="L129" i="5"/>
  <c r="K129" i="5"/>
  <c r="Q129" i="5" s="1"/>
  <c r="R129" i="5" s="1"/>
  <c r="J129" i="5"/>
  <c r="O128" i="5"/>
  <c r="M128" i="5"/>
  <c r="L128" i="5"/>
  <c r="K128" i="5"/>
  <c r="Q128" i="5" s="1"/>
  <c r="R128" i="5" s="1"/>
  <c r="J128" i="5"/>
  <c r="O127" i="5"/>
  <c r="M127" i="5"/>
  <c r="L127" i="5"/>
  <c r="K127" i="5"/>
  <c r="P127" i="5" s="1"/>
  <c r="J127" i="5"/>
  <c r="O126" i="5"/>
  <c r="M126" i="5"/>
  <c r="L126" i="5"/>
  <c r="K126" i="5"/>
  <c r="Q126" i="5" s="1"/>
  <c r="R126" i="5" s="1"/>
  <c r="J126" i="5"/>
  <c r="O125" i="5"/>
  <c r="M125" i="5"/>
  <c r="L125" i="5"/>
  <c r="K125" i="5"/>
  <c r="P125" i="5" s="1"/>
  <c r="J125" i="5"/>
  <c r="O124" i="5"/>
  <c r="M124" i="5"/>
  <c r="L124" i="5"/>
  <c r="K124" i="5"/>
  <c r="P124" i="5" s="1"/>
  <c r="J124" i="5"/>
  <c r="O123" i="5"/>
  <c r="M123" i="5"/>
  <c r="L123" i="5"/>
  <c r="K123" i="5"/>
  <c r="Q123" i="5" s="1"/>
  <c r="R123" i="5" s="1"/>
  <c r="J123" i="5"/>
  <c r="O122" i="5"/>
  <c r="M122" i="5"/>
  <c r="L122" i="5"/>
  <c r="K122" i="5"/>
  <c r="Q122" i="5" s="1"/>
  <c r="R122" i="5" s="1"/>
  <c r="J122" i="5"/>
  <c r="O121" i="5"/>
  <c r="M121" i="5"/>
  <c r="L121" i="5"/>
  <c r="K121" i="5"/>
  <c r="Q121" i="5" s="1"/>
  <c r="R121" i="5" s="1"/>
  <c r="J121" i="5"/>
  <c r="O120" i="5"/>
  <c r="M120" i="5"/>
  <c r="L120" i="5"/>
  <c r="K120" i="5"/>
  <c r="P120" i="5" s="1"/>
  <c r="J120" i="5"/>
  <c r="O119" i="5"/>
  <c r="M119" i="5"/>
  <c r="L119" i="5"/>
  <c r="K119" i="5"/>
  <c r="P119" i="5" s="1"/>
  <c r="J119" i="5"/>
  <c r="O118" i="5"/>
  <c r="M118" i="5"/>
  <c r="L118" i="5"/>
  <c r="K118" i="5"/>
  <c r="P118" i="5" s="1"/>
  <c r="J118" i="5"/>
  <c r="O117" i="5"/>
  <c r="M117" i="5"/>
  <c r="L117" i="5"/>
  <c r="K117" i="5"/>
  <c r="P117" i="5" s="1"/>
  <c r="J117" i="5"/>
  <c r="O116" i="5"/>
  <c r="M116" i="5"/>
  <c r="L116" i="5"/>
  <c r="K116" i="5"/>
  <c r="P116" i="5" s="1"/>
  <c r="J116" i="5"/>
  <c r="O115" i="5"/>
  <c r="M115" i="5"/>
  <c r="L115" i="5"/>
  <c r="K115" i="5"/>
  <c r="Q115" i="5" s="1"/>
  <c r="R115" i="5" s="1"/>
  <c r="J115" i="5"/>
  <c r="O114" i="5"/>
  <c r="M114" i="5"/>
  <c r="L114" i="5"/>
  <c r="K114" i="5"/>
  <c r="Q114" i="5" s="1"/>
  <c r="R114" i="5" s="1"/>
  <c r="J114" i="5"/>
  <c r="O113" i="5"/>
  <c r="M113" i="5"/>
  <c r="L113" i="5"/>
  <c r="K113" i="5"/>
  <c r="Q113" i="5" s="1"/>
  <c r="R113" i="5" s="1"/>
  <c r="J113" i="5"/>
  <c r="O112" i="5"/>
  <c r="M112" i="5"/>
  <c r="L112" i="5"/>
  <c r="K112" i="5"/>
  <c r="Q112" i="5" s="1"/>
  <c r="R112" i="5" s="1"/>
  <c r="J112" i="5"/>
  <c r="O111" i="5"/>
  <c r="M111" i="5"/>
  <c r="L111" i="5"/>
  <c r="K111" i="5"/>
  <c r="P111" i="5" s="1"/>
  <c r="J111" i="5"/>
  <c r="O110" i="5"/>
  <c r="M110" i="5"/>
  <c r="L110" i="5"/>
  <c r="K110" i="5"/>
  <c r="P110" i="5" s="1"/>
  <c r="J110" i="5"/>
  <c r="O109" i="5"/>
  <c r="M109" i="5"/>
  <c r="L109" i="5"/>
  <c r="K109" i="5"/>
  <c r="J109" i="5"/>
  <c r="O108" i="5"/>
  <c r="M108" i="5"/>
  <c r="L108" i="5"/>
  <c r="K108" i="5"/>
  <c r="Q108" i="5" s="1"/>
  <c r="R108" i="5" s="1"/>
  <c r="J108" i="5"/>
  <c r="O107" i="5"/>
  <c r="M107" i="5"/>
  <c r="L107" i="5"/>
  <c r="K107" i="5"/>
  <c r="Q107" i="5" s="1"/>
  <c r="R107" i="5" s="1"/>
  <c r="J107" i="5"/>
  <c r="O106" i="5"/>
  <c r="M106" i="5"/>
  <c r="L106" i="5"/>
  <c r="K106" i="5"/>
  <c r="P106" i="5" s="1"/>
  <c r="J106" i="5"/>
  <c r="O105" i="5"/>
  <c r="M105" i="5"/>
  <c r="L105" i="5"/>
  <c r="K105" i="5"/>
  <c r="P105" i="5" s="1"/>
  <c r="J105" i="5"/>
  <c r="O104" i="5"/>
  <c r="M104" i="5"/>
  <c r="L104" i="5"/>
  <c r="K104" i="5"/>
  <c r="P104" i="5" s="1"/>
  <c r="J104" i="5"/>
  <c r="O103" i="5"/>
  <c r="M103" i="5"/>
  <c r="L103" i="5"/>
  <c r="K103" i="5"/>
  <c r="P103" i="5" s="1"/>
  <c r="J103" i="5"/>
  <c r="O102" i="5"/>
  <c r="M102" i="5"/>
  <c r="L102" i="5"/>
  <c r="K102" i="5"/>
  <c r="Q102" i="5" s="1"/>
  <c r="R102" i="5" s="1"/>
  <c r="J102" i="5"/>
  <c r="O101" i="5"/>
  <c r="M101" i="5"/>
  <c r="L101" i="5"/>
  <c r="K101" i="5"/>
  <c r="Q101" i="5" s="1"/>
  <c r="R101" i="5" s="1"/>
  <c r="J101" i="5"/>
  <c r="O100" i="5"/>
  <c r="M100" i="5"/>
  <c r="L100" i="5"/>
  <c r="K100" i="5"/>
  <c r="P100" i="5" s="1"/>
  <c r="J100" i="5"/>
  <c r="O99" i="5"/>
  <c r="M99" i="5"/>
  <c r="L99" i="5"/>
  <c r="K99" i="5"/>
  <c r="Q99" i="5" s="1"/>
  <c r="R99" i="5" s="1"/>
  <c r="J99" i="5"/>
  <c r="O98" i="5"/>
  <c r="M98" i="5"/>
  <c r="L98" i="5"/>
  <c r="K98" i="5"/>
  <c r="P98" i="5" s="1"/>
  <c r="J98" i="5"/>
  <c r="O97" i="5"/>
  <c r="M97" i="5"/>
  <c r="L97" i="5"/>
  <c r="K97" i="5"/>
  <c r="P97" i="5" s="1"/>
  <c r="J97" i="5"/>
  <c r="O96" i="5"/>
  <c r="M96" i="5"/>
  <c r="L96" i="5"/>
  <c r="K96" i="5"/>
  <c r="P96" i="5" s="1"/>
  <c r="J96" i="5"/>
  <c r="O95" i="5"/>
  <c r="M95" i="5"/>
  <c r="L95" i="5"/>
  <c r="K95" i="5"/>
  <c r="P95" i="5" s="1"/>
  <c r="J95" i="5"/>
  <c r="O94" i="5"/>
  <c r="M94" i="5"/>
  <c r="L94" i="5"/>
  <c r="K94" i="5"/>
  <c r="Q94" i="5" s="1"/>
  <c r="R94" i="5" s="1"/>
  <c r="J94" i="5"/>
  <c r="O93" i="5"/>
  <c r="M93" i="5"/>
  <c r="L93" i="5"/>
  <c r="K93" i="5"/>
  <c r="Q93" i="5" s="1"/>
  <c r="R93" i="5" s="1"/>
  <c r="J93" i="5"/>
  <c r="O92" i="5"/>
  <c r="M92" i="5"/>
  <c r="L92" i="5"/>
  <c r="K92" i="5"/>
  <c r="Q92" i="5" s="1"/>
  <c r="R92" i="5" s="1"/>
  <c r="J92" i="5"/>
  <c r="O91" i="5"/>
  <c r="M91" i="5"/>
  <c r="L91" i="5"/>
  <c r="K91" i="5"/>
  <c r="P91" i="5" s="1"/>
  <c r="J91" i="5"/>
  <c r="O90" i="5"/>
  <c r="M90" i="5"/>
  <c r="L90" i="5"/>
  <c r="K90" i="5"/>
  <c r="P90" i="5" s="1"/>
  <c r="J90" i="5"/>
  <c r="O89" i="5"/>
  <c r="M89" i="5"/>
  <c r="L89" i="5"/>
  <c r="K89" i="5"/>
  <c r="P89" i="5" s="1"/>
  <c r="J89" i="5"/>
  <c r="O88" i="5"/>
  <c r="M88" i="5"/>
  <c r="L88" i="5"/>
  <c r="K88" i="5"/>
  <c r="Q88" i="5" s="1"/>
  <c r="R88" i="5" s="1"/>
  <c r="J88" i="5"/>
  <c r="O87" i="5"/>
  <c r="M87" i="5"/>
  <c r="L87" i="5"/>
  <c r="K87" i="5"/>
  <c r="P87" i="5" s="1"/>
  <c r="J87" i="5"/>
  <c r="O86" i="5"/>
  <c r="M86" i="5"/>
  <c r="L86" i="5"/>
  <c r="K86" i="5"/>
  <c r="Q86" i="5" s="1"/>
  <c r="R86" i="5" s="1"/>
  <c r="J86" i="5"/>
  <c r="O85" i="5"/>
  <c r="M85" i="5"/>
  <c r="L85" i="5"/>
  <c r="K85" i="5"/>
  <c r="P85" i="5" s="1"/>
  <c r="J85" i="5"/>
  <c r="O84" i="5"/>
  <c r="M84" i="5"/>
  <c r="L84" i="5"/>
  <c r="K84" i="5"/>
  <c r="Q84" i="5" s="1"/>
  <c r="R84" i="5" s="1"/>
  <c r="J84" i="5"/>
  <c r="O83" i="5"/>
  <c r="M83" i="5"/>
  <c r="L83" i="5"/>
  <c r="K83" i="5"/>
  <c r="P83" i="5" s="1"/>
  <c r="J83" i="5"/>
  <c r="O82" i="5"/>
  <c r="M82" i="5"/>
  <c r="L82" i="5"/>
  <c r="K82" i="5"/>
  <c r="P82" i="5" s="1"/>
  <c r="J82" i="5"/>
  <c r="O81" i="5"/>
  <c r="M81" i="5"/>
  <c r="L81" i="5"/>
  <c r="K81" i="5"/>
  <c r="Q81" i="5" s="1"/>
  <c r="R81" i="5" s="1"/>
  <c r="J81" i="5"/>
  <c r="O80" i="5"/>
  <c r="M80" i="5"/>
  <c r="L80" i="5"/>
  <c r="K80" i="5"/>
  <c r="Q80" i="5" s="1"/>
  <c r="R80" i="5" s="1"/>
  <c r="J80" i="5"/>
  <c r="O79" i="5"/>
  <c r="M79" i="5"/>
  <c r="L79" i="5"/>
  <c r="K79" i="5"/>
  <c r="Q79" i="5" s="1"/>
  <c r="R79" i="5" s="1"/>
  <c r="J79" i="5"/>
  <c r="O78" i="5"/>
  <c r="M78" i="5"/>
  <c r="L78" i="5"/>
  <c r="K78" i="5"/>
  <c r="P78" i="5" s="1"/>
  <c r="J78" i="5"/>
  <c r="O77" i="5"/>
  <c r="M77" i="5"/>
  <c r="L77" i="5"/>
  <c r="K77" i="5"/>
  <c r="Q77" i="5" s="1"/>
  <c r="R77" i="5" s="1"/>
  <c r="J77" i="5"/>
  <c r="O76" i="5"/>
  <c r="M76" i="5"/>
  <c r="L76" i="5"/>
  <c r="K76" i="5"/>
  <c r="P76" i="5" s="1"/>
  <c r="J76" i="5"/>
  <c r="O75" i="5"/>
  <c r="M75" i="5"/>
  <c r="L75" i="5"/>
  <c r="K75" i="5"/>
  <c r="P75" i="5" s="1"/>
  <c r="J75" i="5"/>
  <c r="O74" i="5"/>
  <c r="M74" i="5"/>
  <c r="L74" i="5"/>
  <c r="K74" i="5"/>
  <c r="Q74" i="5" s="1"/>
  <c r="R74" i="5" s="1"/>
  <c r="J74" i="5"/>
  <c r="O73" i="5"/>
  <c r="M73" i="5"/>
  <c r="L73" i="5"/>
  <c r="K73" i="5"/>
  <c r="Q73" i="5" s="1"/>
  <c r="R73" i="5" s="1"/>
  <c r="J73" i="5"/>
  <c r="O72" i="5"/>
  <c r="M72" i="5"/>
  <c r="L72" i="5"/>
  <c r="K72" i="5"/>
  <c r="Q72" i="5" s="1"/>
  <c r="R72" i="5" s="1"/>
  <c r="J72" i="5"/>
  <c r="O71" i="5"/>
  <c r="M71" i="5"/>
  <c r="L71" i="5"/>
  <c r="K71" i="5"/>
  <c r="P71" i="5" s="1"/>
  <c r="J71" i="5"/>
  <c r="O70" i="5"/>
  <c r="M70" i="5"/>
  <c r="L70" i="5"/>
  <c r="K70" i="5"/>
  <c r="P70" i="5" s="1"/>
  <c r="J70" i="5"/>
  <c r="O69" i="5"/>
  <c r="M69" i="5"/>
  <c r="L69" i="5"/>
  <c r="K69" i="5"/>
  <c r="P69" i="5" s="1"/>
  <c r="J69" i="5"/>
  <c r="O68" i="5"/>
  <c r="M68" i="5"/>
  <c r="L68" i="5"/>
  <c r="K68" i="5"/>
  <c r="P68" i="5" s="1"/>
  <c r="J68" i="5"/>
  <c r="O67" i="5"/>
  <c r="M67" i="5"/>
  <c r="L67" i="5"/>
  <c r="K67" i="5"/>
  <c r="P67" i="5" s="1"/>
  <c r="J67" i="5"/>
  <c r="O66" i="5"/>
  <c r="M66" i="5"/>
  <c r="L66" i="5"/>
  <c r="K66" i="5"/>
  <c r="P66" i="5" s="1"/>
  <c r="J66" i="5"/>
  <c r="O65" i="5"/>
  <c r="M65" i="5"/>
  <c r="L65" i="5"/>
  <c r="K65" i="5"/>
  <c r="Q65" i="5" s="1"/>
  <c r="R65" i="5" s="1"/>
  <c r="J65" i="5"/>
  <c r="O64" i="5"/>
  <c r="M64" i="5"/>
  <c r="L64" i="5"/>
  <c r="K64" i="5"/>
  <c r="P64" i="5" s="1"/>
  <c r="J64" i="5"/>
  <c r="O63" i="5"/>
  <c r="M63" i="5"/>
  <c r="L63" i="5"/>
  <c r="K63" i="5"/>
  <c r="Q63" i="5" s="1"/>
  <c r="R63" i="5" s="1"/>
  <c r="J63" i="5"/>
  <c r="O62" i="5"/>
  <c r="M62" i="5"/>
  <c r="L62" i="5"/>
  <c r="K62" i="5"/>
  <c r="P62" i="5" s="1"/>
  <c r="J62" i="5"/>
  <c r="O61" i="5"/>
  <c r="M61" i="5"/>
  <c r="L61" i="5"/>
  <c r="K61" i="5"/>
  <c r="P61" i="5" s="1"/>
  <c r="J61" i="5"/>
  <c r="O60" i="5"/>
  <c r="M60" i="5"/>
  <c r="L60" i="5"/>
  <c r="K60" i="5"/>
  <c r="P60" i="5" s="1"/>
  <c r="J60" i="5"/>
  <c r="O59" i="5"/>
  <c r="M59" i="5"/>
  <c r="L59" i="5"/>
  <c r="K59" i="5"/>
  <c r="P59" i="5" s="1"/>
  <c r="J59" i="5"/>
  <c r="O58" i="5"/>
  <c r="M58" i="5"/>
  <c r="L58" i="5"/>
  <c r="K58" i="5"/>
  <c r="Q58" i="5" s="1"/>
  <c r="R58" i="5" s="1"/>
  <c r="J58" i="5"/>
  <c r="O57" i="5"/>
  <c r="M57" i="5"/>
  <c r="L57" i="5"/>
  <c r="K57" i="5"/>
  <c r="P57" i="5" s="1"/>
  <c r="J57" i="5"/>
  <c r="O56" i="5"/>
  <c r="M56" i="5"/>
  <c r="L56" i="5"/>
  <c r="K56" i="5"/>
  <c r="P56" i="5" s="1"/>
  <c r="J56" i="5"/>
  <c r="O55" i="5"/>
  <c r="M55" i="5"/>
  <c r="L55" i="5"/>
  <c r="K55" i="5"/>
  <c r="P55" i="5" s="1"/>
  <c r="J55" i="5"/>
  <c r="O54" i="5"/>
  <c r="M54" i="5"/>
  <c r="L54" i="5"/>
  <c r="K54" i="5"/>
  <c r="P54" i="5" s="1"/>
  <c r="J54" i="5"/>
  <c r="O53" i="5"/>
  <c r="M53" i="5"/>
  <c r="L53" i="5"/>
  <c r="K53" i="5"/>
  <c r="Q53" i="5" s="1"/>
  <c r="R53" i="5" s="1"/>
  <c r="J53" i="5"/>
  <c r="O52" i="5"/>
  <c r="M52" i="5"/>
  <c r="L52" i="5"/>
  <c r="K52" i="5"/>
  <c r="Q52" i="5" s="1"/>
  <c r="R52" i="5" s="1"/>
  <c r="J52" i="5"/>
  <c r="O51" i="5"/>
  <c r="M51" i="5"/>
  <c r="L51" i="5"/>
  <c r="K51" i="5"/>
  <c r="Q51" i="5" s="1"/>
  <c r="R51" i="5" s="1"/>
  <c r="J51" i="5"/>
  <c r="O50" i="5"/>
  <c r="M50" i="5"/>
  <c r="L50" i="5"/>
  <c r="K50" i="5"/>
  <c r="Q50" i="5" s="1"/>
  <c r="R50" i="5" s="1"/>
  <c r="J50" i="5"/>
  <c r="O49" i="5"/>
  <c r="M49" i="5"/>
  <c r="L49" i="5"/>
  <c r="K49" i="5"/>
  <c r="Q49" i="5" s="1"/>
  <c r="R49" i="5" s="1"/>
  <c r="J49" i="5"/>
  <c r="O48" i="5"/>
  <c r="M48" i="5"/>
  <c r="L48" i="5"/>
  <c r="K48" i="5"/>
  <c r="P48" i="5" s="1"/>
  <c r="J48" i="5"/>
  <c r="O47" i="5"/>
  <c r="M47" i="5"/>
  <c r="L47" i="5"/>
  <c r="K47" i="5"/>
  <c r="P47" i="5" s="1"/>
  <c r="J47" i="5"/>
  <c r="O46" i="5"/>
  <c r="M46" i="5"/>
  <c r="L46" i="5"/>
  <c r="K46" i="5"/>
  <c r="Q46" i="5" s="1"/>
  <c r="R46" i="5" s="1"/>
  <c r="J46" i="5"/>
  <c r="O45" i="5"/>
  <c r="M45" i="5"/>
  <c r="L45" i="5"/>
  <c r="K45" i="5"/>
  <c r="Q45" i="5" s="1"/>
  <c r="R45" i="5" s="1"/>
  <c r="J45" i="5"/>
  <c r="O44" i="5"/>
  <c r="M44" i="5"/>
  <c r="L44" i="5"/>
  <c r="K44" i="5"/>
  <c r="Q44" i="5" s="1"/>
  <c r="R44" i="5" s="1"/>
  <c r="J44" i="5"/>
  <c r="O43" i="5"/>
  <c r="M43" i="5"/>
  <c r="L43" i="5"/>
  <c r="K43" i="5"/>
  <c r="Q43" i="5" s="1"/>
  <c r="R43" i="5" s="1"/>
  <c r="J43" i="5"/>
  <c r="O42" i="5"/>
  <c r="M42" i="5"/>
  <c r="L42" i="5"/>
  <c r="K42" i="5"/>
  <c r="P42" i="5" s="1"/>
  <c r="J42" i="5"/>
  <c r="O41" i="5"/>
  <c r="M41" i="5"/>
  <c r="L41" i="5"/>
  <c r="K41" i="5"/>
  <c r="P41" i="5" s="1"/>
  <c r="J41" i="5"/>
  <c r="O40" i="5"/>
  <c r="M40" i="5"/>
  <c r="L40" i="5"/>
  <c r="K40" i="5"/>
  <c r="P40" i="5" s="1"/>
  <c r="J40" i="5"/>
  <c r="O39" i="5"/>
  <c r="M39" i="5"/>
  <c r="L39" i="5"/>
  <c r="K39" i="5"/>
  <c r="Q39" i="5" s="1"/>
  <c r="R39" i="5" s="1"/>
  <c r="J39" i="5"/>
  <c r="O38" i="5"/>
  <c r="M38" i="5"/>
  <c r="L38" i="5"/>
  <c r="K38" i="5"/>
  <c r="Q38" i="5" s="1"/>
  <c r="R38" i="5" s="1"/>
  <c r="J38" i="5"/>
  <c r="O37" i="5"/>
  <c r="M37" i="5"/>
  <c r="L37" i="5"/>
  <c r="K37" i="5"/>
  <c r="Q37" i="5" s="1"/>
  <c r="R37" i="5" s="1"/>
  <c r="J37" i="5"/>
  <c r="O36" i="5"/>
  <c r="M36" i="5"/>
  <c r="L36" i="5"/>
  <c r="K36" i="5"/>
  <c r="P36" i="5" s="1"/>
  <c r="J36" i="5"/>
  <c r="O35" i="5"/>
  <c r="M35" i="5"/>
  <c r="L35" i="5"/>
  <c r="K35" i="5"/>
  <c r="P35" i="5" s="1"/>
  <c r="J35" i="5"/>
  <c r="O34" i="5"/>
  <c r="M34" i="5"/>
  <c r="L34" i="5"/>
  <c r="K34" i="5"/>
  <c r="P34" i="5" s="1"/>
  <c r="J34" i="5"/>
  <c r="O33" i="5"/>
  <c r="M33" i="5"/>
  <c r="L33" i="5"/>
  <c r="K33" i="5"/>
  <c r="P33" i="5" s="1"/>
  <c r="J33" i="5"/>
  <c r="O32" i="5"/>
  <c r="M32" i="5"/>
  <c r="L32" i="5"/>
  <c r="K32" i="5"/>
  <c r="Q32" i="5" s="1"/>
  <c r="R32" i="5" s="1"/>
  <c r="J32" i="5"/>
  <c r="O31" i="5"/>
  <c r="M31" i="5"/>
  <c r="L31" i="5"/>
  <c r="K31" i="5"/>
  <c r="Q31" i="5" s="1"/>
  <c r="R31" i="5" s="1"/>
  <c r="J31" i="5"/>
  <c r="O30" i="5"/>
  <c r="M30" i="5"/>
  <c r="L30" i="5"/>
  <c r="K30" i="5"/>
  <c r="Q30" i="5" s="1"/>
  <c r="R30" i="5" s="1"/>
  <c r="J30" i="5"/>
  <c r="O29" i="5"/>
  <c r="M29" i="5"/>
  <c r="L29" i="5"/>
  <c r="K29" i="5"/>
  <c r="Q29" i="5" s="1"/>
  <c r="R29" i="5" s="1"/>
  <c r="J29" i="5"/>
  <c r="O28" i="5"/>
  <c r="M28" i="5"/>
  <c r="L28" i="5"/>
  <c r="K28" i="5"/>
  <c r="Q28" i="5" s="1"/>
  <c r="R28" i="5" s="1"/>
  <c r="J28" i="5"/>
  <c r="O27" i="5"/>
  <c r="M27" i="5"/>
  <c r="L27" i="5"/>
  <c r="K27" i="5"/>
  <c r="P27" i="5" s="1"/>
  <c r="J27" i="5"/>
  <c r="O26" i="5"/>
  <c r="M26" i="5"/>
  <c r="L26" i="5"/>
  <c r="K26" i="5"/>
  <c r="P26" i="5" s="1"/>
  <c r="J26" i="5"/>
  <c r="O25" i="5"/>
  <c r="M25" i="5"/>
  <c r="L25" i="5"/>
  <c r="K25" i="5"/>
  <c r="Q25" i="5" s="1"/>
  <c r="R25" i="5" s="1"/>
  <c r="J25" i="5"/>
  <c r="O24" i="5"/>
  <c r="M24" i="5"/>
  <c r="L24" i="5"/>
  <c r="K24" i="5"/>
  <c r="Q24" i="5" s="1"/>
  <c r="J24" i="5"/>
  <c r="O23" i="5"/>
  <c r="M23" i="5"/>
  <c r="L23" i="5"/>
  <c r="K23" i="5"/>
  <c r="P23" i="5" s="1"/>
  <c r="J23" i="5"/>
  <c r="O22" i="5"/>
  <c r="M22" i="5"/>
  <c r="L22" i="5"/>
  <c r="K22" i="5"/>
  <c r="Q22" i="5" s="1"/>
  <c r="R22" i="5" s="1"/>
  <c r="J22" i="5"/>
  <c r="O21" i="5"/>
  <c r="M21" i="5"/>
  <c r="L21" i="5"/>
  <c r="K21" i="5"/>
  <c r="P21" i="5" s="1"/>
  <c r="J21" i="5"/>
  <c r="O20" i="5"/>
  <c r="M20" i="5"/>
  <c r="L20" i="5"/>
  <c r="K20" i="5"/>
  <c r="Q20" i="5" s="1"/>
  <c r="R20" i="5" s="1"/>
  <c r="J20" i="5"/>
  <c r="O19" i="5"/>
  <c r="M19" i="5"/>
  <c r="L19" i="5"/>
  <c r="K19" i="5"/>
  <c r="P19" i="5" s="1"/>
  <c r="J19" i="5"/>
  <c r="O18" i="5"/>
  <c r="M18" i="5"/>
  <c r="L18" i="5"/>
  <c r="K18" i="5"/>
  <c r="Q18" i="5" s="1"/>
  <c r="R18" i="5" s="1"/>
  <c r="J18" i="5"/>
  <c r="O17" i="5"/>
  <c r="M17" i="5"/>
  <c r="L17" i="5"/>
  <c r="K17" i="5"/>
  <c r="Q17" i="5" s="1"/>
  <c r="R17" i="5" s="1"/>
  <c r="J17" i="5"/>
  <c r="O16" i="5"/>
  <c r="M16" i="5"/>
  <c r="L16" i="5"/>
  <c r="K16" i="5"/>
  <c r="Q16" i="5" s="1"/>
  <c r="R16" i="5" s="1"/>
  <c r="J16" i="5"/>
  <c r="O15" i="5"/>
  <c r="M15" i="5"/>
  <c r="L15" i="5"/>
  <c r="K15" i="5"/>
  <c r="Q15" i="5" s="1"/>
  <c r="R15" i="5" s="1"/>
  <c r="J15" i="5"/>
  <c r="O14" i="5"/>
  <c r="M14" i="5"/>
  <c r="L14" i="5"/>
  <c r="K14" i="5"/>
  <c r="P14" i="5" s="1"/>
  <c r="J14" i="5"/>
  <c r="O13" i="5"/>
  <c r="M13" i="5"/>
  <c r="L13" i="5"/>
  <c r="K13" i="5"/>
  <c r="Q13" i="5" s="1"/>
  <c r="R13" i="5" s="1"/>
  <c r="J13" i="5"/>
  <c r="O12" i="5"/>
  <c r="M12" i="5"/>
  <c r="L12" i="5"/>
  <c r="K12" i="5"/>
  <c r="P12" i="5" s="1"/>
  <c r="J12" i="5"/>
  <c r="O11" i="5"/>
  <c r="M11" i="5"/>
  <c r="L11" i="5"/>
  <c r="K11" i="5"/>
  <c r="Q11" i="5" s="1"/>
  <c r="R11" i="5" s="1"/>
  <c r="J11" i="5"/>
  <c r="O10" i="5"/>
  <c r="M10" i="5"/>
  <c r="L10" i="5"/>
  <c r="K10" i="5"/>
  <c r="Q10" i="5" s="1"/>
  <c r="R10" i="5" s="1"/>
  <c r="J10" i="5"/>
  <c r="O9" i="5"/>
  <c r="M9" i="5"/>
  <c r="L9" i="5"/>
  <c r="K9" i="5"/>
  <c r="P9" i="5" s="1"/>
  <c r="J9" i="5"/>
  <c r="O8" i="5"/>
  <c r="M8" i="5"/>
  <c r="L8" i="5"/>
  <c r="K8" i="5"/>
  <c r="Q8" i="5" s="1"/>
  <c r="R8" i="5" s="1"/>
  <c r="J8" i="5"/>
  <c r="O7" i="5"/>
  <c r="M7" i="5"/>
  <c r="L7" i="5"/>
  <c r="K7" i="5"/>
  <c r="J7" i="5"/>
  <c r="O6" i="5"/>
  <c r="M6" i="5"/>
  <c r="L6" i="5"/>
  <c r="K6" i="5"/>
  <c r="Q6" i="5" s="1"/>
  <c r="R6" i="5" s="1"/>
  <c r="J6" i="5"/>
  <c r="O5" i="5"/>
  <c r="M5" i="5"/>
  <c r="L5" i="5"/>
  <c r="K5" i="5"/>
  <c r="P5" i="5" s="1"/>
  <c r="J5" i="5"/>
  <c r="O4" i="5"/>
  <c r="M4" i="5"/>
  <c r="L4" i="5"/>
  <c r="K4" i="5"/>
  <c r="P4" i="5" s="1"/>
  <c r="J4" i="5"/>
  <c r="Q212" i="5" l="1"/>
  <c r="R212" i="5" s="1"/>
  <c r="Q271" i="5"/>
  <c r="R271" i="5" s="1"/>
  <c r="P142" i="5"/>
  <c r="P150" i="5"/>
  <c r="P7" i="5"/>
  <c r="Q119" i="5"/>
  <c r="R119" i="5" s="1"/>
  <c r="Q83" i="5"/>
  <c r="R83" i="5" s="1"/>
  <c r="P109" i="5"/>
  <c r="Q185" i="5"/>
  <c r="R185" i="5" s="1"/>
  <c r="Q205" i="5"/>
  <c r="R205" i="5" s="1"/>
  <c r="Q137" i="5"/>
  <c r="R137" i="5" s="1"/>
  <c r="P164" i="5"/>
  <c r="P63" i="5"/>
  <c r="Q5" i="5"/>
  <c r="R5" i="5" s="1"/>
  <c r="P58" i="5"/>
  <c r="Q85" i="5"/>
  <c r="R85" i="5" s="1"/>
  <c r="Q96" i="5"/>
  <c r="R96" i="5" s="1"/>
  <c r="Q234" i="5"/>
  <c r="R234" i="5" s="1"/>
  <c r="P65" i="5"/>
  <c r="P73" i="5"/>
  <c r="P135" i="5"/>
  <c r="Q286" i="5"/>
  <c r="R286" i="5" s="1"/>
  <c r="Q299" i="5"/>
  <c r="R299" i="5" s="1"/>
  <c r="Q194" i="5"/>
  <c r="R194" i="5" s="1"/>
  <c r="Q262" i="5"/>
  <c r="R262" i="5" s="1"/>
  <c r="Q278" i="5"/>
  <c r="R278" i="5" s="1"/>
  <c r="P294" i="5"/>
  <c r="Q36" i="5"/>
  <c r="R36" i="5" s="1"/>
  <c r="Q76" i="5"/>
  <c r="R76" i="5" s="1"/>
  <c r="P114" i="5"/>
  <c r="Q178" i="5"/>
  <c r="R178" i="5" s="1"/>
  <c r="P276" i="5"/>
  <c r="Q292" i="5"/>
  <c r="R292" i="5" s="1"/>
  <c r="Q23" i="5"/>
  <c r="R23" i="5" s="1"/>
  <c r="Q34" i="5"/>
  <c r="R34" i="5" s="1"/>
  <c r="P101" i="5"/>
  <c r="P128" i="5"/>
  <c r="P176" i="5"/>
  <c r="P255" i="5"/>
  <c r="P171" i="5"/>
  <c r="Q290" i="5"/>
  <c r="R290" i="5" s="1"/>
  <c r="P30" i="5"/>
  <c r="P32" i="5"/>
  <c r="Q61" i="5"/>
  <c r="R61" i="5" s="1"/>
  <c r="P94" i="5"/>
  <c r="P99" i="5"/>
  <c r="Q109" i="5"/>
  <c r="P192" i="5"/>
  <c r="P269" i="5"/>
  <c r="Q237" i="5"/>
  <c r="R237" i="5" s="1"/>
  <c r="P25" i="5"/>
  <c r="Q148" i="5"/>
  <c r="R148" i="5" s="1"/>
  <c r="P233" i="5"/>
  <c r="P235" i="5"/>
  <c r="Q264" i="5"/>
  <c r="R264" i="5" s="1"/>
  <c r="Q59" i="5"/>
  <c r="R59" i="5" s="1"/>
  <c r="Q125" i="5"/>
  <c r="R125" i="5" s="1"/>
  <c r="P130" i="5"/>
  <c r="Q174" i="5"/>
  <c r="R174" i="5" s="1"/>
  <c r="Q215" i="5"/>
  <c r="R215" i="5" s="1"/>
  <c r="Q228" i="5"/>
  <c r="R228" i="5" s="1"/>
  <c r="Q285" i="5"/>
  <c r="R285" i="5" s="1"/>
  <c r="Q41" i="5"/>
  <c r="R41" i="5" s="1"/>
  <c r="Q62" i="5"/>
  <c r="R62" i="5" s="1"/>
  <c r="P72" i="5"/>
  <c r="P74" i="5"/>
  <c r="Q87" i="5"/>
  <c r="R87" i="5" s="1"/>
  <c r="Q110" i="5"/>
  <c r="R110" i="5" s="1"/>
  <c r="Q162" i="5"/>
  <c r="R162" i="5" s="1"/>
  <c r="P213" i="5"/>
  <c r="P226" i="5"/>
  <c r="Q257" i="5"/>
  <c r="R257" i="5" s="1"/>
  <c r="P283" i="5"/>
  <c r="P31" i="5"/>
  <c r="P108" i="5"/>
  <c r="Q188" i="5"/>
  <c r="R188" i="5" s="1"/>
  <c r="Q193" i="5"/>
  <c r="R193" i="5" s="1"/>
  <c r="P206" i="5"/>
  <c r="Q306" i="5"/>
  <c r="R306" i="5" s="1"/>
  <c r="Q208" i="5"/>
  <c r="R208" i="5" s="1"/>
  <c r="Q139" i="5"/>
  <c r="R139" i="5" s="1"/>
  <c r="P224" i="5"/>
  <c r="Q236" i="5"/>
  <c r="R236" i="5" s="1"/>
  <c r="P172" i="5"/>
  <c r="Q249" i="5"/>
  <c r="R249" i="5" s="1"/>
  <c r="P129" i="5"/>
  <c r="Q4" i="5"/>
  <c r="R4" i="5" s="1"/>
  <c r="Q9" i="5"/>
  <c r="R9" i="5" s="1"/>
  <c r="P11" i="5"/>
  <c r="P16" i="5"/>
  <c r="P20" i="5"/>
  <c r="Q27" i="5"/>
  <c r="R27" i="5" s="1"/>
  <c r="P49" i="5"/>
  <c r="P51" i="5"/>
  <c r="Q60" i="5"/>
  <c r="R60" i="5" s="1"/>
  <c r="Q64" i="5"/>
  <c r="R64" i="5" s="1"/>
  <c r="Q66" i="5"/>
  <c r="R66" i="5" s="1"/>
  <c r="Q78" i="5"/>
  <c r="R78" i="5" s="1"/>
  <c r="P80" i="5"/>
  <c r="Q98" i="5"/>
  <c r="R98" i="5" s="1"/>
  <c r="Q100" i="5"/>
  <c r="R100" i="5" s="1"/>
  <c r="Q105" i="5"/>
  <c r="R105" i="5" s="1"/>
  <c r="Q134" i="5"/>
  <c r="R134" i="5" s="1"/>
  <c r="Q136" i="5"/>
  <c r="R136" i="5" s="1"/>
  <c r="P143" i="5"/>
  <c r="Q159" i="5"/>
  <c r="R159" i="5" s="1"/>
  <c r="Q182" i="5"/>
  <c r="R182" i="5" s="1"/>
  <c r="P219" i="5"/>
  <c r="P221" i="5"/>
  <c r="Q223" i="5"/>
  <c r="R223" i="5" s="1"/>
  <c r="Q243" i="5"/>
  <c r="R243" i="5" s="1"/>
  <c r="P296" i="5"/>
  <c r="P298" i="5"/>
  <c r="P303" i="5"/>
  <c r="Q310" i="5"/>
  <c r="R310" i="5" s="1"/>
  <c r="P93" i="5"/>
  <c r="Q35" i="5"/>
  <c r="R35" i="5" s="1"/>
  <c r="P18" i="5"/>
  <c r="P38" i="5"/>
  <c r="P45" i="5"/>
  <c r="Q47" i="5"/>
  <c r="R47" i="5" s="1"/>
  <c r="Q56" i="5"/>
  <c r="R56" i="5" s="1"/>
  <c r="P112" i="5"/>
  <c r="P121" i="5"/>
  <c r="P123" i="5"/>
  <c r="Q132" i="5"/>
  <c r="R132" i="5" s="1"/>
  <c r="P157" i="5"/>
  <c r="Q180" i="5"/>
  <c r="R180" i="5" s="1"/>
  <c r="P196" i="5"/>
  <c r="P198" i="5"/>
  <c r="P241" i="5"/>
  <c r="P248" i="5"/>
  <c r="Q250" i="5"/>
  <c r="R250" i="5" s="1"/>
  <c r="P287" i="5"/>
  <c r="P115" i="5"/>
  <c r="P170" i="5"/>
  <c r="P179" i="5"/>
  <c r="P147" i="5"/>
  <c r="P10" i="5"/>
  <c r="Q12" i="5"/>
  <c r="R12" i="5" s="1"/>
  <c r="P44" i="5"/>
  <c r="Q48" i="5"/>
  <c r="R48" i="5" s="1"/>
  <c r="P50" i="5"/>
  <c r="P52" i="5"/>
  <c r="Q70" i="5"/>
  <c r="R70" i="5" s="1"/>
  <c r="P79" i="5"/>
  <c r="P81" i="5"/>
  <c r="Q90" i="5"/>
  <c r="R90" i="5" s="1"/>
  <c r="P133" i="5"/>
  <c r="Q144" i="5"/>
  <c r="R144" i="5" s="1"/>
  <c r="P156" i="5"/>
  <c r="Q167" i="5"/>
  <c r="R167" i="5" s="1"/>
  <c r="Q181" i="5"/>
  <c r="R181" i="5" s="1"/>
  <c r="P220" i="5"/>
  <c r="Q222" i="5"/>
  <c r="R222" i="5" s="1"/>
  <c r="P240" i="5"/>
  <c r="P297" i="5"/>
  <c r="P311" i="5"/>
  <c r="Q21" i="5"/>
  <c r="R21" i="5" s="1"/>
  <c r="P17" i="5"/>
  <c r="Q19" i="5"/>
  <c r="R19" i="5" s="1"/>
  <c r="P37" i="5"/>
  <c r="P39" i="5"/>
  <c r="P46" i="5"/>
  <c r="P122" i="5"/>
  <c r="Q158" i="5"/>
  <c r="R158" i="5" s="1"/>
  <c r="P197" i="5"/>
  <c r="P199" i="5"/>
  <c r="Q218" i="5"/>
  <c r="R218" i="5" s="1"/>
  <c r="Q242" i="5"/>
  <c r="R242" i="5" s="1"/>
  <c r="P247" i="5"/>
  <c r="Q251" i="5"/>
  <c r="R251" i="5" s="1"/>
  <c r="Q272" i="5"/>
  <c r="R272" i="5" s="1"/>
  <c r="P304" i="5"/>
  <c r="Q131" i="5"/>
  <c r="R131" i="5" s="1"/>
  <c r="P86" i="5"/>
  <c r="Q95" i="5"/>
  <c r="R95" i="5" s="1"/>
  <c r="Q127" i="5"/>
  <c r="R127" i="5" s="1"/>
  <c r="P149" i="5"/>
  <c r="P163" i="5"/>
  <c r="P165" i="5"/>
  <c r="Q177" i="5"/>
  <c r="R177" i="5" s="1"/>
  <c r="Q229" i="5"/>
  <c r="R229" i="5" s="1"/>
  <c r="P254" i="5"/>
  <c r="P261" i="5"/>
  <c r="P263" i="5"/>
  <c r="P268" i="5"/>
  <c r="P270" i="5"/>
  <c r="Q293" i="5"/>
  <c r="R293" i="5" s="1"/>
  <c r="P29" i="5"/>
  <c r="Q33" i="5"/>
  <c r="R33" i="5" s="1"/>
  <c r="P84" i="5"/>
  <c r="P107" i="5"/>
  <c r="P161" i="5"/>
  <c r="P184" i="5"/>
  <c r="P186" i="5"/>
  <c r="P191" i="5"/>
  <c r="P227" i="5"/>
  <c r="P275" i="5"/>
  <c r="P282" i="5"/>
  <c r="Q120" i="5"/>
  <c r="R120" i="5" s="1"/>
  <c r="P289" i="5"/>
  <c r="P291" i="5"/>
  <c r="P113" i="5"/>
  <c r="P88" i="5"/>
  <c r="Q71" i="5"/>
  <c r="R71" i="5" s="1"/>
  <c r="Q82" i="5"/>
  <c r="R82" i="5" s="1"/>
  <c r="Q145" i="5"/>
  <c r="R145" i="5" s="1"/>
  <c r="Q207" i="5"/>
  <c r="R207" i="5" s="1"/>
  <c r="Q214" i="5"/>
  <c r="R214" i="5" s="1"/>
  <c r="Q232" i="5"/>
  <c r="R232" i="5" s="1"/>
  <c r="P259" i="5"/>
  <c r="P266" i="5"/>
  <c r="Q42" i="5"/>
  <c r="R42" i="5" s="1"/>
  <c r="Q106" i="5"/>
  <c r="R106" i="5" s="1"/>
  <c r="Q189" i="5"/>
  <c r="R189" i="5" s="1"/>
  <c r="Q204" i="5"/>
  <c r="R204" i="5" s="1"/>
  <c r="P210" i="5"/>
  <c r="Q258" i="5"/>
  <c r="R258" i="5" s="1"/>
  <c r="Q267" i="5"/>
  <c r="R267" i="5" s="1"/>
  <c r="P267" i="5"/>
  <c r="Q7" i="5"/>
  <c r="Q14" i="5"/>
  <c r="R14" i="5" s="1"/>
  <c r="Q140" i="5"/>
  <c r="R140" i="5" s="1"/>
  <c r="Q155" i="5"/>
  <c r="R155" i="5" s="1"/>
  <c r="P238" i="5"/>
  <c r="Q246" i="5"/>
  <c r="R246" i="5" s="1"/>
  <c r="P252" i="5"/>
  <c r="P256" i="5"/>
  <c r="Q279" i="5"/>
  <c r="R279" i="5" s="1"/>
  <c r="Q288" i="5"/>
  <c r="R288" i="5" s="1"/>
  <c r="P288" i="5"/>
  <c r="Q57" i="5"/>
  <c r="R57" i="5" s="1"/>
  <c r="Q91" i="5"/>
  <c r="R91" i="5" s="1"/>
  <c r="Q97" i="5"/>
  <c r="R97" i="5" s="1"/>
  <c r="Q146" i="5"/>
  <c r="R146" i="5" s="1"/>
  <c r="Q195" i="5"/>
  <c r="R195" i="5" s="1"/>
  <c r="Q216" i="5"/>
  <c r="R216" i="5" s="1"/>
  <c r="Q230" i="5"/>
  <c r="R230" i="5" s="1"/>
  <c r="Q244" i="5"/>
  <c r="R244" i="5" s="1"/>
  <c r="P273" i="5"/>
  <c r="P277" i="5"/>
  <c r="Q300" i="5"/>
  <c r="R300" i="5" s="1"/>
  <c r="Q309" i="5"/>
  <c r="R309" i="5" s="1"/>
  <c r="P309" i="5"/>
  <c r="Q253" i="5"/>
  <c r="R253" i="5" s="1"/>
  <c r="P253" i="5"/>
  <c r="P6" i="5"/>
  <c r="P13" i="5"/>
  <c r="P22" i="5"/>
  <c r="Q54" i="5"/>
  <c r="R54" i="5" s="1"/>
  <c r="Q67" i="5"/>
  <c r="R67" i="5" s="1"/>
  <c r="Q103" i="5"/>
  <c r="R103" i="5" s="1"/>
  <c r="Q116" i="5"/>
  <c r="R116" i="5" s="1"/>
  <c r="Q152" i="5"/>
  <c r="R152" i="5" s="1"/>
  <c r="P154" i="5"/>
  <c r="P169" i="5"/>
  <c r="Q201" i="5"/>
  <c r="R201" i="5" s="1"/>
  <c r="P203" i="5"/>
  <c r="Q265" i="5"/>
  <c r="R265" i="5" s="1"/>
  <c r="Q274" i="5"/>
  <c r="R274" i="5" s="1"/>
  <c r="P274" i="5"/>
  <c r="Q69" i="5"/>
  <c r="R69" i="5" s="1"/>
  <c r="Q295" i="5"/>
  <c r="R295" i="5" s="1"/>
  <c r="P295" i="5"/>
  <c r="Q118" i="5"/>
  <c r="R118" i="5" s="1"/>
  <c r="P8" i="5"/>
  <c r="P15" i="5"/>
  <c r="P24" i="5"/>
  <c r="Q26" i="5"/>
  <c r="R26" i="5" s="1"/>
  <c r="P28" i="5"/>
  <c r="P43" i="5"/>
  <c r="Q75" i="5"/>
  <c r="R75" i="5" s="1"/>
  <c r="P77" i="5"/>
  <c r="P92" i="5"/>
  <c r="Q124" i="5"/>
  <c r="R124" i="5" s="1"/>
  <c r="P126" i="5"/>
  <c r="P141" i="5"/>
  <c r="Q173" i="5"/>
  <c r="R173" i="5" s="1"/>
  <c r="P175" i="5"/>
  <c r="P190" i="5"/>
  <c r="P280" i="5"/>
  <c r="P284" i="5"/>
  <c r="Q307" i="5"/>
  <c r="R307" i="5" s="1"/>
  <c r="Q111" i="5"/>
  <c r="R111" i="5" s="1"/>
  <c r="Q160" i="5"/>
  <c r="R160" i="5" s="1"/>
  <c r="Q209" i="5"/>
  <c r="R209" i="5" s="1"/>
  <c r="Q211" i="5"/>
  <c r="R211" i="5" s="1"/>
  <c r="P217" i="5"/>
  <c r="Q225" i="5"/>
  <c r="R225" i="5" s="1"/>
  <c r="P231" i="5"/>
  <c r="Q239" i="5"/>
  <c r="R239" i="5" s="1"/>
  <c r="P245" i="5"/>
  <c r="P301" i="5"/>
  <c r="P305" i="5"/>
  <c r="Q281" i="5"/>
  <c r="R281" i="5" s="1"/>
  <c r="P281" i="5"/>
  <c r="Q68" i="5"/>
  <c r="R68" i="5" s="1"/>
  <c r="Q117" i="5"/>
  <c r="R117" i="5" s="1"/>
  <c r="Q166" i="5"/>
  <c r="R166" i="5" s="1"/>
  <c r="P168" i="5"/>
  <c r="P183" i="5"/>
  <c r="Q302" i="5"/>
  <c r="R302" i="5" s="1"/>
  <c r="P302" i="5"/>
  <c r="P53" i="5"/>
  <c r="Q55" i="5"/>
  <c r="R55" i="5" s="1"/>
  <c r="P151" i="5"/>
  <c r="Q153" i="5"/>
  <c r="R153" i="5" s="1"/>
  <c r="P200" i="5"/>
  <c r="Q202" i="5"/>
  <c r="R202" i="5" s="1"/>
  <c r="Q260" i="5"/>
  <c r="R260" i="5" s="1"/>
  <c r="P260" i="5"/>
  <c r="P102" i="5"/>
  <c r="Q104" i="5"/>
  <c r="R104" i="5" s="1"/>
  <c r="Q40" i="5"/>
  <c r="R40" i="5" s="1"/>
  <c r="Q89" i="5"/>
  <c r="R89" i="5" s="1"/>
  <c r="Q138" i="5"/>
  <c r="R138" i="5" s="1"/>
  <c r="Q187" i="5"/>
  <c r="R187" i="5" s="1"/>
  <c r="P308" i="5"/>
  <c r="P312" i="5"/>
  <c r="R7" i="5" l="1"/>
  <c r="R109" i="5"/>
  <c r="R24" i="5"/>
  <c r="K5" i="2"/>
  <c r="Q5" i="2" s="1"/>
  <c r="K6" i="2"/>
  <c r="K7" i="2"/>
  <c r="K8" i="2"/>
  <c r="Q8" i="2" s="1"/>
  <c r="K9" i="2"/>
  <c r="Q9" i="2" s="1"/>
  <c r="K10" i="2"/>
  <c r="Q10" i="2" s="1"/>
  <c r="K11" i="2"/>
  <c r="Q11" i="2" s="1"/>
  <c r="K12" i="2"/>
  <c r="Q12" i="2" s="1"/>
  <c r="K13" i="2"/>
  <c r="Q13" i="2" s="1"/>
  <c r="K14" i="2"/>
  <c r="Q14" i="2" s="1"/>
  <c r="K15" i="2"/>
  <c r="Q15" i="2" s="1"/>
  <c r="K16" i="2"/>
  <c r="K17" i="2"/>
  <c r="Q17" i="2" s="1"/>
  <c r="K18" i="2"/>
  <c r="Q18" i="2" s="1"/>
  <c r="K19" i="2"/>
  <c r="Q19" i="2" s="1"/>
  <c r="K20" i="2"/>
  <c r="K21" i="2"/>
  <c r="Q21" i="2" s="1"/>
  <c r="K22" i="2"/>
  <c r="Q22" i="2" s="1"/>
  <c r="K23" i="2"/>
  <c r="K24" i="2"/>
  <c r="Q24" i="2" s="1"/>
  <c r="K25" i="2"/>
  <c r="K26" i="2"/>
  <c r="Q26" i="2" s="1"/>
  <c r="K27" i="2"/>
  <c r="Q27" i="2" s="1"/>
  <c r="K28" i="2"/>
  <c r="K29" i="2"/>
  <c r="Q29" i="2" s="1"/>
  <c r="K30" i="2"/>
  <c r="Q30" i="2" s="1"/>
  <c r="K31" i="2"/>
  <c r="Q31" i="2" s="1"/>
  <c r="K32" i="2"/>
  <c r="K33" i="2"/>
  <c r="K34" i="2"/>
  <c r="Q34" i="2" s="1"/>
  <c r="K35" i="2"/>
  <c r="K36" i="2"/>
  <c r="K37" i="2"/>
  <c r="K38" i="2"/>
  <c r="K39" i="2"/>
  <c r="K40" i="2"/>
  <c r="K41" i="2"/>
  <c r="K42" i="2"/>
  <c r="K43" i="2"/>
  <c r="K44" i="2"/>
  <c r="K45" i="2"/>
  <c r="Q45" i="2" s="1"/>
  <c r="K46" i="2"/>
  <c r="K47" i="2"/>
  <c r="Q47" i="2" s="1"/>
  <c r="K48" i="2"/>
  <c r="Q48" i="2" s="1"/>
  <c r="K49" i="2"/>
  <c r="P49" i="2" s="1"/>
  <c r="K50" i="2"/>
  <c r="Q50" i="2" s="1"/>
  <c r="K51" i="2"/>
  <c r="P51" i="2" s="1"/>
  <c r="K52" i="2"/>
  <c r="Q52" i="2" s="1"/>
  <c r="K53" i="2"/>
  <c r="K54" i="2"/>
  <c r="Q54" i="2" s="1"/>
  <c r="K55" i="2"/>
  <c r="Q55" i="2" s="1"/>
  <c r="K56" i="2"/>
  <c r="K57" i="2"/>
  <c r="Q57" i="2" s="1"/>
  <c r="K58" i="2"/>
  <c r="P58" i="2" s="1"/>
  <c r="K59" i="2"/>
  <c r="K60" i="2"/>
  <c r="K61" i="2"/>
  <c r="K62" i="2"/>
  <c r="K63" i="2"/>
  <c r="K64" i="2"/>
  <c r="K65" i="2"/>
  <c r="K66" i="2"/>
  <c r="K67" i="2"/>
  <c r="K68" i="2"/>
  <c r="Q68" i="2" s="1"/>
  <c r="K69" i="2"/>
  <c r="K70" i="2"/>
  <c r="K71" i="2"/>
  <c r="Q71" i="2" s="1"/>
  <c r="K72" i="2"/>
  <c r="K73" i="2"/>
  <c r="Q73" i="2" s="1"/>
  <c r="K74" i="2"/>
  <c r="K75" i="2"/>
  <c r="Q75" i="2" s="1"/>
  <c r="K76" i="2"/>
  <c r="P76" i="2" s="1"/>
  <c r="K77" i="2"/>
  <c r="K78" i="2"/>
  <c r="Q78" i="2" s="1"/>
  <c r="K79" i="2"/>
  <c r="K80" i="2"/>
  <c r="Q80" i="2" s="1"/>
  <c r="K81" i="2"/>
  <c r="K82" i="2"/>
  <c r="K83" i="2"/>
  <c r="Q83" i="2" s="1"/>
  <c r="K84" i="2"/>
  <c r="K85" i="2"/>
  <c r="K86" i="2"/>
  <c r="K87" i="2"/>
  <c r="P87" i="2" s="1"/>
  <c r="K88" i="2"/>
  <c r="K89" i="2"/>
  <c r="K90" i="2"/>
  <c r="K91" i="2"/>
  <c r="K92" i="2"/>
  <c r="K93" i="2"/>
  <c r="K94" i="2"/>
  <c r="Q94" i="2" s="1"/>
  <c r="K95" i="2"/>
  <c r="K96" i="2"/>
  <c r="Q96" i="2" s="1"/>
  <c r="K97" i="2"/>
  <c r="Q97" i="2" s="1"/>
  <c r="K98" i="2"/>
  <c r="K99" i="2"/>
  <c r="K100" i="2"/>
  <c r="P100" i="2" s="1"/>
  <c r="K101" i="2"/>
  <c r="Q101" i="2" s="1"/>
  <c r="R101" i="2" s="1"/>
  <c r="K102" i="2"/>
  <c r="P102" i="2" s="1"/>
  <c r="K103" i="2"/>
  <c r="Q103" i="2" s="1"/>
  <c r="R103" i="2" s="1"/>
  <c r="K104" i="2"/>
  <c r="Q104" i="2" s="1"/>
  <c r="R104" i="2" s="1"/>
  <c r="K105" i="2"/>
  <c r="P105" i="2" s="1"/>
  <c r="K106" i="2"/>
  <c r="Q106" i="2" s="1"/>
  <c r="R106" i="2" s="1"/>
  <c r="K107" i="2"/>
  <c r="P107" i="2" s="1"/>
  <c r="K108" i="2"/>
  <c r="P108" i="2" s="1"/>
  <c r="K109" i="2"/>
  <c r="P109" i="2" s="1"/>
  <c r="K110" i="2"/>
  <c r="P110" i="2" s="1"/>
  <c r="K111" i="2"/>
  <c r="P111" i="2" s="1"/>
  <c r="K112" i="2"/>
  <c r="P112" i="2" s="1"/>
  <c r="K113" i="2"/>
  <c r="P113" i="2" s="1"/>
  <c r="K114" i="2"/>
  <c r="P114" i="2" s="1"/>
  <c r="K115" i="2"/>
  <c r="P115" i="2" s="1"/>
  <c r="K116" i="2"/>
  <c r="P116" i="2" s="1"/>
  <c r="K117" i="2"/>
  <c r="Q117" i="2" s="1"/>
  <c r="R117" i="2" s="1"/>
  <c r="K118" i="2"/>
  <c r="P118" i="2" s="1"/>
  <c r="K119" i="2"/>
  <c r="P119" i="2" s="1"/>
  <c r="K120" i="2"/>
  <c r="Q120" i="2" s="1"/>
  <c r="R120" i="2" s="1"/>
  <c r="K121" i="2"/>
  <c r="P121" i="2" s="1"/>
  <c r="K122" i="2"/>
  <c r="P122" i="2" s="1"/>
  <c r="K123" i="2"/>
  <c r="P123" i="2" s="1"/>
  <c r="K124" i="2"/>
  <c r="P124" i="2" s="1"/>
  <c r="K125" i="2"/>
  <c r="P125" i="2" s="1"/>
  <c r="K126" i="2"/>
  <c r="P126" i="2" s="1"/>
  <c r="K127" i="2"/>
  <c r="Q127" i="2" s="1"/>
  <c r="R127" i="2" s="1"/>
  <c r="K128" i="2"/>
  <c r="P128" i="2" s="1"/>
  <c r="K129" i="2"/>
  <c r="P129" i="2" s="1"/>
  <c r="K130" i="2"/>
  <c r="P130" i="2" s="1"/>
  <c r="K131" i="2"/>
  <c r="Q131" i="2" s="1"/>
  <c r="R131" i="2" s="1"/>
  <c r="K132" i="2"/>
  <c r="Q132" i="2" s="1"/>
  <c r="R132" i="2" s="1"/>
  <c r="K133" i="2"/>
  <c r="P133" i="2" s="1"/>
  <c r="K134" i="2"/>
  <c r="Q134" i="2" s="1"/>
  <c r="R134" i="2" s="1"/>
  <c r="K135" i="2"/>
  <c r="P135" i="2" s="1"/>
  <c r="K136" i="2"/>
  <c r="P136" i="2" s="1"/>
  <c r="K137" i="2"/>
  <c r="P137" i="2" s="1"/>
  <c r="K138" i="2"/>
  <c r="P138" i="2" s="1"/>
  <c r="K139" i="2"/>
  <c r="P139" i="2" s="1"/>
  <c r="K140" i="2"/>
  <c r="P140" i="2" s="1"/>
  <c r="K141" i="2"/>
  <c r="Q141" i="2" s="1"/>
  <c r="R141" i="2" s="1"/>
  <c r="K142" i="2"/>
  <c r="P142" i="2" s="1"/>
  <c r="K143" i="2"/>
  <c r="P143" i="2" s="1"/>
  <c r="K144" i="2"/>
  <c r="P144" i="2" s="1"/>
  <c r="K145" i="2"/>
  <c r="P145" i="2" s="1"/>
  <c r="K146" i="2"/>
  <c r="P146" i="2" s="1"/>
  <c r="K147" i="2"/>
  <c r="P147" i="2" s="1"/>
  <c r="K148" i="2"/>
  <c r="Q148" i="2" s="1"/>
  <c r="R148" i="2" s="1"/>
  <c r="K149" i="2"/>
  <c r="P149" i="2" s="1"/>
  <c r="K150" i="2"/>
  <c r="P150" i="2" s="1"/>
  <c r="K151" i="2"/>
  <c r="P151" i="2" s="1"/>
  <c r="K152" i="2"/>
  <c r="P152" i="2" s="1"/>
  <c r="K153" i="2"/>
  <c r="Q153" i="2" s="1"/>
  <c r="R153" i="2" s="1"/>
  <c r="K154" i="2"/>
  <c r="P154" i="2" s="1"/>
  <c r="K155" i="2"/>
  <c r="Q155" i="2" s="1"/>
  <c r="R155" i="2" s="1"/>
  <c r="K156" i="2"/>
  <c r="P156" i="2" s="1"/>
  <c r="K157" i="2"/>
  <c r="P157" i="2" s="1"/>
  <c r="K158" i="2"/>
  <c r="P158" i="2" s="1"/>
  <c r="K159" i="2"/>
  <c r="Q159" i="2" s="1"/>
  <c r="R159" i="2" s="1"/>
  <c r="K160" i="2"/>
  <c r="P160" i="2" s="1"/>
  <c r="K161" i="2"/>
  <c r="P161" i="2" s="1"/>
  <c r="K162" i="2"/>
  <c r="P162" i="2" s="1"/>
  <c r="K163" i="2"/>
  <c r="P163" i="2" s="1"/>
  <c r="K164" i="2"/>
  <c r="P164" i="2" s="1"/>
  <c r="K165" i="2"/>
  <c r="P165" i="2" s="1"/>
  <c r="K166" i="2"/>
  <c r="P166" i="2" s="1"/>
  <c r="K167" i="2"/>
  <c r="Q167" i="2" s="1"/>
  <c r="R167" i="2" s="1"/>
  <c r="K168" i="2"/>
  <c r="P168" i="2" s="1"/>
  <c r="K169" i="2"/>
  <c r="Q169" i="2" s="1"/>
  <c r="R169" i="2" s="1"/>
  <c r="K170" i="2"/>
  <c r="P170" i="2" s="1"/>
  <c r="K171" i="2"/>
  <c r="P171" i="2" s="1"/>
  <c r="K172" i="2"/>
  <c r="P172" i="2" s="1"/>
  <c r="K173" i="2"/>
  <c r="P173" i="2" s="1"/>
  <c r="K174" i="2"/>
  <c r="P174" i="2" s="1"/>
  <c r="K175" i="2"/>
  <c r="P175" i="2" s="1"/>
  <c r="K176" i="2"/>
  <c r="Q176" i="2" s="1"/>
  <c r="R176" i="2" s="1"/>
  <c r="K177" i="2"/>
  <c r="P177" i="2" s="1"/>
  <c r="K178" i="2"/>
  <c r="P178" i="2" s="1"/>
  <c r="K179" i="2"/>
  <c r="P179" i="2" s="1"/>
  <c r="K180" i="2"/>
  <c r="Q180" i="2" s="1"/>
  <c r="R180" i="2" s="1"/>
  <c r="K181" i="2"/>
  <c r="Q181" i="2" s="1"/>
  <c r="R181" i="2" s="1"/>
  <c r="K182" i="2"/>
  <c r="P182" i="2" s="1"/>
  <c r="K183" i="2"/>
  <c r="Q183" i="2" s="1"/>
  <c r="R183" i="2" s="1"/>
  <c r="K184" i="2"/>
  <c r="P184" i="2" s="1"/>
  <c r="K185" i="2"/>
  <c r="P185" i="2" s="1"/>
  <c r="K186" i="2"/>
  <c r="P186" i="2" s="1"/>
  <c r="K187" i="2"/>
  <c r="P187" i="2" s="1"/>
  <c r="K188" i="2"/>
  <c r="P188" i="2" s="1"/>
  <c r="K189" i="2"/>
  <c r="P189" i="2" s="1"/>
  <c r="K190" i="2"/>
  <c r="Q190" i="2" s="1"/>
  <c r="R190" i="2" s="1"/>
  <c r="K191" i="2"/>
  <c r="P191" i="2" s="1"/>
  <c r="K192" i="2"/>
  <c r="P192" i="2" s="1"/>
  <c r="K193" i="2"/>
  <c r="P193" i="2" s="1"/>
  <c r="K194" i="2"/>
  <c r="P194" i="2" s="1"/>
  <c r="K195" i="2"/>
  <c r="P195" i="2" s="1"/>
  <c r="K196" i="2"/>
  <c r="P196" i="2" s="1"/>
  <c r="K197" i="2"/>
  <c r="Q197" i="2" s="1"/>
  <c r="R197" i="2" s="1"/>
  <c r="K198" i="2"/>
  <c r="P198" i="2" s="1"/>
  <c r="K199" i="2"/>
  <c r="P199" i="2" s="1"/>
  <c r="K200" i="2"/>
  <c r="P200" i="2" s="1"/>
  <c r="K201" i="2"/>
  <c r="P201" i="2" s="1"/>
  <c r="K202" i="2"/>
  <c r="Q202" i="2" s="1"/>
  <c r="R202" i="2" s="1"/>
  <c r="K203" i="2"/>
  <c r="P203" i="2" s="1"/>
  <c r="K204" i="2"/>
  <c r="Q204" i="2" s="1"/>
  <c r="R204" i="2" s="1"/>
  <c r="K205" i="2"/>
  <c r="P205" i="2" s="1"/>
  <c r="K206" i="2"/>
  <c r="P206" i="2" s="1"/>
  <c r="K207" i="2"/>
  <c r="P207" i="2" s="1"/>
  <c r="K208" i="2"/>
  <c r="Q208" i="2" s="1"/>
  <c r="R208" i="2" s="1"/>
  <c r="K209" i="2"/>
  <c r="Q209" i="2" s="1"/>
  <c r="R209" i="2" s="1"/>
  <c r="K210" i="2"/>
  <c r="P210" i="2" s="1"/>
  <c r="K211" i="2"/>
  <c r="Q211" i="2" s="1"/>
  <c r="R211" i="2" s="1"/>
  <c r="K212" i="2"/>
  <c r="P212" i="2" s="1"/>
  <c r="K213" i="2"/>
  <c r="P213" i="2" s="1"/>
  <c r="K214" i="2"/>
  <c r="P214" i="2" s="1"/>
  <c r="K215" i="2"/>
  <c r="P215" i="2" s="1"/>
  <c r="K216" i="2"/>
  <c r="P216" i="2" s="1"/>
  <c r="K217" i="2"/>
  <c r="P217" i="2" s="1"/>
  <c r="K218" i="2"/>
  <c r="Q218" i="2" s="1"/>
  <c r="R218" i="2" s="1"/>
  <c r="K219" i="2"/>
  <c r="P219" i="2" s="1"/>
  <c r="K220" i="2"/>
  <c r="Q220" i="2" s="1"/>
  <c r="R220" i="2" s="1"/>
  <c r="K221" i="2"/>
  <c r="P221" i="2" s="1"/>
  <c r="K222" i="2"/>
  <c r="P222" i="2" s="1"/>
  <c r="K223" i="2"/>
  <c r="P223" i="2" s="1"/>
  <c r="K224" i="2"/>
  <c r="P224" i="2" s="1"/>
  <c r="K225" i="2"/>
  <c r="Q225" i="2" s="1"/>
  <c r="R225" i="2" s="1"/>
  <c r="K226" i="2"/>
  <c r="P226" i="2" s="1"/>
  <c r="K227" i="2"/>
  <c r="P227" i="2" s="1"/>
  <c r="K228" i="2"/>
  <c r="P228" i="2" s="1"/>
  <c r="K229" i="2"/>
  <c r="Q229" i="2" s="1"/>
  <c r="R229" i="2" s="1"/>
  <c r="K230" i="2"/>
  <c r="Q230" i="2" s="1"/>
  <c r="R230" i="2" s="1"/>
  <c r="K231" i="2"/>
  <c r="P231" i="2" s="1"/>
  <c r="K232" i="2"/>
  <c r="Q232" i="2" s="1"/>
  <c r="R232" i="2" s="1"/>
  <c r="K233" i="2"/>
  <c r="P233" i="2" s="1"/>
  <c r="K234" i="2"/>
  <c r="P234" i="2" s="1"/>
  <c r="K235" i="2"/>
  <c r="P235" i="2" s="1"/>
  <c r="K236" i="2"/>
  <c r="Q236" i="2" s="1"/>
  <c r="R236" i="2" s="1"/>
  <c r="K237" i="2"/>
  <c r="Q237" i="2" s="1"/>
  <c r="R237" i="2" s="1"/>
  <c r="K238" i="2"/>
  <c r="P238" i="2" s="1"/>
  <c r="K239" i="2"/>
  <c r="Q239" i="2" s="1"/>
  <c r="R239" i="2" s="1"/>
  <c r="K240" i="2"/>
  <c r="P240" i="2" s="1"/>
  <c r="K241" i="2"/>
  <c r="P241" i="2" s="1"/>
  <c r="K242" i="2"/>
  <c r="P242" i="2" s="1"/>
  <c r="K243" i="2"/>
  <c r="Q243" i="2" s="1"/>
  <c r="R243" i="2" s="1"/>
  <c r="K4" i="2"/>
  <c r="K244" i="2"/>
  <c r="P244" i="2" s="1"/>
  <c r="K245" i="2"/>
  <c r="P245" i="2" s="1"/>
  <c r="K246" i="2"/>
  <c r="Q246" i="2" s="1"/>
  <c r="R246" i="2" s="1"/>
  <c r="K247" i="2"/>
  <c r="P247" i="2" s="1"/>
  <c r="K248" i="2"/>
  <c r="P248" i="2" s="1"/>
  <c r="K249" i="2"/>
  <c r="P249" i="2" s="1"/>
  <c r="K250" i="2"/>
  <c r="P250" i="2" s="1"/>
  <c r="K251" i="2"/>
  <c r="Q251" i="2" s="1"/>
  <c r="R251" i="2" s="1"/>
  <c r="K252" i="2"/>
  <c r="P252" i="2" s="1"/>
  <c r="K253" i="2"/>
  <c r="Q253" i="2" s="1"/>
  <c r="R253" i="2" s="1"/>
  <c r="K254" i="2"/>
  <c r="P254" i="2" s="1"/>
  <c r="K255" i="2"/>
  <c r="P255" i="2" s="1"/>
  <c r="K256" i="2"/>
  <c r="P256" i="2" s="1"/>
  <c r="K257" i="2"/>
  <c r="Q257" i="2" s="1"/>
  <c r="R257" i="2" s="1"/>
  <c r="K258" i="2"/>
  <c r="P258" i="2" s="1"/>
  <c r="K259" i="2"/>
  <c r="P259" i="2" s="1"/>
  <c r="K260" i="2"/>
  <c r="Q260" i="2" s="1"/>
  <c r="R260" i="2" s="1"/>
  <c r="K261" i="2"/>
  <c r="P261" i="2" s="1"/>
  <c r="K262" i="2"/>
  <c r="P262" i="2" s="1"/>
  <c r="K263" i="2"/>
  <c r="P263" i="2" s="1"/>
  <c r="K264" i="2"/>
  <c r="Q264" i="2" s="1"/>
  <c r="R264" i="2" s="1"/>
  <c r="K265" i="2"/>
  <c r="Q265" i="2" s="1"/>
  <c r="R265" i="2" s="1"/>
  <c r="K266" i="2"/>
  <c r="P266" i="2" s="1"/>
  <c r="K267" i="2"/>
  <c r="Q267" i="2" s="1"/>
  <c r="R267" i="2" s="1"/>
  <c r="K268" i="2"/>
  <c r="P268" i="2" s="1"/>
  <c r="K269" i="2"/>
  <c r="P269" i="2" s="1"/>
  <c r="K270" i="2"/>
  <c r="P270" i="2" s="1"/>
  <c r="K271" i="2"/>
  <c r="Q271" i="2" s="1"/>
  <c r="R271" i="2" s="1"/>
  <c r="K272" i="2"/>
  <c r="P272" i="2" s="1"/>
  <c r="K273" i="2"/>
  <c r="P273" i="2" s="1"/>
  <c r="K274" i="2"/>
  <c r="Q274" i="2" s="1"/>
  <c r="R274" i="2" s="1"/>
  <c r="K275" i="2"/>
  <c r="P275" i="2" s="1"/>
  <c r="K276" i="2"/>
  <c r="P276" i="2" s="1"/>
  <c r="K277" i="2"/>
  <c r="P277" i="2" s="1"/>
  <c r="K278" i="2"/>
  <c r="Q278" i="2" s="1"/>
  <c r="R278" i="2" s="1"/>
  <c r="K279" i="2"/>
  <c r="Q279" i="2" s="1"/>
  <c r="R279" i="2" s="1"/>
  <c r="K280" i="2"/>
  <c r="P280" i="2" s="1"/>
  <c r="K281" i="2"/>
  <c r="Q281" i="2" s="1"/>
  <c r="R281" i="2" s="1"/>
  <c r="K282" i="2"/>
  <c r="P282" i="2" s="1"/>
  <c r="K283" i="2"/>
  <c r="Q283" i="2" s="1"/>
  <c r="R283" i="2" s="1"/>
  <c r="K284" i="2"/>
  <c r="K285" i="2"/>
  <c r="Q285" i="2" s="1"/>
  <c r="R285" i="2" s="1"/>
  <c r="K286" i="2"/>
  <c r="Q286" i="2" s="1"/>
  <c r="R286" i="2" s="1"/>
  <c r="K287" i="2"/>
  <c r="P287" i="2" s="1"/>
  <c r="K288" i="2"/>
  <c r="Q288" i="2" s="1"/>
  <c r="R288" i="2" s="1"/>
  <c r="K289" i="2"/>
  <c r="P289" i="2" s="1"/>
  <c r="K290" i="2"/>
  <c r="P290" i="2" s="1"/>
  <c r="K291" i="2"/>
  <c r="K292" i="2"/>
  <c r="Q292" i="2" s="1"/>
  <c r="R292" i="2" s="1"/>
  <c r="K293" i="2"/>
  <c r="Q293" i="2" s="1"/>
  <c r="R293" i="2" s="1"/>
  <c r="K294" i="2"/>
  <c r="P294" i="2" s="1"/>
  <c r="K295" i="2"/>
  <c r="Q295" i="2" s="1"/>
  <c r="R295" i="2" s="1"/>
  <c r="K296" i="2"/>
  <c r="P296" i="2" s="1"/>
  <c r="K297" i="2"/>
  <c r="P297" i="2" s="1"/>
  <c r="K298" i="2"/>
  <c r="K299" i="2"/>
  <c r="Q299" i="2" s="1"/>
  <c r="R299" i="2" s="1"/>
  <c r="K300" i="2"/>
  <c r="Q300" i="2" s="1"/>
  <c r="R300" i="2" s="1"/>
  <c r="K301" i="2"/>
  <c r="P301" i="2" s="1"/>
  <c r="K302" i="2"/>
  <c r="Q302" i="2" s="1"/>
  <c r="R302" i="2" s="1"/>
  <c r="K303" i="2"/>
  <c r="P303" i="2" s="1"/>
  <c r="K304" i="2"/>
  <c r="Q304" i="2" s="1"/>
  <c r="R304" i="2" s="1"/>
  <c r="K305" i="2"/>
  <c r="K306" i="2"/>
  <c r="Q306" i="2" s="1"/>
  <c r="R306" i="2" s="1"/>
  <c r="K307" i="2"/>
  <c r="Q307" i="2" s="1"/>
  <c r="R307" i="2" s="1"/>
  <c r="K308" i="2"/>
  <c r="P308" i="2" s="1"/>
  <c r="K309" i="2"/>
  <c r="Q309" i="2" s="1"/>
  <c r="R309" i="2" s="1"/>
  <c r="K310" i="2"/>
  <c r="Q310" i="2" s="1"/>
  <c r="R310" i="2" s="1"/>
  <c r="K311" i="2"/>
  <c r="Q311" i="2" s="1"/>
  <c r="R311" i="2" s="1"/>
  <c r="K312" i="2"/>
  <c r="O312" i="2"/>
  <c r="M312" i="2"/>
  <c r="L312" i="2"/>
  <c r="J312" i="2"/>
  <c r="O311" i="2"/>
  <c r="M311" i="2"/>
  <c r="L311" i="2"/>
  <c r="J311" i="2"/>
  <c r="O310" i="2"/>
  <c r="M310" i="2"/>
  <c r="L310" i="2"/>
  <c r="J310" i="2"/>
  <c r="O309" i="2"/>
  <c r="M309" i="2"/>
  <c r="L309" i="2"/>
  <c r="J309" i="2"/>
  <c r="O308" i="2"/>
  <c r="M308" i="2"/>
  <c r="L308" i="2"/>
  <c r="J308" i="2"/>
  <c r="O307" i="2"/>
  <c r="M307" i="2"/>
  <c r="L307" i="2"/>
  <c r="J307" i="2"/>
  <c r="O306" i="2"/>
  <c r="M306" i="2"/>
  <c r="L306" i="2"/>
  <c r="J306" i="2"/>
  <c r="O305" i="2"/>
  <c r="M305" i="2"/>
  <c r="L305" i="2"/>
  <c r="J305" i="2"/>
  <c r="O304" i="2"/>
  <c r="M304" i="2"/>
  <c r="L304" i="2"/>
  <c r="J304" i="2"/>
  <c r="O303" i="2"/>
  <c r="M303" i="2"/>
  <c r="L303" i="2"/>
  <c r="J303" i="2"/>
  <c r="O302" i="2"/>
  <c r="M302" i="2"/>
  <c r="L302" i="2"/>
  <c r="J302" i="2"/>
  <c r="O301" i="2"/>
  <c r="M301" i="2"/>
  <c r="L301" i="2"/>
  <c r="J301" i="2"/>
  <c r="O300" i="2"/>
  <c r="M300" i="2"/>
  <c r="L300" i="2"/>
  <c r="J300" i="2"/>
  <c r="O299" i="2"/>
  <c r="M299" i="2"/>
  <c r="L299" i="2"/>
  <c r="J299" i="2"/>
  <c r="O298" i="2"/>
  <c r="M298" i="2"/>
  <c r="L298" i="2"/>
  <c r="J298" i="2"/>
  <c r="O297" i="2"/>
  <c r="M297" i="2"/>
  <c r="L297" i="2"/>
  <c r="J297" i="2"/>
  <c r="O296" i="2"/>
  <c r="M296" i="2"/>
  <c r="L296" i="2"/>
  <c r="J296" i="2"/>
  <c r="O295" i="2"/>
  <c r="M295" i="2"/>
  <c r="L295" i="2"/>
  <c r="J295" i="2"/>
  <c r="O294" i="2"/>
  <c r="M294" i="2"/>
  <c r="L294" i="2"/>
  <c r="J294" i="2"/>
  <c r="O293" i="2"/>
  <c r="M293" i="2"/>
  <c r="L293" i="2"/>
  <c r="J293" i="2"/>
  <c r="O292" i="2"/>
  <c r="M292" i="2"/>
  <c r="L292" i="2"/>
  <c r="J292" i="2"/>
  <c r="O291" i="2"/>
  <c r="M291" i="2"/>
  <c r="L291" i="2"/>
  <c r="J291" i="2"/>
  <c r="O290" i="2"/>
  <c r="M290" i="2"/>
  <c r="L290" i="2"/>
  <c r="J290" i="2"/>
  <c r="O289" i="2"/>
  <c r="M289" i="2"/>
  <c r="L289" i="2"/>
  <c r="J289" i="2"/>
  <c r="O288" i="2"/>
  <c r="M288" i="2"/>
  <c r="L288" i="2"/>
  <c r="J288" i="2"/>
  <c r="O287" i="2"/>
  <c r="M287" i="2"/>
  <c r="L287" i="2"/>
  <c r="J287" i="2"/>
  <c r="O286" i="2"/>
  <c r="M286" i="2"/>
  <c r="L286" i="2"/>
  <c r="J286" i="2"/>
  <c r="O285" i="2"/>
  <c r="M285" i="2"/>
  <c r="L285" i="2"/>
  <c r="J285" i="2"/>
  <c r="O284" i="2"/>
  <c r="M284" i="2"/>
  <c r="L284" i="2"/>
  <c r="J284" i="2"/>
  <c r="O283" i="2"/>
  <c r="M283" i="2"/>
  <c r="L283" i="2"/>
  <c r="J283" i="2"/>
  <c r="O282" i="2"/>
  <c r="M282" i="2"/>
  <c r="L282" i="2"/>
  <c r="J282" i="2"/>
  <c r="O281" i="2"/>
  <c r="M281" i="2"/>
  <c r="L281" i="2"/>
  <c r="J281" i="2"/>
  <c r="O280" i="2"/>
  <c r="M280" i="2"/>
  <c r="L280" i="2"/>
  <c r="J280" i="2"/>
  <c r="O279" i="2"/>
  <c r="M279" i="2"/>
  <c r="L279" i="2"/>
  <c r="J279" i="2"/>
  <c r="O278" i="2"/>
  <c r="M278" i="2"/>
  <c r="L278" i="2"/>
  <c r="J278" i="2"/>
  <c r="O277" i="2"/>
  <c r="M277" i="2"/>
  <c r="L277" i="2"/>
  <c r="J277" i="2"/>
  <c r="O276" i="2"/>
  <c r="M276" i="2"/>
  <c r="L276" i="2"/>
  <c r="J276" i="2"/>
  <c r="O275" i="2"/>
  <c r="M275" i="2"/>
  <c r="L275" i="2"/>
  <c r="J275" i="2"/>
  <c r="O274" i="2"/>
  <c r="M274" i="2"/>
  <c r="L274" i="2"/>
  <c r="J274" i="2"/>
  <c r="O273" i="2"/>
  <c r="M273" i="2"/>
  <c r="L273" i="2"/>
  <c r="J273" i="2"/>
  <c r="O272" i="2"/>
  <c r="M272" i="2"/>
  <c r="L272" i="2"/>
  <c r="J272" i="2"/>
  <c r="O271" i="2"/>
  <c r="M271" i="2"/>
  <c r="L271" i="2"/>
  <c r="J271" i="2"/>
  <c r="O270" i="2"/>
  <c r="M270" i="2"/>
  <c r="L270" i="2"/>
  <c r="J270" i="2"/>
  <c r="O269" i="2"/>
  <c r="M269" i="2"/>
  <c r="L269" i="2"/>
  <c r="J269" i="2"/>
  <c r="O268" i="2"/>
  <c r="M268" i="2"/>
  <c r="L268" i="2"/>
  <c r="J268" i="2"/>
  <c r="O267" i="2"/>
  <c r="M267" i="2"/>
  <c r="L267" i="2"/>
  <c r="J267" i="2"/>
  <c r="O266" i="2"/>
  <c r="M266" i="2"/>
  <c r="L266" i="2"/>
  <c r="J266" i="2"/>
  <c r="O265" i="2"/>
  <c r="M265" i="2"/>
  <c r="L265" i="2"/>
  <c r="J265" i="2"/>
  <c r="O264" i="2"/>
  <c r="M264" i="2"/>
  <c r="L264" i="2"/>
  <c r="J264" i="2"/>
  <c r="O263" i="2"/>
  <c r="M263" i="2"/>
  <c r="L263" i="2"/>
  <c r="J263" i="2"/>
  <c r="O262" i="2"/>
  <c r="M262" i="2"/>
  <c r="L262" i="2"/>
  <c r="J262" i="2"/>
  <c r="O261" i="2"/>
  <c r="M261" i="2"/>
  <c r="L261" i="2"/>
  <c r="J261" i="2"/>
  <c r="O260" i="2"/>
  <c r="M260" i="2"/>
  <c r="L260" i="2"/>
  <c r="J260" i="2"/>
  <c r="O259" i="2"/>
  <c r="M259" i="2"/>
  <c r="L259" i="2"/>
  <c r="J259" i="2"/>
  <c r="O258" i="2"/>
  <c r="M258" i="2"/>
  <c r="L258" i="2"/>
  <c r="J258" i="2"/>
  <c r="O257" i="2"/>
  <c r="M257" i="2"/>
  <c r="L257" i="2"/>
  <c r="J257" i="2"/>
  <c r="O256" i="2"/>
  <c r="M256" i="2"/>
  <c r="L256" i="2"/>
  <c r="J256" i="2"/>
  <c r="O255" i="2"/>
  <c r="M255" i="2"/>
  <c r="L255" i="2"/>
  <c r="J255" i="2"/>
  <c r="O254" i="2"/>
  <c r="M254" i="2"/>
  <c r="L254" i="2"/>
  <c r="J254" i="2"/>
  <c r="O253" i="2"/>
  <c r="M253" i="2"/>
  <c r="L253" i="2"/>
  <c r="J253" i="2"/>
  <c r="O252" i="2"/>
  <c r="M252" i="2"/>
  <c r="L252" i="2"/>
  <c r="J252" i="2"/>
  <c r="O251" i="2"/>
  <c r="M251" i="2"/>
  <c r="L251" i="2"/>
  <c r="J251" i="2"/>
  <c r="O250" i="2"/>
  <c r="M250" i="2"/>
  <c r="L250" i="2"/>
  <c r="J250" i="2"/>
  <c r="O249" i="2"/>
  <c r="M249" i="2"/>
  <c r="L249" i="2"/>
  <c r="J249" i="2"/>
  <c r="O248" i="2"/>
  <c r="M248" i="2"/>
  <c r="L248" i="2"/>
  <c r="J248" i="2"/>
  <c r="O247" i="2"/>
  <c r="M247" i="2"/>
  <c r="L247" i="2"/>
  <c r="J247" i="2"/>
  <c r="O246" i="2"/>
  <c r="M246" i="2"/>
  <c r="L246" i="2"/>
  <c r="J246" i="2"/>
  <c r="O245" i="2"/>
  <c r="M245" i="2"/>
  <c r="L245" i="2"/>
  <c r="J245" i="2"/>
  <c r="O244" i="2"/>
  <c r="M244" i="2"/>
  <c r="L244" i="2"/>
  <c r="J244" i="2"/>
  <c r="O243" i="2"/>
  <c r="M243" i="2"/>
  <c r="L243" i="2"/>
  <c r="J243" i="2"/>
  <c r="O242" i="2"/>
  <c r="M242" i="2"/>
  <c r="L242" i="2"/>
  <c r="J242" i="2"/>
  <c r="O241" i="2"/>
  <c r="M241" i="2"/>
  <c r="L241" i="2"/>
  <c r="J241" i="2"/>
  <c r="O240" i="2"/>
  <c r="M240" i="2"/>
  <c r="L240" i="2"/>
  <c r="J240" i="2"/>
  <c r="O239" i="2"/>
  <c r="M239" i="2"/>
  <c r="L239" i="2"/>
  <c r="J239" i="2"/>
  <c r="O238" i="2"/>
  <c r="M238" i="2"/>
  <c r="L238" i="2"/>
  <c r="J238" i="2"/>
  <c r="O237" i="2"/>
  <c r="M237" i="2"/>
  <c r="L237" i="2"/>
  <c r="J237" i="2"/>
  <c r="O236" i="2"/>
  <c r="M236" i="2"/>
  <c r="L236" i="2"/>
  <c r="J236" i="2"/>
  <c r="O235" i="2"/>
  <c r="M235" i="2"/>
  <c r="L235" i="2"/>
  <c r="J235" i="2"/>
  <c r="O234" i="2"/>
  <c r="M234" i="2"/>
  <c r="L234" i="2"/>
  <c r="J234" i="2"/>
  <c r="O233" i="2"/>
  <c r="M233" i="2"/>
  <c r="L233" i="2"/>
  <c r="J233" i="2"/>
  <c r="O232" i="2"/>
  <c r="M232" i="2"/>
  <c r="L232" i="2"/>
  <c r="J232" i="2"/>
  <c r="O231" i="2"/>
  <c r="M231" i="2"/>
  <c r="L231" i="2"/>
  <c r="J231" i="2"/>
  <c r="O230" i="2"/>
  <c r="M230" i="2"/>
  <c r="L230" i="2"/>
  <c r="J230" i="2"/>
  <c r="O229" i="2"/>
  <c r="M229" i="2"/>
  <c r="L229" i="2"/>
  <c r="J229" i="2"/>
  <c r="O228" i="2"/>
  <c r="M228" i="2"/>
  <c r="L228" i="2"/>
  <c r="J228" i="2"/>
  <c r="O227" i="2"/>
  <c r="M227" i="2"/>
  <c r="L227" i="2"/>
  <c r="J227" i="2"/>
  <c r="O226" i="2"/>
  <c r="M226" i="2"/>
  <c r="L226" i="2"/>
  <c r="J226" i="2"/>
  <c r="O225" i="2"/>
  <c r="M225" i="2"/>
  <c r="L225" i="2"/>
  <c r="J225" i="2"/>
  <c r="O224" i="2"/>
  <c r="M224" i="2"/>
  <c r="L224" i="2"/>
  <c r="J224" i="2"/>
  <c r="O223" i="2"/>
  <c r="M223" i="2"/>
  <c r="L223" i="2"/>
  <c r="J223" i="2"/>
  <c r="O222" i="2"/>
  <c r="M222" i="2"/>
  <c r="L222" i="2"/>
  <c r="J222" i="2"/>
  <c r="O221" i="2"/>
  <c r="M221" i="2"/>
  <c r="L221" i="2"/>
  <c r="J221" i="2"/>
  <c r="O220" i="2"/>
  <c r="M220" i="2"/>
  <c r="L220" i="2"/>
  <c r="J220" i="2"/>
  <c r="O219" i="2"/>
  <c r="M219" i="2"/>
  <c r="L219" i="2"/>
  <c r="J219" i="2"/>
  <c r="O218" i="2"/>
  <c r="M218" i="2"/>
  <c r="L218" i="2"/>
  <c r="J218" i="2"/>
  <c r="O217" i="2"/>
  <c r="M217" i="2"/>
  <c r="L217" i="2"/>
  <c r="J217" i="2"/>
  <c r="O216" i="2"/>
  <c r="M216" i="2"/>
  <c r="L216" i="2"/>
  <c r="J216" i="2"/>
  <c r="O215" i="2"/>
  <c r="M215" i="2"/>
  <c r="L215" i="2"/>
  <c r="J215" i="2"/>
  <c r="O214" i="2"/>
  <c r="M214" i="2"/>
  <c r="L214" i="2"/>
  <c r="J214" i="2"/>
  <c r="O213" i="2"/>
  <c r="M213" i="2"/>
  <c r="L213" i="2"/>
  <c r="J213" i="2"/>
  <c r="O212" i="2"/>
  <c r="M212" i="2"/>
  <c r="L212" i="2"/>
  <c r="J212" i="2"/>
  <c r="O211" i="2"/>
  <c r="M211" i="2"/>
  <c r="L211" i="2"/>
  <c r="J211" i="2"/>
  <c r="O210" i="2"/>
  <c r="M210" i="2"/>
  <c r="L210" i="2"/>
  <c r="J210" i="2"/>
  <c r="O209" i="2"/>
  <c r="M209" i="2"/>
  <c r="L209" i="2"/>
  <c r="J209" i="2"/>
  <c r="O208" i="2"/>
  <c r="M208" i="2"/>
  <c r="L208" i="2"/>
  <c r="J208" i="2"/>
  <c r="O207" i="2"/>
  <c r="M207" i="2"/>
  <c r="L207" i="2"/>
  <c r="J207" i="2"/>
  <c r="O206" i="2"/>
  <c r="M206" i="2"/>
  <c r="L206" i="2"/>
  <c r="J206" i="2"/>
  <c r="O205" i="2"/>
  <c r="M205" i="2"/>
  <c r="L205" i="2"/>
  <c r="J205" i="2"/>
  <c r="O204" i="2"/>
  <c r="M204" i="2"/>
  <c r="L204" i="2"/>
  <c r="J204" i="2"/>
  <c r="O203" i="2"/>
  <c r="M203" i="2"/>
  <c r="L203" i="2"/>
  <c r="J203" i="2"/>
  <c r="O202" i="2"/>
  <c r="M202" i="2"/>
  <c r="L202" i="2"/>
  <c r="J202" i="2"/>
  <c r="O201" i="2"/>
  <c r="M201" i="2"/>
  <c r="L201" i="2"/>
  <c r="J201" i="2"/>
  <c r="O200" i="2"/>
  <c r="M200" i="2"/>
  <c r="L200" i="2"/>
  <c r="J200" i="2"/>
  <c r="O199" i="2"/>
  <c r="M199" i="2"/>
  <c r="L199" i="2"/>
  <c r="J199" i="2"/>
  <c r="O198" i="2"/>
  <c r="M198" i="2"/>
  <c r="L198" i="2"/>
  <c r="J198" i="2"/>
  <c r="O197" i="2"/>
  <c r="M197" i="2"/>
  <c r="L197" i="2"/>
  <c r="J197" i="2"/>
  <c r="O196" i="2"/>
  <c r="M196" i="2"/>
  <c r="L196" i="2"/>
  <c r="J196" i="2"/>
  <c r="O195" i="2"/>
  <c r="M195" i="2"/>
  <c r="L195" i="2"/>
  <c r="J195" i="2"/>
  <c r="O194" i="2"/>
  <c r="M194" i="2"/>
  <c r="L194" i="2"/>
  <c r="J194" i="2"/>
  <c r="O193" i="2"/>
  <c r="M193" i="2"/>
  <c r="L193" i="2"/>
  <c r="J193" i="2"/>
  <c r="O192" i="2"/>
  <c r="M192" i="2"/>
  <c r="L192" i="2"/>
  <c r="J192" i="2"/>
  <c r="O191" i="2"/>
  <c r="M191" i="2"/>
  <c r="L191" i="2"/>
  <c r="J191" i="2"/>
  <c r="O190" i="2"/>
  <c r="M190" i="2"/>
  <c r="L190" i="2"/>
  <c r="J190" i="2"/>
  <c r="O189" i="2"/>
  <c r="M189" i="2"/>
  <c r="L189" i="2"/>
  <c r="J189" i="2"/>
  <c r="O188" i="2"/>
  <c r="M188" i="2"/>
  <c r="L188" i="2"/>
  <c r="J188" i="2"/>
  <c r="O187" i="2"/>
  <c r="M187" i="2"/>
  <c r="L187" i="2"/>
  <c r="J187" i="2"/>
  <c r="O186" i="2"/>
  <c r="M186" i="2"/>
  <c r="L186" i="2"/>
  <c r="J186" i="2"/>
  <c r="O185" i="2"/>
  <c r="M185" i="2"/>
  <c r="L185" i="2"/>
  <c r="J185" i="2"/>
  <c r="O184" i="2"/>
  <c r="M184" i="2"/>
  <c r="L184" i="2"/>
  <c r="J184" i="2"/>
  <c r="O183" i="2"/>
  <c r="M183" i="2"/>
  <c r="L183" i="2"/>
  <c r="J183" i="2"/>
  <c r="O182" i="2"/>
  <c r="M182" i="2"/>
  <c r="L182" i="2"/>
  <c r="J182" i="2"/>
  <c r="O181" i="2"/>
  <c r="M181" i="2"/>
  <c r="L181" i="2"/>
  <c r="J181" i="2"/>
  <c r="O180" i="2"/>
  <c r="M180" i="2"/>
  <c r="L180" i="2"/>
  <c r="J180" i="2"/>
  <c r="O179" i="2"/>
  <c r="M179" i="2"/>
  <c r="L179" i="2"/>
  <c r="J179" i="2"/>
  <c r="O178" i="2"/>
  <c r="M178" i="2"/>
  <c r="L178" i="2"/>
  <c r="J178" i="2"/>
  <c r="O177" i="2"/>
  <c r="M177" i="2"/>
  <c r="L177" i="2"/>
  <c r="J177" i="2"/>
  <c r="O176" i="2"/>
  <c r="M176" i="2"/>
  <c r="L176" i="2"/>
  <c r="J176" i="2"/>
  <c r="O175" i="2"/>
  <c r="M175" i="2"/>
  <c r="L175" i="2"/>
  <c r="J175" i="2"/>
  <c r="O174" i="2"/>
  <c r="M174" i="2"/>
  <c r="L174" i="2"/>
  <c r="J174" i="2"/>
  <c r="O173" i="2"/>
  <c r="M173" i="2"/>
  <c r="L173" i="2"/>
  <c r="J173" i="2"/>
  <c r="O172" i="2"/>
  <c r="M172" i="2"/>
  <c r="L172" i="2"/>
  <c r="J172" i="2"/>
  <c r="O171" i="2"/>
  <c r="M171" i="2"/>
  <c r="L171" i="2"/>
  <c r="J171" i="2"/>
  <c r="O170" i="2"/>
  <c r="M170" i="2"/>
  <c r="L170" i="2"/>
  <c r="J170" i="2"/>
  <c r="O169" i="2"/>
  <c r="M169" i="2"/>
  <c r="L169" i="2"/>
  <c r="J169" i="2"/>
  <c r="O168" i="2"/>
  <c r="M168" i="2"/>
  <c r="L168" i="2"/>
  <c r="J168" i="2"/>
  <c r="O167" i="2"/>
  <c r="M167" i="2"/>
  <c r="L167" i="2"/>
  <c r="J167" i="2"/>
  <c r="O166" i="2"/>
  <c r="M166" i="2"/>
  <c r="L166" i="2"/>
  <c r="J166" i="2"/>
  <c r="O165" i="2"/>
  <c r="M165" i="2"/>
  <c r="L165" i="2"/>
  <c r="J165" i="2"/>
  <c r="O164" i="2"/>
  <c r="M164" i="2"/>
  <c r="L164" i="2"/>
  <c r="J164" i="2"/>
  <c r="O163" i="2"/>
  <c r="M163" i="2"/>
  <c r="L163" i="2"/>
  <c r="J163" i="2"/>
  <c r="O162" i="2"/>
  <c r="M162" i="2"/>
  <c r="L162" i="2"/>
  <c r="J162" i="2"/>
  <c r="O161" i="2"/>
  <c r="M161" i="2"/>
  <c r="L161" i="2"/>
  <c r="J161" i="2"/>
  <c r="O160" i="2"/>
  <c r="M160" i="2"/>
  <c r="L160" i="2"/>
  <c r="J160" i="2"/>
  <c r="O159" i="2"/>
  <c r="M159" i="2"/>
  <c r="L159" i="2"/>
  <c r="J159" i="2"/>
  <c r="O158" i="2"/>
  <c r="M158" i="2"/>
  <c r="L158" i="2"/>
  <c r="J158" i="2"/>
  <c r="O157" i="2"/>
  <c r="M157" i="2"/>
  <c r="L157" i="2"/>
  <c r="J157" i="2"/>
  <c r="O156" i="2"/>
  <c r="M156" i="2"/>
  <c r="L156" i="2"/>
  <c r="J156" i="2"/>
  <c r="O155" i="2"/>
  <c r="M155" i="2"/>
  <c r="L155" i="2"/>
  <c r="J155" i="2"/>
  <c r="O154" i="2"/>
  <c r="M154" i="2"/>
  <c r="L154" i="2"/>
  <c r="J154" i="2"/>
  <c r="O153" i="2"/>
  <c r="M153" i="2"/>
  <c r="L153" i="2"/>
  <c r="J153" i="2"/>
  <c r="O152" i="2"/>
  <c r="M152" i="2"/>
  <c r="L152" i="2"/>
  <c r="J152" i="2"/>
  <c r="O151" i="2"/>
  <c r="M151" i="2"/>
  <c r="L151" i="2"/>
  <c r="J151" i="2"/>
  <c r="O150" i="2"/>
  <c r="M150" i="2"/>
  <c r="L150" i="2"/>
  <c r="J150" i="2"/>
  <c r="O149" i="2"/>
  <c r="M149" i="2"/>
  <c r="L149" i="2"/>
  <c r="J149" i="2"/>
  <c r="O148" i="2"/>
  <c r="M148" i="2"/>
  <c r="L148" i="2"/>
  <c r="J148" i="2"/>
  <c r="O147" i="2"/>
  <c r="M147" i="2"/>
  <c r="L147" i="2"/>
  <c r="J147" i="2"/>
  <c r="O146" i="2"/>
  <c r="M146" i="2"/>
  <c r="L146" i="2"/>
  <c r="J146" i="2"/>
  <c r="O145" i="2"/>
  <c r="M145" i="2"/>
  <c r="L145" i="2"/>
  <c r="J145" i="2"/>
  <c r="O144" i="2"/>
  <c r="M144" i="2"/>
  <c r="L144" i="2"/>
  <c r="J144" i="2"/>
  <c r="O143" i="2"/>
  <c r="M143" i="2"/>
  <c r="L143" i="2"/>
  <c r="J143" i="2"/>
  <c r="O142" i="2"/>
  <c r="M142" i="2"/>
  <c r="L142" i="2"/>
  <c r="J142" i="2"/>
  <c r="O141" i="2"/>
  <c r="M141" i="2"/>
  <c r="L141" i="2"/>
  <c r="J141" i="2"/>
  <c r="O140" i="2"/>
  <c r="M140" i="2"/>
  <c r="L140" i="2"/>
  <c r="J140" i="2"/>
  <c r="O139" i="2"/>
  <c r="M139" i="2"/>
  <c r="L139" i="2"/>
  <c r="J139" i="2"/>
  <c r="O138" i="2"/>
  <c r="M138" i="2"/>
  <c r="L138" i="2"/>
  <c r="J138" i="2"/>
  <c r="O137" i="2"/>
  <c r="M137" i="2"/>
  <c r="L137" i="2"/>
  <c r="J137" i="2"/>
  <c r="O136" i="2"/>
  <c r="M136" i="2"/>
  <c r="L136" i="2"/>
  <c r="J136" i="2"/>
  <c r="O135" i="2"/>
  <c r="M135" i="2"/>
  <c r="L135" i="2"/>
  <c r="J135" i="2"/>
  <c r="O134" i="2"/>
  <c r="M134" i="2"/>
  <c r="L134" i="2"/>
  <c r="J134" i="2"/>
  <c r="O133" i="2"/>
  <c r="M133" i="2"/>
  <c r="L133" i="2"/>
  <c r="J133" i="2"/>
  <c r="O132" i="2"/>
  <c r="M132" i="2"/>
  <c r="L132" i="2"/>
  <c r="J132" i="2"/>
  <c r="O131" i="2"/>
  <c r="M131" i="2"/>
  <c r="L131" i="2"/>
  <c r="J131" i="2"/>
  <c r="O130" i="2"/>
  <c r="M130" i="2"/>
  <c r="L130" i="2"/>
  <c r="J130" i="2"/>
  <c r="O129" i="2"/>
  <c r="M129" i="2"/>
  <c r="L129" i="2"/>
  <c r="J129" i="2"/>
  <c r="O128" i="2"/>
  <c r="M128" i="2"/>
  <c r="L128" i="2"/>
  <c r="J128" i="2"/>
  <c r="O127" i="2"/>
  <c r="M127" i="2"/>
  <c r="L127" i="2"/>
  <c r="J127" i="2"/>
  <c r="O126" i="2"/>
  <c r="M126" i="2"/>
  <c r="L126" i="2"/>
  <c r="J126" i="2"/>
  <c r="O125" i="2"/>
  <c r="M125" i="2"/>
  <c r="L125" i="2"/>
  <c r="J125" i="2"/>
  <c r="O124" i="2"/>
  <c r="M124" i="2"/>
  <c r="L124" i="2"/>
  <c r="J124" i="2"/>
  <c r="O123" i="2"/>
  <c r="M123" i="2"/>
  <c r="L123" i="2"/>
  <c r="J123" i="2"/>
  <c r="O122" i="2"/>
  <c r="M122" i="2"/>
  <c r="L122" i="2"/>
  <c r="J122" i="2"/>
  <c r="O121" i="2"/>
  <c r="M121" i="2"/>
  <c r="L121" i="2"/>
  <c r="J121" i="2"/>
  <c r="O120" i="2"/>
  <c r="M120" i="2"/>
  <c r="L120" i="2"/>
  <c r="J120" i="2"/>
  <c r="O119" i="2"/>
  <c r="M119" i="2"/>
  <c r="L119" i="2"/>
  <c r="J119" i="2"/>
  <c r="O118" i="2"/>
  <c r="M118" i="2"/>
  <c r="L118" i="2"/>
  <c r="J118" i="2"/>
  <c r="O117" i="2"/>
  <c r="M117" i="2"/>
  <c r="L117" i="2"/>
  <c r="J117" i="2"/>
  <c r="O116" i="2"/>
  <c r="M116" i="2"/>
  <c r="L116" i="2"/>
  <c r="J116" i="2"/>
  <c r="O115" i="2"/>
  <c r="M115" i="2"/>
  <c r="L115" i="2"/>
  <c r="J115" i="2"/>
  <c r="O114" i="2"/>
  <c r="M114" i="2"/>
  <c r="L114" i="2"/>
  <c r="J114" i="2"/>
  <c r="O113" i="2"/>
  <c r="M113" i="2"/>
  <c r="L113" i="2"/>
  <c r="J113" i="2"/>
  <c r="O112" i="2"/>
  <c r="M112" i="2"/>
  <c r="L112" i="2"/>
  <c r="J112" i="2"/>
  <c r="O111" i="2"/>
  <c r="M111" i="2"/>
  <c r="L111" i="2"/>
  <c r="J111" i="2"/>
  <c r="O110" i="2"/>
  <c r="M110" i="2"/>
  <c r="L110" i="2"/>
  <c r="J110" i="2"/>
  <c r="O109" i="2"/>
  <c r="M109" i="2"/>
  <c r="L109" i="2"/>
  <c r="J109" i="2"/>
  <c r="O108" i="2"/>
  <c r="M108" i="2"/>
  <c r="L108" i="2"/>
  <c r="J108" i="2"/>
  <c r="O107" i="2"/>
  <c r="M107" i="2"/>
  <c r="L107" i="2"/>
  <c r="J107" i="2"/>
  <c r="O106" i="2"/>
  <c r="M106" i="2"/>
  <c r="L106" i="2"/>
  <c r="J106" i="2"/>
  <c r="O105" i="2"/>
  <c r="M105" i="2"/>
  <c r="L105" i="2"/>
  <c r="J105" i="2"/>
  <c r="O104" i="2"/>
  <c r="M104" i="2"/>
  <c r="L104" i="2"/>
  <c r="J104" i="2"/>
  <c r="O103" i="2"/>
  <c r="M103" i="2"/>
  <c r="L103" i="2"/>
  <c r="J103" i="2"/>
  <c r="O102" i="2"/>
  <c r="M102" i="2"/>
  <c r="L102" i="2"/>
  <c r="J102" i="2"/>
  <c r="O101" i="2"/>
  <c r="M101" i="2"/>
  <c r="L101" i="2"/>
  <c r="J101" i="2"/>
  <c r="O100" i="2"/>
  <c r="M100" i="2"/>
  <c r="L100" i="2"/>
  <c r="J100" i="2"/>
  <c r="O99" i="2"/>
  <c r="M99" i="2"/>
  <c r="L99" i="2"/>
  <c r="J99" i="2"/>
  <c r="O98" i="2"/>
  <c r="M98" i="2"/>
  <c r="L98" i="2"/>
  <c r="J98" i="2"/>
  <c r="O97" i="2"/>
  <c r="M97" i="2"/>
  <c r="L97" i="2"/>
  <c r="J97" i="2"/>
  <c r="O96" i="2"/>
  <c r="M96" i="2"/>
  <c r="L96" i="2"/>
  <c r="J96" i="2"/>
  <c r="O95" i="2"/>
  <c r="M95" i="2"/>
  <c r="L95" i="2"/>
  <c r="J95" i="2"/>
  <c r="O94" i="2"/>
  <c r="M94" i="2"/>
  <c r="L94" i="2"/>
  <c r="J94" i="2"/>
  <c r="O93" i="2"/>
  <c r="M93" i="2"/>
  <c r="L93" i="2"/>
  <c r="J93" i="2"/>
  <c r="O92" i="2"/>
  <c r="M92" i="2"/>
  <c r="L92" i="2"/>
  <c r="J92" i="2"/>
  <c r="O91" i="2"/>
  <c r="M91" i="2"/>
  <c r="L91" i="2"/>
  <c r="J91" i="2"/>
  <c r="O90" i="2"/>
  <c r="M90" i="2"/>
  <c r="L90" i="2"/>
  <c r="J90" i="2"/>
  <c r="O89" i="2"/>
  <c r="M89" i="2"/>
  <c r="L89" i="2"/>
  <c r="J89" i="2"/>
  <c r="O88" i="2"/>
  <c r="M88" i="2"/>
  <c r="L88" i="2"/>
  <c r="J88" i="2"/>
  <c r="O87" i="2"/>
  <c r="M87" i="2"/>
  <c r="L87" i="2"/>
  <c r="J87" i="2"/>
  <c r="O86" i="2"/>
  <c r="M86" i="2"/>
  <c r="L86" i="2"/>
  <c r="J86" i="2"/>
  <c r="O85" i="2"/>
  <c r="M85" i="2"/>
  <c r="L85" i="2"/>
  <c r="J85" i="2"/>
  <c r="O84" i="2"/>
  <c r="M84" i="2"/>
  <c r="L84" i="2"/>
  <c r="J84" i="2"/>
  <c r="O83" i="2"/>
  <c r="M83" i="2"/>
  <c r="L83" i="2"/>
  <c r="J83" i="2"/>
  <c r="O82" i="2"/>
  <c r="M82" i="2"/>
  <c r="L82" i="2"/>
  <c r="J82" i="2"/>
  <c r="O81" i="2"/>
  <c r="M81" i="2"/>
  <c r="L81" i="2"/>
  <c r="J81" i="2"/>
  <c r="O80" i="2"/>
  <c r="M80" i="2"/>
  <c r="L80" i="2"/>
  <c r="J80" i="2"/>
  <c r="O79" i="2"/>
  <c r="M79" i="2"/>
  <c r="L79" i="2"/>
  <c r="J79" i="2"/>
  <c r="O78" i="2"/>
  <c r="M78" i="2"/>
  <c r="L78" i="2"/>
  <c r="J78" i="2"/>
  <c r="O77" i="2"/>
  <c r="M77" i="2"/>
  <c r="L77" i="2"/>
  <c r="J77" i="2"/>
  <c r="O76" i="2"/>
  <c r="M76" i="2"/>
  <c r="L76" i="2"/>
  <c r="J76" i="2"/>
  <c r="O75" i="2"/>
  <c r="M75" i="2"/>
  <c r="L75" i="2"/>
  <c r="J75" i="2"/>
  <c r="O74" i="2"/>
  <c r="M74" i="2"/>
  <c r="L74" i="2"/>
  <c r="J74" i="2"/>
  <c r="O73" i="2"/>
  <c r="M73" i="2"/>
  <c r="L73" i="2"/>
  <c r="J73" i="2"/>
  <c r="O72" i="2"/>
  <c r="M72" i="2"/>
  <c r="L72" i="2"/>
  <c r="J72" i="2"/>
  <c r="O71" i="2"/>
  <c r="M71" i="2"/>
  <c r="L71" i="2"/>
  <c r="J71" i="2"/>
  <c r="O70" i="2"/>
  <c r="M70" i="2"/>
  <c r="L70" i="2"/>
  <c r="J70" i="2"/>
  <c r="O69" i="2"/>
  <c r="M69" i="2"/>
  <c r="L69" i="2"/>
  <c r="J69" i="2"/>
  <c r="O68" i="2"/>
  <c r="M68" i="2"/>
  <c r="L68" i="2"/>
  <c r="J68" i="2"/>
  <c r="O67" i="2"/>
  <c r="M67" i="2"/>
  <c r="L67" i="2"/>
  <c r="J67" i="2"/>
  <c r="O66" i="2"/>
  <c r="M66" i="2"/>
  <c r="L66" i="2"/>
  <c r="J66" i="2"/>
  <c r="O65" i="2"/>
  <c r="M65" i="2"/>
  <c r="L65" i="2"/>
  <c r="J65" i="2"/>
  <c r="O64" i="2"/>
  <c r="M64" i="2"/>
  <c r="L64" i="2"/>
  <c r="J64" i="2"/>
  <c r="O63" i="2"/>
  <c r="M63" i="2"/>
  <c r="L63" i="2"/>
  <c r="J63" i="2"/>
  <c r="O62" i="2"/>
  <c r="M62" i="2"/>
  <c r="L62" i="2"/>
  <c r="J62" i="2"/>
  <c r="O61" i="2"/>
  <c r="M61" i="2"/>
  <c r="L61" i="2"/>
  <c r="J61" i="2"/>
  <c r="O60" i="2"/>
  <c r="M60" i="2"/>
  <c r="L60" i="2"/>
  <c r="J60" i="2"/>
  <c r="O59" i="2"/>
  <c r="M59" i="2"/>
  <c r="L59" i="2"/>
  <c r="J59" i="2"/>
  <c r="O58" i="2"/>
  <c r="M58" i="2"/>
  <c r="L58" i="2"/>
  <c r="J58" i="2"/>
  <c r="O57" i="2"/>
  <c r="M57" i="2"/>
  <c r="L57" i="2"/>
  <c r="J57" i="2"/>
  <c r="O56" i="2"/>
  <c r="M56" i="2"/>
  <c r="L56" i="2"/>
  <c r="J56" i="2"/>
  <c r="O55" i="2"/>
  <c r="M55" i="2"/>
  <c r="L55" i="2"/>
  <c r="J55" i="2"/>
  <c r="O54" i="2"/>
  <c r="M54" i="2"/>
  <c r="L54" i="2"/>
  <c r="J54" i="2"/>
  <c r="O53" i="2"/>
  <c r="M53" i="2"/>
  <c r="L53" i="2"/>
  <c r="J53" i="2"/>
  <c r="O52" i="2"/>
  <c r="M52" i="2"/>
  <c r="L52" i="2"/>
  <c r="J52" i="2"/>
  <c r="O51" i="2"/>
  <c r="M51" i="2"/>
  <c r="L51" i="2"/>
  <c r="J51" i="2"/>
  <c r="O50" i="2"/>
  <c r="M50" i="2"/>
  <c r="L50" i="2"/>
  <c r="J50" i="2"/>
  <c r="O49" i="2"/>
  <c r="M49" i="2"/>
  <c r="L49" i="2"/>
  <c r="J49" i="2"/>
  <c r="O48" i="2"/>
  <c r="M48" i="2"/>
  <c r="L48" i="2"/>
  <c r="J48" i="2"/>
  <c r="O47" i="2"/>
  <c r="M47" i="2"/>
  <c r="L47" i="2"/>
  <c r="J47" i="2"/>
  <c r="O46" i="2"/>
  <c r="M46" i="2"/>
  <c r="L46" i="2"/>
  <c r="J46" i="2"/>
  <c r="O45" i="2"/>
  <c r="M45" i="2"/>
  <c r="L45" i="2"/>
  <c r="J45" i="2"/>
  <c r="O44" i="2"/>
  <c r="M44" i="2"/>
  <c r="L44" i="2"/>
  <c r="J44" i="2"/>
  <c r="O43" i="2"/>
  <c r="M43" i="2"/>
  <c r="L43" i="2"/>
  <c r="J43" i="2"/>
  <c r="O42" i="2"/>
  <c r="M42" i="2"/>
  <c r="L42" i="2"/>
  <c r="J42" i="2"/>
  <c r="O41" i="2"/>
  <c r="M41" i="2"/>
  <c r="L41" i="2"/>
  <c r="J41" i="2"/>
  <c r="O40" i="2"/>
  <c r="M40" i="2"/>
  <c r="L40" i="2"/>
  <c r="J40" i="2"/>
  <c r="O39" i="2"/>
  <c r="M39" i="2"/>
  <c r="L39" i="2"/>
  <c r="J39" i="2"/>
  <c r="O38" i="2"/>
  <c r="M38" i="2"/>
  <c r="L38" i="2"/>
  <c r="J38" i="2"/>
  <c r="O37" i="2"/>
  <c r="M37" i="2"/>
  <c r="L37" i="2"/>
  <c r="J37" i="2"/>
  <c r="O36" i="2"/>
  <c r="M36" i="2"/>
  <c r="L36" i="2"/>
  <c r="J36" i="2"/>
  <c r="O35" i="2"/>
  <c r="M35" i="2"/>
  <c r="L35" i="2"/>
  <c r="J35" i="2"/>
  <c r="O34" i="2"/>
  <c r="M34" i="2"/>
  <c r="L34" i="2"/>
  <c r="J34" i="2"/>
  <c r="O33" i="2"/>
  <c r="M33" i="2"/>
  <c r="L33" i="2"/>
  <c r="J33" i="2"/>
  <c r="O32" i="2"/>
  <c r="M32" i="2"/>
  <c r="L32" i="2"/>
  <c r="J32" i="2"/>
  <c r="O31" i="2"/>
  <c r="M31" i="2"/>
  <c r="L31" i="2"/>
  <c r="J31" i="2"/>
  <c r="O30" i="2"/>
  <c r="M30" i="2"/>
  <c r="L30" i="2"/>
  <c r="J30" i="2"/>
  <c r="O29" i="2"/>
  <c r="M29" i="2"/>
  <c r="L29" i="2"/>
  <c r="J29" i="2"/>
  <c r="O28" i="2"/>
  <c r="M28" i="2"/>
  <c r="L28" i="2"/>
  <c r="J28" i="2"/>
  <c r="O27" i="2"/>
  <c r="M27" i="2"/>
  <c r="L27" i="2"/>
  <c r="J27" i="2"/>
  <c r="O26" i="2"/>
  <c r="M26" i="2"/>
  <c r="L26" i="2"/>
  <c r="J26" i="2"/>
  <c r="O25" i="2"/>
  <c r="M25" i="2"/>
  <c r="L25" i="2"/>
  <c r="J25" i="2"/>
  <c r="O24" i="2"/>
  <c r="M24" i="2"/>
  <c r="L24" i="2"/>
  <c r="J24" i="2"/>
  <c r="O23" i="2"/>
  <c r="M23" i="2"/>
  <c r="L23" i="2"/>
  <c r="J23" i="2"/>
  <c r="O22" i="2"/>
  <c r="M22" i="2"/>
  <c r="L22" i="2"/>
  <c r="J22" i="2"/>
  <c r="O21" i="2"/>
  <c r="M21" i="2"/>
  <c r="L21" i="2"/>
  <c r="J21" i="2"/>
  <c r="O20" i="2"/>
  <c r="M20" i="2"/>
  <c r="L20" i="2"/>
  <c r="J20" i="2"/>
  <c r="O19" i="2"/>
  <c r="M19" i="2"/>
  <c r="L19" i="2"/>
  <c r="J19" i="2"/>
  <c r="O18" i="2"/>
  <c r="M18" i="2"/>
  <c r="L18" i="2"/>
  <c r="J18" i="2"/>
  <c r="O17" i="2"/>
  <c r="M17" i="2"/>
  <c r="L17" i="2"/>
  <c r="J17" i="2"/>
  <c r="O16" i="2"/>
  <c r="M16" i="2"/>
  <c r="L16" i="2"/>
  <c r="J16" i="2"/>
  <c r="O15" i="2"/>
  <c r="M15" i="2"/>
  <c r="L15" i="2"/>
  <c r="J15" i="2"/>
  <c r="O14" i="2"/>
  <c r="M14" i="2"/>
  <c r="L14" i="2"/>
  <c r="J14" i="2"/>
  <c r="O13" i="2"/>
  <c r="M13" i="2"/>
  <c r="L13" i="2"/>
  <c r="J13" i="2"/>
  <c r="O12" i="2"/>
  <c r="M12" i="2"/>
  <c r="L12" i="2"/>
  <c r="J12" i="2"/>
  <c r="O11" i="2"/>
  <c r="M11" i="2"/>
  <c r="L11" i="2"/>
  <c r="J11" i="2"/>
  <c r="O10" i="2"/>
  <c r="M10" i="2"/>
  <c r="L10" i="2"/>
  <c r="J10" i="2"/>
  <c r="O9" i="2"/>
  <c r="M9" i="2"/>
  <c r="L9" i="2"/>
  <c r="J9" i="2"/>
  <c r="O8" i="2"/>
  <c r="M8" i="2"/>
  <c r="L8" i="2"/>
  <c r="J8" i="2"/>
  <c r="O7" i="2"/>
  <c r="M7" i="2"/>
  <c r="L7" i="2"/>
  <c r="J7" i="2"/>
  <c r="O6" i="2"/>
  <c r="M6" i="2"/>
  <c r="L6" i="2"/>
  <c r="J6" i="2"/>
  <c r="O5" i="2"/>
  <c r="M5" i="2"/>
  <c r="L5" i="2"/>
  <c r="J5" i="2"/>
  <c r="O4" i="2"/>
  <c r="M4" i="2"/>
  <c r="L4" i="2"/>
  <c r="J4" i="2"/>
  <c r="P37" i="2" l="1"/>
  <c r="P99" i="2"/>
  <c r="P85" i="2"/>
  <c r="P43" i="2"/>
  <c r="P42" i="2"/>
  <c r="P33" i="2"/>
  <c r="P40" i="2"/>
  <c r="P39" i="2"/>
  <c r="P59" i="2"/>
  <c r="P72" i="2"/>
  <c r="P56" i="2"/>
  <c r="P41" i="2"/>
  <c r="P66" i="2"/>
  <c r="P38" i="2"/>
  <c r="P44" i="2"/>
  <c r="P69" i="2"/>
  <c r="P79" i="2"/>
  <c r="P65" i="2"/>
  <c r="P70" i="2"/>
  <c r="P86" i="2"/>
  <c r="P84" i="2"/>
  <c r="P98" i="2"/>
  <c r="P88" i="2"/>
  <c r="P74" i="2"/>
  <c r="P60" i="2"/>
  <c r="P46" i="2"/>
  <c r="P32" i="2"/>
  <c r="P90" i="2"/>
  <c r="P77" i="2"/>
  <c r="P82" i="2"/>
  <c r="P36" i="2"/>
  <c r="P81" i="2"/>
  <c r="P35" i="2"/>
  <c r="P61" i="2"/>
  <c r="P95" i="2"/>
  <c r="P53" i="2"/>
  <c r="P91" i="2"/>
  <c r="P4" i="2"/>
  <c r="P67" i="2"/>
  <c r="P93" i="2"/>
  <c r="P92" i="2"/>
  <c r="P62" i="2"/>
  <c r="P63" i="2"/>
  <c r="P89" i="2"/>
  <c r="P64" i="2"/>
  <c r="P28" i="2"/>
  <c r="Q4" i="2"/>
  <c r="R4" i="2" s="1"/>
  <c r="Q308" i="2"/>
  <c r="R308" i="2" s="1"/>
  <c r="P310" i="2"/>
  <c r="P220" i="2"/>
  <c r="P283" i="2"/>
  <c r="P7" i="2"/>
  <c r="Q160" i="2"/>
  <c r="R160" i="2" s="1"/>
  <c r="Q272" i="2"/>
  <c r="R272" i="2" s="1"/>
  <c r="Q162" i="2"/>
  <c r="R162" i="2" s="1"/>
  <c r="Q70" i="2"/>
  <c r="P75" i="2"/>
  <c r="Q53" i="2"/>
  <c r="Q241" i="2"/>
  <c r="R241" i="2" s="1"/>
  <c r="Q64" i="2"/>
  <c r="P73" i="2"/>
  <c r="Q133" i="2"/>
  <c r="R133" i="2" s="1"/>
  <c r="Q149" i="2"/>
  <c r="R149" i="2" s="1"/>
  <c r="P279" i="2"/>
  <c r="P281" i="2"/>
  <c r="Q138" i="2"/>
  <c r="R138" i="2" s="1"/>
  <c r="Q200" i="2"/>
  <c r="R200" i="2" s="1"/>
  <c r="P239" i="2"/>
  <c r="Q62" i="2"/>
  <c r="Q250" i="2"/>
  <c r="R250" i="2" s="1"/>
  <c r="P237" i="2"/>
  <c r="P293" i="2"/>
  <c r="Q168" i="2"/>
  <c r="R168" i="2" s="1"/>
  <c r="Q262" i="2"/>
  <c r="R262" i="2" s="1"/>
  <c r="P271" i="2"/>
  <c r="Q32" i="2"/>
  <c r="Q113" i="2"/>
  <c r="R113" i="2" s="1"/>
  <c r="Q111" i="2"/>
  <c r="R111" i="2" s="1"/>
  <c r="Q182" i="2"/>
  <c r="R182" i="2" s="1"/>
  <c r="Q269" i="2"/>
  <c r="R269" i="2" s="1"/>
  <c r="Q258" i="2"/>
  <c r="R258" i="2" s="1"/>
  <c r="Q231" i="2"/>
  <c r="R231" i="2" s="1"/>
  <c r="P141" i="2"/>
  <c r="Q143" i="2"/>
  <c r="R143" i="2" s="1"/>
  <c r="Q289" i="2"/>
  <c r="R289" i="2" s="1"/>
  <c r="Q247" i="2"/>
  <c r="R247" i="2" s="1"/>
  <c r="P302" i="2"/>
  <c r="P47" i="2"/>
  <c r="Q58" i="2"/>
  <c r="Q107" i="2"/>
  <c r="R107" i="2" s="1"/>
  <c r="Q174" i="2"/>
  <c r="R174" i="2" s="1"/>
  <c r="Q187" i="2"/>
  <c r="R187" i="2" s="1"/>
  <c r="Q38" i="2"/>
  <c r="Q56" i="2"/>
  <c r="Q105" i="2"/>
  <c r="R105" i="2" s="1"/>
  <c r="Q76" i="2"/>
  <c r="Q87" i="2"/>
  <c r="Q157" i="2"/>
  <c r="R157" i="2" s="1"/>
  <c r="P181" i="2"/>
  <c r="P183" i="2"/>
  <c r="P307" i="2"/>
  <c r="P176" i="2"/>
  <c r="Q36" i="2"/>
  <c r="Q85" i="2"/>
  <c r="Q170" i="2"/>
  <c r="R170" i="2" s="1"/>
  <c r="Q201" i="2"/>
  <c r="R201" i="2" s="1"/>
  <c r="Q203" i="2"/>
  <c r="R203" i="2" s="1"/>
  <c r="Q252" i="2"/>
  <c r="R252" i="2" s="1"/>
  <c r="Q270" i="2"/>
  <c r="R270" i="2" s="1"/>
  <c r="P285" i="2"/>
  <c r="P29" i="2"/>
  <c r="Q81" i="2"/>
  <c r="Q99" i="2"/>
  <c r="P208" i="2"/>
  <c r="Q226" i="2"/>
  <c r="R226" i="2" s="1"/>
  <c r="Q301" i="2"/>
  <c r="R301" i="2" s="1"/>
  <c r="Q79" i="2"/>
  <c r="Q90" i="2"/>
  <c r="Q164" i="2"/>
  <c r="R164" i="2" s="1"/>
  <c r="Q195" i="2"/>
  <c r="R195" i="2" s="1"/>
  <c r="Q224" i="2"/>
  <c r="R224" i="2" s="1"/>
  <c r="Q222" i="2"/>
  <c r="R222" i="2" s="1"/>
  <c r="Q44" i="2"/>
  <c r="P132" i="2"/>
  <c r="P134" i="2"/>
  <c r="Q151" i="2"/>
  <c r="R151" i="2" s="1"/>
  <c r="P243" i="2"/>
  <c r="Q266" i="2"/>
  <c r="R266" i="2" s="1"/>
  <c r="P15" i="2"/>
  <c r="Q130" i="2"/>
  <c r="R130" i="2" s="1"/>
  <c r="P21" i="2"/>
  <c r="P55" i="2"/>
  <c r="Q59" i="2"/>
  <c r="Q61" i="2"/>
  <c r="Q63" i="2"/>
  <c r="P78" i="2"/>
  <c r="Q82" i="2"/>
  <c r="Q84" i="2"/>
  <c r="Q86" i="2"/>
  <c r="P101" i="2"/>
  <c r="Q122" i="2"/>
  <c r="R122" i="2" s="1"/>
  <c r="Q124" i="2"/>
  <c r="R124" i="2" s="1"/>
  <c r="Q126" i="2"/>
  <c r="R126" i="2" s="1"/>
  <c r="Q166" i="2"/>
  <c r="R166" i="2" s="1"/>
  <c r="Q206" i="2"/>
  <c r="R206" i="2" s="1"/>
  <c r="Q254" i="2"/>
  <c r="R254" i="2" s="1"/>
  <c r="Q256" i="2"/>
  <c r="R256" i="2" s="1"/>
  <c r="P260" i="2"/>
  <c r="Q287" i="2"/>
  <c r="R287" i="2" s="1"/>
  <c r="P295" i="2"/>
  <c r="Q297" i="2"/>
  <c r="R297" i="2" s="1"/>
  <c r="P299" i="2"/>
  <c r="Q93" i="2"/>
  <c r="Q139" i="2"/>
  <c r="R139" i="2" s="1"/>
  <c r="Q179" i="2"/>
  <c r="R179" i="2" s="1"/>
  <c r="Q198" i="2"/>
  <c r="R198" i="2" s="1"/>
  <c r="Q219" i="2"/>
  <c r="R219" i="2" s="1"/>
  <c r="Q223" i="2"/>
  <c r="R223" i="2" s="1"/>
  <c r="P225" i="2"/>
  <c r="P311" i="2"/>
  <c r="Q152" i="2"/>
  <c r="R152" i="2" s="1"/>
  <c r="Q154" i="2"/>
  <c r="R154" i="2" s="1"/>
  <c r="Q217" i="2"/>
  <c r="R217" i="2" s="1"/>
  <c r="P236" i="2"/>
  <c r="Q244" i="2"/>
  <c r="R244" i="2" s="1"/>
  <c r="P11" i="2"/>
  <c r="P27" i="2"/>
  <c r="Q7" i="2"/>
  <c r="P14" i="2"/>
  <c r="Q171" i="2"/>
  <c r="R171" i="2" s="1"/>
  <c r="Q173" i="2"/>
  <c r="R173" i="2" s="1"/>
  <c r="Q175" i="2"/>
  <c r="R175" i="2" s="1"/>
  <c r="Q215" i="2"/>
  <c r="R215" i="2" s="1"/>
  <c r="P104" i="2"/>
  <c r="Q108" i="2"/>
  <c r="R108" i="2" s="1"/>
  <c r="Q110" i="2"/>
  <c r="R110" i="2" s="1"/>
  <c r="Q112" i="2"/>
  <c r="R112" i="2" s="1"/>
  <c r="P209" i="2"/>
  <c r="P211" i="2"/>
  <c r="Q213" i="2"/>
  <c r="R213" i="2" s="1"/>
  <c r="Q263" i="2"/>
  <c r="R263" i="2" s="1"/>
  <c r="Q282" i="2"/>
  <c r="R282" i="2" s="1"/>
  <c r="P286" i="2"/>
  <c r="Q290" i="2"/>
  <c r="R290" i="2" s="1"/>
  <c r="P292" i="2"/>
  <c r="Q41" i="2"/>
  <c r="Q102" i="2"/>
  <c r="R102" i="2" s="1"/>
  <c r="Q121" i="2"/>
  <c r="R121" i="2" s="1"/>
  <c r="Q125" i="2"/>
  <c r="R125" i="2" s="1"/>
  <c r="P127" i="2"/>
  <c r="Q146" i="2"/>
  <c r="R146" i="2" s="1"/>
  <c r="P190" i="2"/>
  <c r="Q192" i="2"/>
  <c r="R192" i="2" s="1"/>
  <c r="Q255" i="2"/>
  <c r="R255" i="2" s="1"/>
  <c r="P257" i="2"/>
  <c r="Q276" i="2"/>
  <c r="R276" i="2" s="1"/>
  <c r="Q294" i="2"/>
  <c r="R294" i="2" s="1"/>
  <c r="Q296" i="2"/>
  <c r="R296" i="2" s="1"/>
  <c r="P8" i="2"/>
  <c r="Q33" i="2"/>
  <c r="Q35" i="2"/>
  <c r="Q37" i="2"/>
  <c r="P50" i="2"/>
  <c r="P52" i="2"/>
  <c r="P96" i="2"/>
  <c r="Q119" i="2"/>
  <c r="R119" i="2" s="1"/>
  <c r="P159" i="2"/>
  <c r="Q188" i="2"/>
  <c r="R188" i="2" s="1"/>
  <c r="P230" i="2"/>
  <c r="Q249" i="2"/>
  <c r="R249" i="2" s="1"/>
  <c r="P300" i="2"/>
  <c r="P304" i="2"/>
  <c r="P306" i="2"/>
  <c r="P18" i="2"/>
  <c r="P23" i="2"/>
  <c r="Q228" i="2"/>
  <c r="R228" i="2" s="1"/>
  <c r="R5" i="2"/>
  <c r="Q67" i="2"/>
  <c r="Q116" i="2"/>
  <c r="R116" i="2" s="1"/>
  <c r="Q135" i="2"/>
  <c r="R135" i="2" s="1"/>
  <c r="Q165" i="2"/>
  <c r="R165" i="2" s="1"/>
  <c r="Q184" i="2"/>
  <c r="R184" i="2" s="1"/>
  <c r="Q214" i="2"/>
  <c r="R214" i="2" s="1"/>
  <c r="Q233" i="2"/>
  <c r="R233" i="2" s="1"/>
  <c r="Q268" i="2"/>
  <c r="R268" i="2" s="1"/>
  <c r="P309" i="2"/>
  <c r="P20" i="2"/>
  <c r="Q23" i="2"/>
  <c r="P25" i="2"/>
  <c r="Q49" i="2"/>
  <c r="Q72" i="2"/>
  <c r="Q98" i="2"/>
  <c r="Q129" i="2"/>
  <c r="R129" i="2" s="1"/>
  <c r="Q140" i="2"/>
  <c r="R140" i="2" s="1"/>
  <c r="P148" i="2"/>
  <c r="Q178" i="2"/>
  <c r="R178" i="2" s="1"/>
  <c r="Q189" i="2"/>
  <c r="R189" i="2" s="1"/>
  <c r="P197" i="2"/>
  <c r="Q227" i="2"/>
  <c r="R227" i="2" s="1"/>
  <c r="Q238" i="2"/>
  <c r="R238" i="2" s="1"/>
  <c r="P246" i="2"/>
  <c r="P265" i="2"/>
  <c r="Q273" i="2"/>
  <c r="R273" i="2" s="1"/>
  <c r="P278" i="2"/>
  <c r="Q137" i="2"/>
  <c r="R137" i="2" s="1"/>
  <c r="P167" i="2"/>
  <c r="Q40" i="2"/>
  <c r="Q43" i="2"/>
  <c r="Q89" i="2"/>
  <c r="Q92" i="2"/>
  <c r="Q115" i="2"/>
  <c r="R115" i="2" s="1"/>
  <c r="Q118" i="2"/>
  <c r="R118" i="2" s="1"/>
  <c r="Q145" i="2"/>
  <c r="R145" i="2" s="1"/>
  <c r="Q194" i="2"/>
  <c r="R194" i="2" s="1"/>
  <c r="Q216" i="2"/>
  <c r="R216" i="2" s="1"/>
  <c r="P232" i="2"/>
  <c r="Q275" i="2"/>
  <c r="R275" i="2" s="1"/>
  <c r="P288" i="2"/>
  <c r="Q303" i="2"/>
  <c r="R303" i="2" s="1"/>
  <c r="P16" i="2"/>
  <c r="Q156" i="2"/>
  <c r="R156" i="2" s="1"/>
  <c r="Q305" i="2"/>
  <c r="R305" i="2" s="1"/>
  <c r="P305" i="2"/>
  <c r="Q66" i="2"/>
  <c r="Q69" i="2"/>
  <c r="P9" i="2"/>
  <c r="Q16" i="2"/>
  <c r="P30" i="2"/>
  <c r="P31" i="2"/>
  <c r="P34" i="2"/>
  <c r="P54" i="2"/>
  <c r="P57" i="2"/>
  <c r="Q60" i="2"/>
  <c r="P80" i="2"/>
  <c r="P83" i="2"/>
  <c r="P103" i="2"/>
  <c r="P106" i="2"/>
  <c r="Q109" i="2"/>
  <c r="R109" i="2" s="1"/>
  <c r="Q123" i="2"/>
  <c r="R123" i="2" s="1"/>
  <c r="P131" i="2"/>
  <c r="Q142" i="2"/>
  <c r="R142" i="2" s="1"/>
  <c r="P153" i="2"/>
  <c r="Q172" i="2"/>
  <c r="R172" i="2" s="1"/>
  <c r="P180" i="2"/>
  <c r="Q191" i="2"/>
  <c r="R191" i="2" s="1"/>
  <c r="P202" i="2"/>
  <c r="Q221" i="2"/>
  <c r="R221" i="2" s="1"/>
  <c r="P229" i="2"/>
  <c r="Q240" i="2"/>
  <c r="R240" i="2" s="1"/>
  <c r="P251" i="2"/>
  <c r="P267" i="2"/>
  <c r="P10" i="2"/>
  <c r="P26" i="2"/>
  <c r="Q77" i="2"/>
  <c r="Q100" i="2"/>
  <c r="R100" i="2" s="1"/>
  <c r="P120" i="2"/>
  <c r="Q150" i="2"/>
  <c r="R150" i="2" s="1"/>
  <c r="Q161" i="2"/>
  <c r="R161" i="2" s="1"/>
  <c r="P169" i="2"/>
  <c r="Q199" i="2"/>
  <c r="R199" i="2" s="1"/>
  <c r="Q210" i="2"/>
  <c r="R210" i="2" s="1"/>
  <c r="P218" i="2"/>
  <c r="Q248" i="2"/>
  <c r="R248" i="2" s="1"/>
  <c r="Q259" i="2"/>
  <c r="R259" i="2" s="1"/>
  <c r="P264" i="2"/>
  <c r="Q312" i="2"/>
  <c r="R312" i="2" s="1"/>
  <c r="P312" i="2"/>
  <c r="P24" i="2"/>
  <c r="Q20" i="2"/>
  <c r="Q186" i="2"/>
  <c r="R186" i="2" s="1"/>
  <c r="Q6" i="2"/>
  <c r="R6" i="2" s="1"/>
  <c r="P19" i="2"/>
  <c r="Q28" i="2"/>
  <c r="Q51" i="2"/>
  <c r="P5" i="2"/>
  <c r="P12" i="2"/>
  <c r="P22" i="2"/>
  <c r="Q25" i="2"/>
  <c r="P45" i="2"/>
  <c r="P48" i="2"/>
  <c r="P68" i="2"/>
  <c r="P71" i="2"/>
  <c r="Q74" i="2"/>
  <c r="P94" i="2"/>
  <c r="P97" i="2"/>
  <c r="P117" i="2"/>
  <c r="Q128" i="2"/>
  <c r="R128" i="2" s="1"/>
  <c r="Q158" i="2"/>
  <c r="R158" i="2" s="1"/>
  <c r="Q177" i="2"/>
  <c r="R177" i="2" s="1"/>
  <c r="Q207" i="2"/>
  <c r="R207" i="2" s="1"/>
  <c r="Q280" i="2"/>
  <c r="R280" i="2" s="1"/>
  <c r="Q291" i="2"/>
  <c r="R291" i="2" s="1"/>
  <c r="P291" i="2"/>
  <c r="Q298" i="2"/>
  <c r="R298" i="2" s="1"/>
  <c r="P298" i="2"/>
  <c r="P6" i="2"/>
  <c r="P13" i="2"/>
  <c r="Q95" i="2"/>
  <c r="Q205" i="2"/>
  <c r="R205" i="2" s="1"/>
  <c r="Q91" i="2"/>
  <c r="Q114" i="2"/>
  <c r="R114" i="2" s="1"/>
  <c r="Q136" i="2"/>
  <c r="R136" i="2" s="1"/>
  <c r="Q147" i="2"/>
  <c r="R147" i="2" s="1"/>
  <c r="P155" i="2"/>
  <c r="Q185" i="2"/>
  <c r="R185" i="2" s="1"/>
  <c r="Q196" i="2"/>
  <c r="R196" i="2" s="1"/>
  <c r="P204" i="2"/>
  <c r="Q234" i="2"/>
  <c r="R234" i="2" s="1"/>
  <c r="Q245" i="2"/>
  <c r="R245" i="2" s="1"/>
  <c r="P253" i="2"/>
  <c r="Q261" i="2"/>
  <c r="R261" i="2" s="1"/>
  <c r="Q277" i="2"/>
  <c r="R277" i="2" s="1"/>
  <c r="Q284" i="2"/>
  <c r="R284" i="2" s="1"/>
  <c r="P284" i="2"/>
  <c r="Q46" i="2"/>
  <c r="Q235" i="2"/>
  <c r="R235" i="2" s="1"/>
  <c r="Q42" i="2"/>
  <c r="Q65" i="2"/>
  <c r="Q39" i="2"/>
  <c r="Q88" i="2"/>
  <c r="Q144" i="2"/>
  <c r="R144" i="2" s="1"/>
  <c r="Q163" i="2"/>
  <c r="R163" i="2" s="1"/>
  <c r="Q193" i="2"/>
  <c r="R193" i="2" s="1"/>
  <c r="Q212" i="2"/>
  <c r="R212" i="2" s="1"/>
  <c r="Q242" i="2"/>
  <c r="R242" i="2" s="1"/>
  <c r="P17" i="2"/>
  <c r="P274" i="2"/>
  <c r="R79" i="2" l="1"/>
  <c r="R58" i="2"/>
  <c r="R65" i="2"/>
  <c r="R98" i="2"/>
  <c r="R67" i="2"/>
  <c r="R61" i="2"/>
  <c r="R48" i="2"/>
  <c r="R42" i="2"/>
  <c r="R60" i="2"/>
  <c r="R72" i="2"/>
  <c r="R59" i="2"/>
  <c r="R75" i="2"/>
  <c r="R51" i="2"/>
  <c r="R49" i="2"/>
  <c r="R37" i="2"/>
  <c r="R90" i="2"/>
  <c r="R85" i="2"/>
  <c r="R32" i="2"/>
  <c r="R47" i="2"/>
  <c r="R64" i="2"/>
  <c r="R35" i="2"/>
  <c r="R36" i="2"/>
  <c r="R41" i="2"/>
  <c r="R74" i="2"/>
  <c r="R99" i="2"/>
  <c r="R34" i="2"/>
  <c r="R83" i="2"/>
  <c r="R91" i="2"/>
  <c r="R77" i="2"/>
  <c r="R81" i="2"/>
  <c r="R70" i="2"/>
  <c r="R52" i="2"/>
  <c r="R94" i="2"/>
  <c r="R50" i="2"/>
  <c r="R69" i="2"/>
  <c r="R93" i="2"/>
  <c r="R86" i="2"/>
  <c r="R87" i="2"/>
  <c r="R62" i="2"/>
  <c r="R73" i="2"/>
  <c r="R54" i="2"/>
  <c r="R66" i="2"/>
  <c r="R84" i="2"/>
  <c r="R76" i="2"/>
  <c r="R68" i="2"/>
  <c r="R97" i="2"/>
  <c r="R33" i="2"/>
  <c r="R96" i="2"/>
  <c r="R92" i="2"/>
  <c r="R89" i="2"/>
  <c r="R82" i="2"/>
  <c r="R44" i="2"/>
  <c r="R78" i="2"/>
  <c r="R57" i="2"/>
  <c r="R88" i="2"/>
  <c r="R43" i="2"/>
  <c r="R56" i="2"/>
  <c r="R55" i="2"/>
  <c r="R71" i="2"/>
  <c r="R46" i="2"/>
  <c r="R95" i="2"/>
  <c r="R53" i="2"/>
  <c r="R39" i="2"/>
  <c r="R40" i="2"/>
  <c r="R63" i="2"/>
  <c r="R38" i="2"/>
  <c r="R80" i="2"/>
  <c r="R45" i="2"/>
  <c r="R28" i="2"/>
  <c r="R19" i="2"/>
  <c r="R29" i="2"/>
  <c r="R20" i="2"/>
  <c r="R11" i="2"/>
  <c r="R9" i="2"/>
  <c r="R15" i="2"/>
  <c r="R8" i="2"/>
  <c r="R16" i="2"/>
  <c r="R27" i="2"/>
  <c r="R7" i="2"/>
  <c r="R13" i="2"/>
  <c r="R14" i="2"/>
  <c r="R22" i="2"/>
  <c r="R17" i="2"/>
  <c r="R25" i="2"/>
  <c r="R21" i="2"/>
  <c r="R30" i="2"/>
  <c r="R18" i="2"/>
  <c r="R31" i="2"/>
  <c r="R23" i="2"/>
  <c r="R12" i="2"/>
  <c r="R10" i="2"/>
  <c r="R26" i="2"/>
  <c r="R24" i="2"/>
</calcChain>
</file>

<file path=xl/sharedStrings.xml><?xml version="1.0" encoding="utf-8"?>
<sst xmlns="http://schemas.openxmlformats.org/spreadsheetml/2006/main" count="9637" uniqueCount="779">
  <si>
    <t>Phase</t>
  </si>
  <si>
    <t>Task Owner</t>
  </si>
  <si>
    <t>Consultant</t>
  </si>
  <si>
    <t>Baseline Finish</t>
  </si>
  <si>
    <t>Actual / Forecast Finish</t>
  </si>
  <si>
    <t>Status</t>
  </si>
  <si>
    <t>Slippage (days)</t>
  </si>
  <si>
    <t>Overdue?</t>
  </si>
  <si>
    <t>RAG</t>
  </si>
  <si>
    <t>Notes</t>
  </si>
  <si>
    <t>CurKey</t>
  </si>
  <si>
    <t>OvdRank</t>
  </si>
  <si>
    <t>ShowFlag</t>
  </si>
  <si>
    <t>DesignRank</t>
  </si>
  <si>
    <t>50% Detailed Design</t>
  </si>
  <si>
    <t>100% Detailed Design</t>
  </si>
  <si>
    <t>Tender Package</t>
  </si>
  <si>
    <t>Not Started</t>
  </si>
  <si>
    <t>100% Schematic Design</t>
  </si>
  <si>
    <t>Cost Plan - 100% SD</t>
  </si>
  <si>
    <t>Cost Plan - 100% DD</t>
  </si>
  <si>
    <t>Landscape</t>
  </si>
  <si>
    <t>Permit Drawings &amp; Documents (IFP, IFDL, IFCD)</t>
  </si>
  <si>
    <t>Fences &amp; Gates</t>
  </si>
  <si>
    <t>Trade</t>
  </si>
  <si>
    <t>Parent</t>
  </si>
  <si>
    <t>Task</t>
  </si>
  <si>
    <t>Keys 52</t>
  </si>
  <si>
    <t>Buldings</t>
  </si>
  <si>
    <t>BLDGs,External</t>
  </si>
  <si>
    <t>GDG</t>
  </si>
  <si>
    <t>Completed</t>
  </si>
  <si>
    <t>HAP Review - 100% SD</t>
  </si>
  <si>
    <t>Nour / Ali</t>
  </si>
  <si>
    <t>HAP Review - 50% DD</t>
  </si>
  <si>
    <t>HAP Review - 100% DD</t>
  </si>
  <si>
    <t>BLDGs A</t>
  </si>
  <si>
    <t>HAP Review - TD</t>
  </si>
  <si>
    <t>BLDGs B</t>
  </si>
  <si>
    <t>BLDGs C</t>
  </si>
  <si>
    <t xml:space="preserve">mockup </t>
  </si>
  <si>
    <t>Fit-out</t>
  </si>
  <si>
    <t>mockup ( Interior)</t>
  </si>
  <si>
    <t xml:space="preserve">design team </t>
  </si>
  <si>
    <t xml:space="preserve">Khalifa Studio </t>
  </si>
  <si>
    <t>Concept Design</t>
  </si>
  <si>
    <t>Inprogress</t>
  </si>
  <si>
    <t>HAP Review - 100% CD</t>
  </si>
  <si>
    <t>Authorities - Keys 52</t>
  </si>
  <si>
    <t>Authorities</t>
  </si>
  <si>
    <t>Permits Issuance</t>
  </si>
  <si>
    <t>Construction licenses</t>
  </si>
  <si>
    <t>Landscape &amp; Infra - Keys 52</t>
  </si>
  <si>
    <t>External Works Landscape &amp; Infra</t>
  </si>
  <si>
    <t>Revised IFT (Regarding the infra modifications)</t>
  </si>
  <si>
    <t>Revised IFT (Regarding the Landscape modifications)</t>
  </si>
  <si>
    <t>Fences &amp; Gates - Keys 52</t>
  </si>
  <si>
    <t>IFT</t>
  </si>
  <si>
    <t>HAP Review</t>
  </si>
  <si>
    <t>Days to Finish/Delay</t>
  </si>
  <si>
    <t>Lotus</t>
  </si>
  <si>
    <t>Phase 1</t>
  </si>
  <si>
    <t>Buildings</t>
  </si>
  <si>
    <t>Buildings (Phase.01)</t>
  </si>
  <si>
    <t>Single Source Concept Consultant - Buildings (Phase.01)</t>
  </si>
  <si>
    <t>Mostafa Abdel Aziz</t>
  </si>
  <si>
    <t>Khaled Mokhtar /Dev</t>
  </si>
  <si>
    <t>Kick-off - Buildings (Phase.01)</t>
  </si>
  <si>
    <t>Khaled Mokhtar/HAP</t>
  </si>
  <si>
    <t>50% Concept Design (Hafez)</t>
  </si>
  <si>
    <t>HAP Review - 50% CD</t>
  </si>
  <si>
    <t>100% Concept Design (Hafez)</t>
  </si>
  <si>
    <t>50% Concept Design (Mimar)</t>
  </si>
  <si>
    <t>100% Concept Design (Mimar)</t>
  </si>
  <si>
    <t>Single Source Consultant Contract - Buildings (Phase.01)</t>
  </si>
  <si>
    <t>Qadry / Ashraf</t>
  </si>
  <si>
    <t>ECG / Design</t>
  </si>
  <si>
    <t>ECG / HAP</t>
  </si>
  <si>
    <t>Concept Validation</t>
  </si>
  <si>
    <t>ECG</t>
  </si>
  <si>
    <t>HAP Review - CV</t>
  </si>
  <si>
    <t>Survtec</t>
  </si>
  <si>
    <t>Business Plan Update (Phase.01)</t>
  </si>
  <si>
    <t>Permits Drawings</t>
  </si>
  <si>
    <t>HAP Review - PD</t>
  </si>
  <si>
    <t>lotus</t>
  </si>
  <si>
    <t>Payment</t>
  </si>
  <si>
    <t>Land Payment Plan</t>
  </si>
  <si>
    <t>Settlement of 2025,2026 instalment (100% 2025,2.5%2026)</t>
  </si>
  <si>
    <t>Authorities (Phase.01)</t>
  </si>
  <si>
    <t>Authorities Issuance (Phase.01)</t>
  </si>
  <si>
    <t>Egyptian Institution for Construction Civil Liability Insurance &amp; Civil Defense</t>
  </si>
  <si>
    <t>Afif</t>
  </si>
  <si>
    <t>Construction licenses-Permits</t>
  </si>
  <si>
    <t>Mineral licenses-Excavation</t>
  </si>
  <si>
    <t>Phase 2</t>
  </si>
  <si>
    <t>Buildings (Phase.02)</t>
  </si>
  <si>
    <t>50% Concept Design</t>
  </si>
  <si>
    <t>100% Concept Design</t>
  </si>
  <si>
    <t>Business Plan Update (Phase.02)</t>
  </si>
  <si>
    <t>Permit Drawings</t>
  </si>
  <si>
    <t>Authorities (Phase.02)</t>
  </si>
  <si>
    <t>Authorities Issuance (Phase.02)</t>
  </si>
  <si>
    <t>Ministerial decree NUCA</t>
  </si>
  <si>
    <t>Afifi</t>
  </si>
  <si>
    <t>Phase 3</t>
  </si>
  <si>
    <t>Buildings (Phase.03)</t>
  </si>
  <si>
    <t>Business Plan Update (Phase.03)</t>
  </si>
  <si>
    <t xml:space="preserve">Tender Package </t>
  </si>
  <si>
    <t>Authorities Issuance (Phase.03)</t>
  </si>
  <si>
    <t>Ministerial decree-NUCA</t>
  </si>
  <si>
    <t>Podium</t>
  </si>
  <si>
    <t>Podium (All Phases)</t>
  </si>
  <si>
    <t>Kick-off - Podium (All Phases)</t>
  </si>
  <si>
    <t xml:space="preserve">Concept Validation </t>
  </si>
  <si>
    <t>100% Schematic Design (Including MEP &amp; Infra Works)</t>
  </si>
  <si>
    <t>50% Detailed Design (Including MEP &amp; Infra Works)</t>
  </si>
  <si>
    <t xml:space="preserve">Permit Drawings </t>
  </si>
  <si>
    <t>100% Detailed Design (Including MEP &amp; Infra Works)</t>
  </si>
  <si>
    <t>Tender Package (Including MEP &amp; Infra Works)</t>
  </si>
  <si>
    <t>Authorities (Phase.03)</t>
  </si>
  <si>
    <t>Authorities Issuance (Podium)</t>
  </si>
  <si>
    <t>Master Plan</t>
  </si>
  <si>
    <t xml:space="preserve">100% Schematic Design </t>
  </si>
  <si>
    <t>Updated Ministerial decree</t>
  </si>
  <si>
    <t>HAP Review - Updated Ministerial decree</t>
  </si>
  <si>
    <t xml:space="preserve">50% Detailed Design </t>
  </si>
  <si>
    <t xml:space="preserve">100% Detailed Design </t>
  </si>
  <si>
    <t>Landscape (Phase.01)</t>
  </si>
  <si>
    <t>RFP - Landscape (Phase.01)</t>
  </si>
  <si>
    <t>Dina</t>
  </si>
  <si>
    <t>Single Source Concept Consultant - Landscape (Phase.01)</t>
  </si>
  <si>
    <t>Cost Plan - 100% CD</t>
  </si>
  <si>
    <t>50% Schematic Design</t>
  </si>
  <si>
    <t>HAP Review - 50% SD</t>
  </si>
  <si>
    <t>Landscape (Phase.02)</t>
  </si>
  <si>
    <t>Landscape (Phase.03)</t>
  </si>
  <si>
    <t>Launch Date</t>
  </si>
  <si>
    <t>SLNX</t>
  </si>
  <si>
    <t>Masterplan (All Phases)</t>
  </si>
  <si>
    <t>Masterplan</t>
  </si>
  <si>
    <t>Landscape (Phase 04)</t>
  </si>
  <si>
    <t>BOQ Preparation</t>
  </si>
  <si>
    <t>IFC Package</t>
  </si>
  <si>
    <t>Tender Process</t>
  </si>
  <si>
    <t>FM-Building</t>
  </si>
  <si>
    <t>Schematic Design - KA Design</t>
  </si>
  <si>
    <t>Enabling Package</t>
  </si>
  <si>
    <t>General</t>
  </si>
  <si>
    <t xml:space="preserve">Development Brief </t>
  </si>
  <si>
    <t>Brief Approval</t>
  </si>
  <si>
    <t>RFP</t>
  </si>
  <si>
    <t>Tender to assign Consultant</t>
  </si>
  <si>
    <t>Kick off</t>
  </si>
  <si>
    <t>Pre-Concept</t>
  </si>
  <si>
    <t>Design Zone</t>
  </si>
  <si>
    <t>50% Concept</t>
  </si>
  <si>
    <t>100% Concept</t>
  </si>
  <si>
    <t>Interior</t>
  </si>
  <si>
    <t>Design Zone (Optional)</t>
  </si>
  <si>
    <t>50% Concept + Furnished &amp; Colored Plans +ID Shots</t>
  </si>
  <si>
    <t xml:space="preserve">100% Concept Design </t>
  </si>
  <si>
    <t>SLR</t>
  </si>
  <si>
    <t>Selina</t>
  </si>
  <si>
    <t>Buildings - Selina</t>
  </si>
  <si>
    <t>Ashraf / Sara</t>
  </si>
  <si>
    <t>KAD</t>
  </si>
  <si>
    <t>Peer Review</t>
  </si>
  <si>
    <t>VE</t>
  </si>
  <si>
    <t>Phase 02 Revised Tender Package</t>
  </si>
  <si>
    <t>Phase 01 Revised Tender Package</t>
  </si>
  <si>
    <t>Infrastructure</t>
  </si>
  <si>
    <t>Infra - Selina</t>
  </si>
  <si>
    <t>Data to be send by HAP</t>
  </si>
  <si>
    <t>Ashraf  / Sara</t>
  </si>
  <si>
    <t>Infra DD Submission</t>
  </si>
  <si>
    <t>Shaker</t>
  </si>
  <si>
    <t>Infra IFT Submission</t>
  </si>
  <si>
    <t>HAP Review + Final IFT Submission</t>
  </si>
  <si>
    <t>Landscape - Selina</t>
  </si>
  <si>
    <t>Schematic Package</t>
  </si>
  <si>
    <t>Hoda / Dina</t>
  </si>
  <si>
    <t>ARDS</t>
  </si>
  <si>
    <t>Cost Verification</t>
  </si>
  <si>
    <t>Nour / Noha</t>
  </si>
  <si>
    <t>Revised Schematic Package</t>
  </si>
  <si>
    <t>Plot Fences</t>
  </si>
  <si>
    <t>Plot Fences - Selina</t>
  </si>
  <si>
    <t>50% Tender Package</t>
  </si>
  <si>
    <t>Sites</t>
  </si>
  <si>
    <t>HAP Review - 50% TD</t>
  </si>
  <si>
    <t>100% Tender Package</t>
  </si>
  <si>
    <t>Parcel Fence</t>
  </si>
  <si>
    <t>Amaia</t>
  </si>
  <si>
    <t>Buildings - Amaia</t>
  </si>
  <si>
    <t>Work continued with Constructive</t>
  </si>
  <si>
    <t>Revised Buildings IFT Package (Signature Villas)</t>
  </si>
  <si>
    <t>Archimid</t>
  </si>
  <si>
    <t>HAP Review + Final IFT Submission (Signature Villas)</t>
  </si>
  <si>
    <t>Revised Buildings IFT Package (Solos Villas)</t>
  </si>
  <si>
    <t>HAP Review + Final IFT Submission (Solos Villas)</t>
  </si>
  <si>
    <t>Revised Buildings IFT Package (Monos Villas)</t>
  </si>
  <si>
    <t>HAP Review + Final IFT Submission (Monos Villas)</t>
  </si>
  <si>
    <t>Villa 103&amp;108</t>
  </si>
  <si>
    <t>Updated Permits Drawings</t>
  </si>
  <si>
    <t>Hap Review - PD</t>
  </si>
  <si>
    <t>Amaia - Masterplan</t>
  </si>
  <si>
    <t>Detailed Design Validation</t>
  </si>
  <si>
    <t>Oko Plan</t>
  </si>
  <si>
    <t>100% Detailed Design (Optional)</t>
  </si>
  <si>
    <t xml:space="preserve">HAP Review </t>
  </si>
  <si>
    <t>Tender Action</t>
  </si>
  <si>
    <t>IFC</t>
  </si>
  <si>
    <t>Infra</t>
  </si>
  <si>
    <t>Comments on Schematic to be send by HAP</t>
  </si>
  <si>
    <t>Hoda / Roshdy</t>
  </si>
  <si>
    <t>Plot Fence - Amaia</t>
  </si>
  <si>
    <t>Pheonix</t>
  </si>
  <si>
    <t>Buildings - Pheonix</t>
  </si>
  <si>
    <t>Buildings IFT Package + ID</t>
  </si>
  <si>
    <t>Emdad</t>
  </si>
  <si>
    <t xml:space="preserve">Fitout BOQ preperation CL01 to CL05 </t>
  </si>
  <si>
    <t>Fitout BOQ preperation CL06 to CL15</t>
  </si>
  <si>
    <t>Fitout Tender Process CL01 to CL05</t>
  </si>
  <si>
    <t>Fitout Tender Process CL06 to CL15</t>
  </si>
  <si>
    <t>Landscape - Pheonix</t>
  </si>
  <si>
    <t>Basemap with Grading</t>
  </si>
  <si>
    <t>OKO Plan</t>
  </si>
  <si>
    <t>HAP Review - TD + Comments Implementation</t>
  </si>
  <si>
    <t>Garden Plot Fences - Pheonix</t>
  </si>
  <si>
    <t>Fence Typology</t>
  </si>
  <si>
    <t>HAP Review - Fence Typology</t>
  </si>
  <si>
    <t>IRIS 01&amp;02</t>
  </si>
  <si>
    <t>Landscape - IRIS 01&amp;02</t>
  </si>
  <si>
    <t>Pre-Concept Design - IRIS 01 &amp; 02</t>
  </si>
  <si>
    <t>HAP Review - PC</t>
  </si>
  <si>
    <t>Final Concept Design - IRIS</t>
  </si>
  <si>
    <t>Cost Verification - 100% CD</t>
  </si>
  <si>
    <t>50% Schematic Design - Iris 01 &amp; 02</t>
  </si>
  <si>
    <t>Cost Verification  - 50% SD</t>
  </si>
  <si>
    <t>100% Schematic Design - Iris 01 &amp; 02</t>
  </si>
  <si>
    <t>100% Detailed Design - Iris 01 &amp; 02 - Hardscape</t>
  </si>
  <si>
    <t>100% Detailed Design - Iris 01 &amp; 02 - Softscape</t>
  </si>
  <si>
    <t>Plot Fences IFC</t>
  </si>
  <si>
    <t>IRIS 03</t>
  </si>
  <si>
    <t>Concept (MIMAR)</t>
  </si>
  <si>
    <t>Pre Concept</t>
  </si>
  <si>
    <t>Concept</t>
  </si>
  <si>
    <t>Concept Vaildation (KAD)</t>
  </si>
  <si>
    <t xml:space="preserve">Kickoff </t>
  </si>
  <si>
    <t>Enabling Package for Basement Boundaries</t>
  </si>
  <si>
    <t>BODR and Validation report for B01 &amp; B02</t>
  </si>
  <si>
    <t>IRIS 03 B.01</t>
  </si>
  <si>
    <t>Schematic</t>
  </si>
  <si>
    <t>Schematic Design (Arch &amp; STR)</t>
  </si>
  <si>
    <t>Schematic Design (MEP)</t>
  </si>
  <si>
    <t>DD, IFT &amp; IFC</t>
  </si>
  <si>
    <t>100% Detailed Design (Podium Str. IFT Package)</t>
  </si>
  <si>
    <t>Permit Package</t>
  </si>
  <si>
    <t>IFT Package</t>
  </si>
  <si>
    <t>HAP Review + Final IFT Package</t>
  </si>
  <si>
    <t>Schematic Design (Arch + Str + MEP)</t>
  </si>
  <si>
    <t>IRIS 03 B.02</t>
  </si>
  <si>
    <t>IRIS 03 - Structure Packages</t>
  </si>
  <si>
    <t>100% Str Detailed Design Peer Review</t>
  </si>
  <si>
    <t>HAP</t>
  </si>
  <si>
    <t>Tender Package for 2 Buildings + Basement Inprogress Package</t>
  </si>
  <si>
    <t>Tender Package  Peer Review</t>
  </si>
  <si>
    <t>Final Tender Package for 2 Buildings + Basement Final Package</t>
  </si>
  <si>
    <t>IRIS 03 - Masterplan</t>
  </si>
  <si>
    <t>YBA</t>
  </si>
  <si>
    <t>Ministerial Decree</t>
  </si>
  <si>
    <t>IRIS 03 Infra</t>
  </si>
  <si>
    <t>IFT Revised Package for IRIS 03</t>
  </si>
  <si>
    <t>HAP Review + IFT Final Package</t>
  </si>
  <si>
    <t>Landscape - IRIS 03</t>
  </si>
  <si>
    <t>Concept Design - IRIS 03</t>
  </si>
  <si>
    <t>Cracknell</t>
  </si>
  <si>
    <t>50% Schematic Design - Iris 03</t>
  </si>
  <si>
    <t>Nour / Hoda</t>
  </si>
  <si>
    <t>100% Schematic Design - Iris 03</t>
  </si>
  <si>
    <t>Landscape Schematic Review &amp; validation</t>
  </si>
  <si>
    <t>Cost Plan</t>
  </si>
  <si>
    <t>50% Design Development</t>
  </si>
  <si>
    <t>100% Design Development</t>
  </si>
  <si>
    <t>Landscape IFT</t>
  </si>
  <si>
    <t>Authorities - IRIS 03</t>
  </si>
  <si>
    <t>Ministerial decree</t>
  </si>
  <si>
    <t>Egyptian Institution for Construction Civil Liability Insurance</t>
  </si>
  <si>
    <t>Permits</t>
  </si>
  <si>
    <t>Plot Fences - IRIS 03</t>
  </si>
  <si>
    <t>Adham</t>
  </si>
  <si>
    <t>Parcel Fence - IRIS 03</t>
  </si>
  <si>
    <t>HAP For IFT Package</t>
  </si>
  <si>
    <t>Parcel 07</t>
  </si>
  <si>
    <t>Infra - Shaker (Parcel 07 &amp; Parcel 14)</t>
  </si>
  <si>
    <t>Infra IFC Submission</t>
  </si>
  <si>
    <t>HAP Review + Final IFC Submission</t>
  </si>
  <si>
    <t>RMC - MEP Packages &amp; ID - KH Studio</t>
  </si>
  <si>
    <t>Revised Submission for Patch 01 Buildings IFT</t>
  </si>
  <si>
    <t>Revised Submission for Basement &amp; Incl. ID 15-Jun-25</t>
  </si>
  <si>
    <t>Revised Submission for Patch 02 Buildings IFT (B01,03,04)</t>
  </si>
  <si>
    <t>Revised Submission for Patch 03 Buildings IFT (A12,A13)</t>
  </si>
  <si>
    <t>Tenant manual</t>
  </si>
  <si>
    <t>Tenant manual  - Parcel 07</t>
  </si>
  <si>
    <t>Shops Tenant Manual (Sample)</t>
  </si>
  <si>
    <t>RMC</t>
  </si>
  <si>
    <t>Office Tenant Manual (Sample)</t>
  </si>
  <si>
    <t>Authorities - Parcel 07</t>
  </si>
  <si>
    <t xml:space="preserve">Ministerial decree </t>
  </si>
  <si>
    <t>LEED Certificate</t>
  </si>
  <si>
    <t>LEED Certificate Process</t>
  </si>
  <si>
    <t>LEED Online Documentation Design phase)</t>
  </si>
  <si>
    <t>ES</t>
  </si>
  <si>
    <t>Preliminary Design review Fees</t>
  </si>
  <si>
    <t>Preliminary Design review</t>
  </si>
  <si>
    <t>USGBC</t>
  </si>
  <si>
    <t>LEED Consultant response</t>
  </si>
  <si>
    <t>Final design review</t>
  </si>
  <si>
    <t>Construction phase</t>
  </si>
  <si>
    <t>Hotel</t>
  </si>
  <si>
    <t>Concept &amp; Schematic Design Stage</t>
  </si>
  <si>
    <t xml:space="preserve">Comencment Date </t>
  </si>
  <si>
    <t>Project Build up</t>
  </si>
  <si>
    <t>Offices 50% Concept Design – Architecture</t>
  </si>
  <si>
    <t>HOTEL 50% Concept Design – Architecture</t>
  </si>
  <si>
    <t>Project Build-up (Hotel &amp; Offices)</t>
  </si>
  <si>
    <t>Adha Vacation</t>
  </si>
  <si>
    <t>50% Masterplan and Architecture Concept 
(Hotel and Office Buildings</t>
  </si>
  <si>
    <t>Project Budget Review and Vaildation 1</t>
  </si>
  <si>
    <t>Offices 100% Concept Design – Architecture &amp; Masterplan</t>
  </si>
  <si>
    <t>HOTEL 100% Concept Design – Architecture &amp; Masterplan</t>
  </si>
  <si>
    <t>Project Budget Review and Vaildation 2</t>
  </si>
  <si>
    <t>HOTEL 100% Concept Design – Interior Design</t>
  </si>
  <si>
    <t>Offices 100% Concept Design – Interior Design</t>
  </si>
  <si>
    <t>Project Budget Review and Vaildation 3</t>
  </si>
  <si>
    <t>Marketing Material - Development</t>
  </si>
  <si>
    <t>Marketing Material - Marketing</t>
  </si>
  <si>
    <t>Budget &amp; Cashflow</t>
  </si>
  <si>
    <t>Run BM &amp; Pricing</t>
  </si>
  <si>
    <t>Sales Induction</t>
  </si>
  <si>
    <t>100% Schematic Design
(Hotel and Office Buildings)</t>
  </si>
  <si>
    <t>Operator Review</t>
  </si>
  <si>
    <t>Conslidated Comments</t>
  </si>
  <si>
    <t>100% Interior Schematic Design
(Hotel and Office Buildings)</t>
  </si>
  <si>
    <t>Mockup Package</t>
  </si>
  <si>
    <t>Local Design Tender</t>
  </si>
  <si>
    <t>Tender to Assign Consultant</t>
  </si>
  <si>
    <t>Buildings Including ID</t>
  </si>
  <si>
    <t>Commencement date</t>
  </si>
  <si>
    <t>Peer Review (Concept Validation)</t>
  </si>
  <si>
    <t>Schematic Validation</t>
  </si>
  <si>
    <t>Detailed Design 50% &amp; Specialist Consultant (Kitchen, Sauna&amp; ETC..)</t>
  </si>
  <si>
    <t>Detailed Design 100% &amp; Specialist Consultant (Kitchen, Sauna&amp; ETC..)</t>
  </si>
  <si>
    <t>Enabling Package (Skeleton Package)</t>
  </si>
  <si>
    <t>VO With YBA</t>
  </si>
  <si>
    <t>100% Schematic Design (Grading Package)</t>
  </si>
  <si>
    <t>Grading Package</t>
  </si>
  <si>
    <t>Hap Review</t>
  </si>
  <si>
    <t>VO With Sites</t>
  </si>
  <si>
    <t xml:space="preserve">50% Schematic </t>
  </si>
  <si>
    <t>100% Schematic</t>
  </si>
  <si>
    <t>Mockup Tender Process</t>
  </si>
  <si>
    <t>Contractor Awarding</t>
  </si>
  <si>
    <t>Earth Work Contractor Awarding</t>
  </si>
  <si>
    <t>Tender Process for Enabling package</t>
  </si>
  <si>
    <t>Authorities Issuance</t>
  </si>
  <si>
    <t>Rough Grading and Earth Work</t>
  </si>
  <si>
    <t>Touristic Licenses</t>
  </si>
  <si>
    <t>Construction</t>
  </si>
  <si>
    <t>Mockup Construction</t>
  </si>
  <si>
    <t>Earth Work &amp; Rough Grading</t>
  </si>
  <si>
    <t>Engineering and Mobilization</t>
  </si>
  <si>
    <t>Construction of Enabling Package (Skeleton &amp; Podium Package)</t>
  </si>
  <si>
    <t>Buildings Construction (Arch + MEP)</t>
  </si>
  <si>
    <t>Roads</t>
  </si>
  <si>
    <t>Long Lead Items Procurement</t>
  </si>
  <si>
    <t xml:space="preserve">Hotel Opertional Licenses </t>
  </si>
  <si>
    <t>Compliance with Civil Defense Requirements</t>
  </si>
  <si>
    <t>Security Authorities</t>
  </si>
  <si>
    <t>Hotel Soft Openeing</t>
  </si>
  <si>
    <t>Soft Openeing</t>
  </si>
  <si>
    <t>Parcel 15</t>
  </si>
  <si>
    <t>Masterplan - Detailed Design</t>
  </si>
  <si>
    <t>Revised Package</t>
  </si>
  <si>
    <t>Schematic Submission</t>
  </si>
  <si>
    <t>DD Submission</t>
  </si>
  <si>
    <t>IFT Submission</t>
  </si>
  <si>
    <t>IFC Submission</t>
  </si>
  <si>
    <t>Buffer Zone</t>
  </si>
  <si>
    <t>Landscape - SITES</t>
  </si>
  <si>
    <t>Baseplan</t>
  </si>
  <si>
    <t>Boulevard</t>
  </si>
  <si>
    <t>100% IFT Phase.01</t>
  </si>
  <si>
    <t>100% IFT Phase.02</t>
  </si>
  <si>
    <t>Hoda / Ayman</t>
  </si>
  <si>
    <t>Main Valley</t>
  </si>
  <si>
    <t>Detailed Design</t>
  </si>
  <si>
    <t>Parcel 11</t>
  </si>
  <si>
    <t>100 % Tender Package</t>
  </si>
  <si>
    <t>Parcel 12</t>
  </si>
  <si>
    <t>Landscape (Signage)</t>
  </si>
  <si>
    <t>Parcel 14</t>
  </si>
  <si>
    <t>CRI</t>
  </si>
  <si>
    <t>HPT</t>
  </si>
  <si>
    <t>Ph.01&amp;02</t>
  </si>
  <si>
    <t>Villas All 6 types - Phase #1&amp;2</t>
  </si>
  <si>
    <t>Concept validation</t>
  </si>
  <si>
    <t>Schematic Design</t>
  </si>
  <si>
    <t>Cost Plan for Schematic Design</t>
  </si>
  <si>
    <t>Detailed Design 50%</t>
  </si>
  <si>
    <t>Detailed Design 100%</t>
  </si>
  <si>
    <t>Cost Plan for Detailed Design</t>
  </si>
  <si>
    <t>Mineral licenses</t>
  </si>
  <si>
    <t>Mineral licenses Duration</t>
  </si>
  <si>
    <t>Mineral licenses Renew</t>
  </si>
  <si>
    <t>Master Plan Schematic Design Validation</t>
  </si>
  <si>
    <t>Master Plan Detailed Design 50%</t>
  </si>
  <si>
    <t>Master Plan Detailed Design 100%</t>
  </si>
  <si>
    <t>Ph.03&amp;04</t>
  </si>
  <si>
    <t>Villas All 7 types-Phase#03&amp;4</t>
  </si>
  <si>
    <t>Permits DWGs</t>
  </si>
  <si>
    <t>Permits Issuance - Ph.03, 04</t>
  </si>
  <si>
    <t>Egyptian Institution for Construction Deccenial Liability Insurance</t>
  </si>
  <si>
    <t>Ph. 01, 02, 03 &amp; 04</t>
  </si>
  <si>
    <t>Interior Ph. 01, 02, 03 &amp; 04</t>
  </si>
  <si>
    <t>Osama / Lina</t>
  </si>
  <si>
    <t>Master Planning</t>
  </si>
  <si>
    <t>IFT For Plot Fences</t>
  </si>
  <si>
    <t>Overall Infrastructure &amp; roads (Main Utilities)</t>
  </si>
  <si>
    <t>Concept Design + (BODR)</t>
  </si>
  <si>
    <t>Infrastructure IFP</t>
  </si>
  <si>
    <t>HAP Review + Auth. Approval</t>
  </si>
  <si>
    <t>Infrastructure IFT + Permit Drawings</t>
  </si>
  <si>
    <t>Midar Approval'</t>
  </si>
  <si>
    <t>Valleys</t>
  </si>
  <si>
    <t>Overall Landscape</t>
  </si>
  <si>
    <t>Receive Master Plan after review</t>
  </si>
  <si>
    <t>Landscape Concept</t>
  </si>
  <si>
    <t>50% Schematic</t>
  </si>
  <si>
    <t>100% Schematic Development</t>
  </si>
  <si>
    <t>Ph.01</t>
  </si>
  <si>
    <t>Phase 01 Landscape</t>
  </si>
  <si>
    <t>Ph.02</t>
  </si>
  <si>
    <t>Phase 02 Landscape</t>
  </si>
  <si>
    <t>Ph.03</t>
  </si>
  <si>
    <t>Phase 03 Landscape</t>
  </si>
  <si>
    <t>Ph.04</t>
  </si>
  <si>
    <t>Phase 04 Landscape</t>
  </si>
  <si>
    <t>FM Building</t>
  </si>
  <si>
    <t>Buildings - FM</t>
  </si>
  <si>
    <t>KMA</t>
  </si>
  <si>
    <t>Peer Review - 100% DD</t>
  </si>
  <si>
    <t>KH Studio</t>
  </si>
  <si>
    <t>Peer Review - TD</t>
  </si>
  <si>
    <t>Permits Issuance - FM</t>
  </si>
  <si>
    <t>Ministerial decree-MIDAR</t>
  </si>
  <si>
    <t>Interior - FM</t>
  </si>
  <si>
    <t xml:space="preserve">Commencement </t>
  </si>
  <si>
    <t>Clubhouse</t>
  </si>
  <si>
    <t>Clubhouse - Building (Include ID)</t>
  </si>
  <si>
    <t>Dina / Wahby</t>
  </si>
  <si>
    <t>Marketing Materials &amp; Renders</t>
  </si>
  <si>
    <t>Tender Services</t>
  </si>
  <si>
    <t>DRJ</t>
  </si>
  <si>
    <t>Park 226</t>
  </si>
  <si>
    <t>Permits Issuance - Park 226</t>
  </si>
  <si>
    <t>Master Planning  - Park 226</t>
  </si>
  <si>
    <t xml:space="preserve">Master Plan Concept </t>
  </si>
  <si>
    <t>Done</t>
  </si>
  <si>
    <t>MD Approval 1st round</t>
  </si>
  <si>
    <t xml:space="preserve">Master Plan Schematic Design </t>
  </si>
  <si>
    <t>Master Plan Detailed Design (Staking and Levels)</t>
  </si>
  <si>
    <t>MD Preparation</t>
  </si>
  <si>
    <t>MD Approval Updated 2nd Round (mostkbal comments)</t>
  </si>
  <si>
    <t>MD Approval Updated 2nd Round</t>
  </si>
  <si>
    <t>Infrastructure &amp; roads - Park 226</t>
  </si>
  <si>
    <t>Detailed Design Redesign</t>
  </si>
  <si>
    <t>Mostakbal city approval</t>
  </si>
  <si>
    <t>Mostakbal city approval (Rev.02 - Due to Kioshks)</t>
  </si>
  <si>
    <t>Infrastructure IFT</t>
  </si>
  <si>
    <t>External Works - Park 226</t>
  </si>
  <si>
    <t>Landscape Concept Review &amp; validation</t>
  </si>
  <si>
    <t>Linear Park</t>
  </si>
  <si>
    <t>Landscape - Linear Park</t>
  </si>
  <si>
    <t>Tender Package - (Phase.01)</t>
  </si>
  <si>
    <t>HAP Review - TD (Phase.01)</t>
  </si>
  <si>
    <t>Tender Package - (Phase.02)</t>
  </si>
  <si>
    <t>HAP Review - TD (Phase.02)</t>
  </si>
  <si>
    <t>Community Club</t>
  </si>
  <si>
    <t>Masterplan, Landscape, Infra, Blgds (Include ID)</t>
  </si>
  <si>
    <t>Ph.01 Community Club</t>
  </si>
  <si>
    <t>Phase 01 (Playground and Changing Room)</t>
  </si>
  <si>
    <t>HAP Review and Consultant Validation</t>
  </si>
  <si>
    <t>Permits Issuance - Ph.01 Community Club</t>
  </si>
  <si>
    <t>Ministerial Decree - Club</t>
  </si>
  <si>
    <t>Ph.02 Community Club</t>
  </si>
  <si>
    <t>Phase 02 Community Club</t>
  </si>
  <si>
    <t>100% Concept Design - Gym Building</t>
  </si>
  <si>
    <t>Osama / Ramadan</t>
  </si>
  <si>
    <t>HAP Review - 100% CD Gym Building</t>
  </si>
  <si>
    <t>100% Schematic Design - Gym Building</t>
  </si>
  <si>
    <t>HAP Review - 100% SD Gym Building</t>
  </si>
  <si>
    <t>Permits Issuance Ph.02 Community Club</t>
  </si>
  <si>
    <t>Ministerial decree - Club</t>
  </si>
  <si>
    <t>Commercial</t>
  </si>
  <si>
    <t>Buildings - Commercial</t>
  </si>
  <si>
    <t>Mostafa Abdel-Aziz</t>
  </si>
  <si>
    <t>Price Negotiations and Contract</t>
  </si>
  <si>
    <t>Kick-off</t>
  </si>
  <si>
    <t>Pre-Concept Design</t>
  </si>
  <si>
    <t>Raeef Fahmy</t>
  </si>
  <si>
    <t>Colored Plans (Marketing Material)</t>
  </si>
  <si>
    <t>Plans Annexes (Marketing Materials)</t>
  </si>
  <si>
    <t>Master Plan - Commercial</t>
  </si>
  <si>
    <t>MP Annexes (Marketing Materials)</t>
  </si>
  <si>
    <t>Ministerial decree Package</t>
  </si>
  <si>
    <t>Landscape - Commercial</t>
  </si>
  <si>
    <t>Colored MP (Marketing Materials)</t>
  </si>
  <si>
    <t>Authorities Issuance - Commercial</t>
  </si>
  <si>
    <t xml:space="preserve">DRJ </t>
  </si>
  <si>
    <t>Ministerial Decrees</t>
  </si>
  <si>
    <t>Phase-01 (1A, 2B, 2A, 2E &amp; 2D right)</t>
  </si>
  <si>
    <t>Phase-02 (Villas + Towers)</t>
  </si>
  <si>
    <t>Phase-03 (Commercial)</t>
  </si>
  <si>
    <t>General Landscape ( Concept To Schematic)</t>
  </si>
  <si>
    <t>50% Concept Design Review (International Consultant)</t>
  </si>
  <si>
    <t>Cracnell</t>
  </si>
  <si>
    <t>100% Concept Design Review (International Consultant)</t>
  </si>
  <si>
    <t>50% Schematic Design For Central Park (International Consultant)</t>
  </si>
  <si>
    <t>HAP Review For Centeral Park</t>
  </si>
  <si>
    <t>50% Schematic Design For Remaining Project (International Consultant)</t>
  </si>
  <si>
    <t>HAP Review For Remaining Project</t>
  </si>
  <si>
    <t>100% Schematic Design For Central Park (International Consultant)</t>
  </si>
  <si>
    <t>HAP Review For Central Park</t>
  </si>
  <si>
    <t>100% Schematic Design for Remaining Project (International Consultant)</t>
  </si>
  <si>
    <t>Landscape Park Central (1B, 2C) &amp; Teracces (1A) &amp; Great Lawn (2A, 2B) &amp; (2E, 2D)</t>
  </si>
  <si>
    <t>50% Schematic Validation For Central Park</t>
  </si>
  <si>
    <t>50% Schematic Validation For Remaining Project</t>
  </si>
  <si>
    <t>100% Schematic Validation For Central Park</t>
  </si>
  <si>
    <t>100% Schematic Validation For Remaining Project</t>
  </si>
  <si>
    <t>Centeral Park</t>
  </si>
  <si>
    <t>Landscape Centeral Park Including Courts</t>
  </si>
  <si>
    <t>Tender Package For Central Park</t>
  </si>
  <si>
    <t>RW - Centeral Park</t>
  </si>
  <si>
    <t>Retaining Walls</t>
  </si>
  <si>
    <t>100% Schematic Verification</t>
  </si>
  <si>
    <t>CH - Centeral Park</t>
  </si>
  <si>
    <t>Club House Park Central</t>
  </si>
  <si>
    <t>Schematic Verification</t>
  </si>
  <si>
    <t>Kiosks - Centeral Park</t>
  </si>
  <si>
    <t>F&amp;B Kiosks</t>
  </si>
  <si>
    <t>Ph - 1A</t>
  </si>
  <si>
    <t>Apartment Buildings Terraces ( 3 Prototypes ) PHASE 1-A ( Core&amp;shell Scope )</t>
  </si>
  <si>
    <t>Ashraf / Qadry</t>
  </si>
  <si>
    <t>Authorities Issuance 1-A</t>
  </si>
  <si>
    <t>Ministerial decree-Midar</t>
  </si>
  <si>
    <t>Plot Fences 1-A</t>
  </si>
  <si>
    <t>Fit-Out ( 3 Prototypes ) PHASE 1-A</t>
  </si>
  <si>
    <t>Mood Board has been considered from SLR Concept</t>
  </si>
  <si>
    <t>BOQ Preperation</t>
  </si>
  <si>
    <t>Master Planning (PHASE - 1A) Apartment Buildings Terraces</t>
  </si>
  <si>
    <t>100% Concept Design Review</t>
  </si>
  <si>
    <t>100% Schematic Design &amp; BODR</t>
  </si>
  <si>
    <t>Ministerial Decree Package</t>
  </si>
  <si>
    <t>Infrastructure &amp; roads (PHASE - 1A) Apartment Buildings Terraces</t>
  </si>
  <si>
    <t>MIDAR Approval - 1A</t>
  </si>
  <si>
    <t>Ashraf / Qadry / Afifi</t>
  </si>
  <si>
    <t>IFT Submission After Midar Comments</t>
  </si>
  <si>
    <t>Ph - 1A Ancillary Buildings</t>
  </si>
  <si>
    <t>Authorities Issuance (Ancillary Buildings)</t>
  </si>
  <si>
    <t>Construction licenses- Ancillary Buildings Permits</t>
  </si>
  <si>
    <t>Landscape Phase 1-A (Teracces)</t>
  </si>
  <si>
    <t>Tender Package - 1A Left</t>
  </si>
  <si>
    <t>HAP Review - TD 1A Left</t>
  </si>
  <si>
    <t>Tender Package - 1A Right</t>
  </si>
  <si>
    <t>HAP Review - TD 1A Right</t>
  </si>
  <si>
    <t>Ph - 2A 2B</t>
  </si>
  <si>
    <t>2 buildings of the great lawn (Phase - 2A 2B) &amp; Teracce 2</t>
  </si>
  <si>
    <t xml:space="preserve">HAP &amp; Consultant Review - 100% Concept Verification </t>
  </si>
  <si>
    <t>Structure Peer Review - 100% DD</t>
  </si>
  <si>
    <t>Tender Package (Great Lawn B1&amp;B2)</t>
  </si>
  <si>
    <t>HAP Review - TD (Great Lawn B1&amp;B2)</t>
  </si>
  <si>
    <t>Design Development  - Teracce 01&amp;02</t>
  </si>
  <si>
    <t>HAP Review - DD Teracce 01&amp;02</t>
  </si>
  <si>
    <t>Tender Package - Teracce 01&amp;02</t>
  </si>
  <si>
    <t>HAP Review - TD Teracce 01&amp;02</t>
  </si>
  <si>
    <t>Master Planning (PHASE - Buildings 2A 2B) Great Lawn</t>
  </si>
  <si>
    <t>50% Concept Design Review</t>
  </si>
  <si>
    <t>Infrastructure &amp; roads (PHASE - Buildings 2A 2B) Great Lawn</t>
  </si>
  <si>
    <t>MIDAR Approval</t>
  </si>
  <si>
    <t>Landscape Phase 2A &amp; 2B Great Lawn</t>
  </si>
  <si>
    <t>Tender Package - 2B</t>
  </si>
  <si>
    <t>HAP Review - TD 2B</t>
  </si>
  <si>
    <t>Tender Package - 2A</t>
  </si>
  <si>
    <t>HAP Review - TD 2A</t>
  </si>
  <si>
    <t>Ph - 1B</t>
  </si>
  <si>
    <t>Phase-1B Standalone Villas ( 7 Prototypes Twins&amp;Towns &amp;Standalone)</t>
  </si>
  <si>
    <t>Ph - 1B 2C</t>
  </si>
  <si>
    <t xml:space="preserve">Tender to assign Consultant </t>
  </si>
  <si>
    <t xml:space="preserve">Concept Verification </t>
  </si>
  <si>
    <t>Permits Drawings - 1B</t>
  </si>
  <si>
    <t>Structure Peer Review - TD</t>
  </si>
  <si>
    <t>BLDGs Construction Tender</t>
  </si>
  <si>
    <t>Ph - 1B 2C &amp; Towers</t>
  </si>
  <si>
    <t>Ministerial decree NUCA (Villas)</t>
  </si>
  <si>
    <t>Master Planning (PHASE - Villas 1B &amp; 2C)</t>
  </si>
  <si>
    <t>Ministerial Decree Package - Phase 2 (Villas)</t>
  </si>
  <si>
    <t>Updated Ministerial Decree Package - Phase 2 (Villas), Phase 2E &amp; 2D</t>
  </si>
  <si>
    <t>Infrastructure &amp; roads (PHASE - Villas 1B &amp; 2C)</t>
  </si>
  <si>
    <t>Midar Approval - 1B &amp; 2C</t>
  </si>
  <si>
    <t>Landscape Phase 1-B Villas</t>
  </si>
  <si>
    <t>Ph - 2C</t>
  </si>
  <si>
    <t>Landscape Phase 2-C Villas</t>
  </si>
  <si>
    <t>External Fences and Gates</t>
  </si>
  <si>
    <t>100% Concept Design (International Consultant)</t>
  </si>
  <si>
    <t xml:space="preserve">Midar Approval </t>
  </si>
  <si>
    <t>100% Schematic Design  (International Consultant) VO</t>
  </si>
  <si>
    <t>HAP Review - SV</t>
  </si>
  <si>
    <t xml:space="preserve">Permits Drawings </t>
  </si>
  <si>
    <t>Authorities Issuance (Fences and Gates)</t>
  </si>
  <si>
    <t>Construction licenses- Fences Buildings Permits</t>
  </si>
  <si>
    <t>Ph - 2D 2E</t>
  </si>
  <si>
    <t>Master Planning (PHASE - Apartments 2D 2E)</t>
  </si>
  <si>
    <t>Infrastructure &amp; roads (PHASE - Apartments 2D 2E)</t>
  </si>
  <si>
    <t>Landscape Phase 2E &amp; 2D Apartments</t>
  </si>
  <si>
    <t>Tender Package - 2E</t>
  </si>
  <si>
    <t>HAP Review - TD 2E</t>
  </si>
  <si>
    <t>Tender Package - 2D</t>
  </si>
  <si>
    <t>HAP Review - TD 2D</t>
  </si>
  <si>
    <t>Commercial Buildings</t>
  </si>
  <si>
    <t>Submission of Concept Design - 50%</t>
  </si>
  <si>
    <t>Submission of Concept Design - 100%</t>
  </si>
  <si>
    <t>Genral</t>
  </si>
  <si>
    <t>Overall Disciplines</t>
  </si>
  <si>
    <t xml:space="preserve">RFP - Overall Disciplines </t>
  </si>
  <si>
    <t>Tender to assign consultant  - Overall Disciplines</t>
  </si>
  <si>
    <t>BODR</t>
  </si>
  <si>
    <t>HAP Review - BODR</t>
  </si>
  <si>
    <t>Two types (B1&amp;B2)</t>
  </si>
  <si>
    <t>Structure IFC PKG</t>
  </si>
  <si>
    <t>100% Detailed Design (Finishes)</t>
  </si>
  <si>
    <t>Tender Package (Full Fit-Out PKGS)</t>
  </si>
  <si>
    <t>One type (B3)</t>
  </si>
  <si>
    <t>Structure IFT PKG</t>
  </si>
  <si>
    <t>Tender Package ( Full Fit-Out PKG)</t>
  </si>
  <si>
    <t>TDA Permits</t>
  </si>
  <si>
    <t>Crystal Lagoon</t>
  </si>
  <si>
    <t>Zero Geometry</t>
  </si>
  <si>
    <t>Tark</t>
  </si>
  <si>
    <t>HAP Review - Zero Geometry</t>
  </si>
  <si>
    <t>Design Criteria Package - Crystal Lagoon</t>
  </si>
  <si>
    <t xml:space="preserve">RFP - Crystal Lagoon </t>
  </si>
  <si>
    <t>Tender to assign consultant  - Crystal Lagoon</t>
  </si>
  <si>
    <t xml:space="preserve">Full Package Design </t>
  </si>
  <si>
    <t>HAP + Crystal Lagoon Review</t>
  </si>
  <si>
    <t>HAP Review - 50% DD + Crystal Lagoon Review</t>
  </si>
  <si>
    <t>HAP Review - 100% DD + Crystal Lagoon Review</t>
  </si>
  <si>
    <t>HAP Review - TD + Crystal Lagoon Review</t>
  </si>
  <si>
    <t>Landscape  DD, IFT &amp; IFC</t>
  </si>
  <si>
    <t>IFT ( Modifications regarding Kiosks)</t>
  </si>
  <si>
    <t>SLW NOA</t>
  </si>
  <si>
    <t>NOA Masterplan</t>
  </si>
  <si>
    <t>Final NOA MP Direction From Development</t>
  </si>
  <si>
    <t>Osama / Ahmed Ramadan</t>
  </si>
  <si>
    <t>Shaker &amp; (MY&amp;A)</t>
  </si>
  <si>
    <t xml:space="preserve">VO With Shaker </t>
  </si>
  <si>
    <t>Nour  /  Ali</t>
  </si>
  <si>
    <t>100% Schematic Design (Icluding Grading Levels)</t>
  </si>
  <si>
    <t>Ministerial Decree Package (For NOA)</t>
  </si>
  <si>
    <t>NOA Infra &amp; Roads</t>
  </si>
  <si>
    <t>Kick-off - NOA Infra &amp; Roads</t>
  </si>
  <si>
    <t>Retaining walls</t>
  </si>
  <si>
    <t>NOA RWs</t>
  </si>
  <si>
    <t xml:space="preserve"> NOA RWs Early Package</t>
  </si>
  <si>
    <t>Crancnell</t>
  </si>
  <si>
    <t>HAP Review - EP</t>
  </si>
  <si>
    <t>NOA Landscape</t>
  </si>
  <si>
    <t>50% Concept Design (Including NOA RWs)</t>
  </si>
  <si>
    <t xml:space="preserve">Nour  /  Ali </t>
  </si>
  <si>
    <t>Twain Apartments-Phase 5</t>
  </si>
  <si>
    <t>Delay in Commencing Schematic Design</t>
  </si>
  <si>
    <t>50% Detailed Design (Incl. Permits PKG)</t>
  </si>
  <si>
    <t>Structure Peer Review</t>
  </si>
  <si>
    <t>Tender Package (Flexi Finish)</t>
  </si>
  <si>
    <t>HAP Review - TD (Flexi Finish)</t>
  </si>
  <si>
    <t>Tender Package ( Fully Finished)</t>
  </si>
  <si>
    <t>Authorities Twain Apartments-Phase 5</t>
  </si>
  <si>
    <t>MD Approval  2 [Phases 5A, 5B, 5C-1, 6A]</t>
  </si>
  <si>
    <t>Civil Defense  /  Decenial Liability [Phases 5A, 5B, 5C-1, 6A]</t>
  </si>
  <si>
    <t>Permits Approval  [Phases 5A, 5B, 5C-1, 6A]</t>
  </si>
  <si>
    <t>Mineral License</t>
  </si>
  <si>
    <t>One Story Villas-Ph5</t>
  </si>
  <si>
    <t>100% Concept Design (Arch.)</t>
  </si>
  <si>
    <t>HAP Review - 100% CD (Arch)</t>
  </si>
  <si>
    <t>100% Concept Design (Str. &amp; MEP)</t>
  </si>
  <si>
    <t>HAP Review - 100% CD (Str. &amp; MEP)</t>
  </si>
  <si>
    <t>Postponing Design for Workload Purpose</t>
  </si>
  <si>
    <t>Revised Tender Package (Regarding BOQs Splitting)</t>
  </si>
  <si>
    <t>Authorities One Story Villas-Ph5</t>
  </si>
  <si>
    <t>Permits Approval [Phases 5A, 5B, 5C-1, 6A]</t>
  </si>
  <si>
    <t>Single Story Villas (E &amp; D) -Ph6</t>
  </si>
  <si>
    <t>Structure Peer Review (ABCG)</t>
  </si>
  <si>
    <t>Tender Package (+Permits DWGs)</t>
  </si>
  <si>
    <t>Authorities - Single Story Villas (E &amp; D) -Ph6</t>
  </si>
  <si>
    <t>MD Approval  3 [Phases 05-C, 06]</t>
  </si>
  <si>
    <t>Civil Defense  /  Decenial Liability [Phases 05-C, 06]</t>
  </si>
  <si>
    <t>Permits Approval [Phases 05-C, 06]</t>
  </si>
  <si>
    <t>Type A Shimmers</t>
  </si>
  <si>
    <t>100% Concept Design (Arch.) VNour  /  Alidation</t>
  </si>
  <si>
    <t>Delay in Commencing Remaining Design</t>
  </si>
  <si>
    <t>Tender Package (Incl. Permits PKG) - For Flexi Finish</t>
  </si>
  <si>
    <t>Tender Package (Incl. Permits PKG) For Fully Finished</t>
  </si>
  <si>
    <t>Type D Shimmers</t>
  </si>
  <si>
    <t>100% Detailed Design (Incl. Permits PKG)</t>
  </si>
  <si>
    <t>Authorities - Shimmers</t>
  </si>
  <si>
    <t>Solos</t>
  </si>
  <si>
    <t>Delay in Commencing Concept Design</t>
  </si>
  <si>
    <t>100% Concept Design (Plans and Renders)</t>
  </si>
  <si>
    <t>100% Concept Design - BODR</t>
  </si>
  <si>
    <t>HAP Review - 100% CD BODR</t>
  </si>
  <si>
    <t>Authorities Solos</t>
  </si>
  <si>
    <t>Cabannas</t>
  </si>
  <si>
    <t>RFP - Cabannas</t>
  </si>
  <si>
    <t>Tender to assign consultant  - Cabannas</t>
  </si>
  <si>
    <t>Kick-off - Cabannas</t>
  </si>
  <si>
    <t>Preconcept Design</t>
  </si>
  <si>
    <t>Cost Plan - PC</t>
  </si>
  <si>
    <t>Mariam</t>
  </si>
  <si>
    <t>Ahmed Ragheb</t>
  </si>
  <si>
    <t>BODR &amp; Design  validation</t>
  </si>
  <si>
    <t>50% Detailed Design - Inprogress PKG</t>
  </si>
  <si>
    <t>HAP Review - 50% DD inprogress</t>
  </si>
  <si>
    <t>50% Detailed Design  - Final PKG</t>
  </si>
  <si>
    <t>HAP Review - 50% DD Final</t>
  </si>
  <si>
    <t>100% Detailed Design - Inprogress PKG</t>
  </si>
  <si>
    <t>HAP Review - 100% DD Inprogress</t>
  </si>
  <si>
    <t>100% Detailed Design - Final PKG</t>
  </si>
  <si>
    <t>HAP Review - 100% DD Final</t>
  </si>
  <si>
    <t>Authorities -Cabannas</t>
  </si>
  <si>
    <t xml:space="preserve">MD Approval  3 </t>
  </si>
  <si>
    <t xml:space="preserve">Civil Defense  /  Decenial Liability </t>
  </si>
  <si>
    <t xml:space="preserve">Permits Approval </t>
  </si>
  <si>
    <t xml:space="preserve">Mineral License </t>
  </si>
  <si>
    <t>Lagoon</t>
  </si>
  <si>
    <t xml:space="preserve">Tender to assign Water wells Cunslutent </t>
  </si>
  <si>
    <t>Tender to assign Cunslutent - Lagoon</t>
  </si>
  <si>
    <t xml:space="preserve">100% Schematic Design Verification </t>
  </si>
  <si>
    <t>RFP And Contract Signing</t>
  </si>
  <si>
    <t>Eyad</t>
  </si>
  <si>
    <t>Local Consultant</t>
  </si>
  <si>
    <t>Ghoneimi</t>
  </si>
  <si>
    <t>Eyad / Osama</t>
  </si>
  <si>
    <t>Cost Plan - 50% SD</t>
  </si>
  <si>
    <t>HAP Review - MD</t>
  </si>
  <si>
    <t>HAP Review - MP</t>
  </si>
  <si>
    <t>100% Detailed Design (Including BOQs)</t>
  </si>
  <si>
    <t>Masterplan - Hotel</t>
  </si>
  <si>
    <t>Landscape - Hotel</t>
  </si>
  <si>
    <t>VO With Cracknell</t>
  </si>
  <si>
    <t>Roshdy</t>
  </si>
  <si>
    <t>Interior - Hotel</t>
  </si>
  <si>
    <t>Authorities Issuance - Hotel</t>
  </si>
  <si>
    <t>Master Plan - Boomerang</t>
  </si>
  <si>
    <t>Internation Consultant</t>
  </si>
  <si>
    <t>100% Conceptt</t>
  </si>
  <si>
    <t xml:space="preserve">Launch Material </t>
  </si>
  <si>
    <t>Landscape  - Boomerang</t>
  </si>
  <si>
    <t>Kickoff</t>
  </si>
  <si>
    <t>50% Schematic Deisgn</t>
  </si>
  <si>
    <t xml:space="preserve">HAP REVIEW  /  Cost Verification </t>
  </si>
  <si>
    <t>Buildings - Boomerang</t>
  </si>
  <si>
    <t>Launch Materials</t>
  </si>
  <si>
    <t>50% Schemtic Design (Arch)</t>
  </si>
  <si>
    <t>50% Schemtic Design (STR &amp; MEP)</t>
  </si>
  <si>
    <t>Interior - Boomerang</t>
  </si>
  <si>
    <t>Signle Source to KH Studio</t>
  </si>
  <si>
    <t>Projects TRACKER Refresh</t>
  </si>
  <si>
    <t xml:space="preserve">Hassan Allam Properties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</si>
</sst>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;[Red]\-0"/>
    <numFmt numFmtId="166" formatCode="yyyy\-mm\-dd\ h:mm:ss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26"/>
      <color rgb="FFFFFFFF"/>
      <name val="Lato"/>
      <family val="2"/>
    </font>
    <font>
      <u/>
      <sz val="10"/>
      <color theme="10"/>
      <name val="Arial"/>
      <family val="2"/>
    </font>
    <font>
      <b/>
      <sz val="10"/>
      <color rgb="FFFFFFFF"/>
      <name val="Lato"/>
      <family val="2"/>
    </font>
    <font>
      <i/>
      <sz val="9"/>
      <color rgb="FF6E7FA3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223A5E"/>
      </patternFill>
    </fill>
    <fill>
      <patternFill patternType="solid">
        <fgColor rgb="FF2E6DA4"/>
        <bgColor rgb="FF4F81BD"/>
      </patternFill>
    </fill>
    <fill>
      <patternFill patternType="solid">
        <fgColor rgb="FF0B1B3A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142A52"/>
        <bgColor indexed="64"/>
      </patternFill>
    </fill>
  </fills>
  <borders count="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22407A"/>
      </left>
      <right/>
      <top style="thin">
        <color rgb="FF22407A"/>
      </top>
      <bottom style="medium">
        <color rgb="FFC9A227"/>
      </bottom>
      <diagonal/>
    </border>
    <border>
      <left/>
      <right style="thin">
        <color rgb="FF22407A"/>
      </right>
      <top style="thin">
        <color rgb="FF22407A"/>
      </top>
      <bottom style="medium">
        <color rgb="FFC9A227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left" vertical="center" wrapText="1"/>
    </xf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5" fillId="4" borderId="0" xfId="1" applyFill="1"/>
    <xf numFmtId="0" fontId="5" fillId="0" borderId="0" xfId="1"/>
    <xf numFmtId="0" fontId="6" fillId="0" borderId="0" xfId="2" applyAlignment="1">
      <alignment wrapText="1"/>
    </xf>
    <xf numFmtId="0" fontId="5" fillId="5" borderId="0" xfId="1" applyFill="1"/>
    <xf numFmtId="0" fontId="2" fillId="0" borderId="0" xfId="0" applyFont="1"/>
    <xf numFmtId="0" fontId="0" fillId="0" borderId="0" xfId="0"/>
    <xf numFmtId="0" fontId="10" fillId="4" borderId="0" xfId="1" applyFont="1" applyFill="1" applyAlignment="1">
      <alignment horizontal="center" vertical="center"/>
    </xf>
    <xf numFmtId="0" fontId="5" fillId="4" borderId="0" xfId="1" applyFill="1"/>
    <xf numFmtId="0" fontId="7" fillId="4" borderId="0" xfId="1" applyFont="1" applyFill="1" applyAlignment="1">
      <alignment horizontal="center" vertical="center"/>
    </xf>
    <xf numFmtId="0" fontId="9" fillId="6" borderId="2" xfId="3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 xr:uid="{6C9BCF7F-3C15-46B3-A1FB-654E157CABA9}"/>
    <cellStyle name="Normal 5" xfId="2" xr:uid="{E0C64C13-FA63-4813-9AEA-408A20B8E768}"/>
  </cellStyles>
  <dxfs count="198"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ont>
        <b/>
        <sz val="9"/>
        <color rgb="FFC62828"/>
        <name val="Arial"/>
        <charset val="1"/>
      </font>
      <fill>
        <patternFill>
          <bgColor rgb="FFF6C9C9"/>
        </patternFill>
      </fill>
    </dxf>
    <dxf>
      <font>
        <b/>
        <sz val="9"/>
        <color rgb="FFB26A00"/>
        <name val="Arial"/>
        <charset val="1"/>
      </font>
      <fill>
        <patternFill>
          <bgColor rgb="FFFFE7A8"/>
        </patternFill>
      </fill>
    </dxf>
    <dxf>
      <font>
        <b/>
        <sz val="9"/>
        <color rgb="FF2E7D32"/>
        <name val="Arial"/>
        <charset val="1"/>
      </font>
      <fill>
        <patternFill>
          <bgColor rgb="FFC8E6C9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ont>
        <color rgb="FF3B3B3B"/>
      </font>
      <fill>
        <patternFill patternType="solid">
          <fgColor indexed="64"/>
          <bgColor rgb="FFD6DCE4"/>
        </patternFill>
      </fill>
    </dxf>
    <dxf>
      <font>
        <color rgb="FF843C0C"/>
      </font>
      <fill>
        <patternFill patternType="solid">
          <fgColor indexed="64"/>
          <bgColor rgb="FFF4B183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174173</xdr:colOff>
      <xdr:row>0</xdr:row>
      <xdr:rowOff>87085</xdr:rowOff>
    </xdr:from>
    <xdr:to>
      <xdr:col>18</xdr:col>
      <xdr:colOff>294732</xdr:colOff>
      <xdr:row>11</xdr:row>
      <xdr:rowOff>128463</xdr:rowOff>
    </xdr:to>
    <xdr:pic>
      <xdr:nvPicPr>
        <xdr:cNvPr id="2" name="Picture 1" descr="Hassan Allam Properties - Pioneer Property">
          <a:extLst>
            <a:ext uri="{FF2B5EF4-FFF2-40B4-BE49-F238E27FC236}">
              <a16:creationId xmlns:a16="http://schemas.microsoft.com/office/drawing/2014/main" id="{EDA27948-989E-4ADA-A9F8-6294F83B5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63" y="88990"/>
          <a:ext cx="5995579" cy="2533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32657</xdr:colOff>
      <xdr:row>18</xdr:row>
      <xdr:rowOff>54427</xdr:rowOff>
    </xdr:from>
    <xdr:to>
      <xdr:col>7</xdr:col>
      <xdr:colOff>685800</xdr:colOff>
      <xdr:row>18</xdr:row>
      <xdr:rowOff>293913</xdr:rowOff>
    </xdr:to>
    <xdr:sp macro="[0]!RefreshAllData" textlink="">
      <xdr:nvSpPr>
        <xdr:cNvPr id="4" name="TextBox 3">
          <a:extLst>
            <a:ext uri="{FF2B5EF4-FFF2-40B4-BE49-F238E27FC236}">
              <a16:creationId xmlns:a16="http://schemas.microsoft.com/office/drawing/2014/main" id="{DA7F7504-1A38-4FD2-B0BB-E7408FCBF7FF}"/>
            </a:ext>
          </a:extLst>
        </xdr:cNvPr>
        <xdr:cNvSpPr txBox="1"/>
      </xdr:nvSpPr>
      <xdr:spPr>
        <a:xfrm>
          <a:off x="3974102" y="3944437"/>
          <a:ext cx="1359898" cy="233771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t>All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10%20General\02.General%20Forms\8.11.2025.Project,%20Preliminary%20Budget.Rev.00.xlsx" TargetMode="External"/><Relationship Id="rId1" Type="http://schemas.openxmlformats.org/officeDocument/2006/relationships/externalLinkPath" Target="https://haporg-my.sharepoint.com/10%20General/02.General%20Forms/8.11.2025.Project,%20Preliminary%20Budget.Rev.0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tamamm\AppData\Local\Microsoft\Windows\INetCache\Content.Outlook\N0W2XO4U\Park%20Central%20+%20Valleys%20-%20Design%20Programme%20Dashboard%20(5).xlsx" TargetMode="External"/><Relationship Id="rId1" Type="http://schemas.openxmlformats.org/officeDocument/2006/relationships/externalLinkPath" Target="file:///C:\Users\otamamm\AppData\Local\Microsoft\Windows\INetCache\Content.Outlook\N0W2XO4U\Park%20Central%20+%20Valleys%20-%20Design%20Programme%20Dashboard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chedule"/>
      <sheetName val="Budget"/>
      <sheetName val="Duration"/>
      <sheetName val="Benchmark Villas"/>
      <sheetName val="Benchmark BLDG "/>
      <sheetName val="Benchmark Basement-Com"/>
      <sheetName val="Benchmark Com. BLDG"/>
      <sheetName val="Benchmark Retail BLDG"/>
      <sheetName val="Benchmark Basement-BLDG"/>
      <sheetName val="Golf course BD"/>
      <sheetName val="Benchmark-EGP"/>
      <sheetName val="04 Cost Base"/>
      <sheetName val="DDL"/>
      <sheetName val="Public Infra (BD)"/>
      <sheetName val="8.11.2025"/>
    </sheetNames>
    <definedNames>
      <definedName name="End_Bal" refersTo="#REF!"/>
      <definedName name="Header_Row" refersTo="#REF!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East Projects Dashboard"/>
      <sheetName val="CEO Dashboard"/>
      <sheetName val="Development Dashboard"/>
      <sheetName val="Design Dashboard"/>
      <sheetName val="Consultant Load"/>
      <sheetName val="Calc"/>
      <sheetName val="Data"/>
      <sheetName val="Valleys Data"/>
    </sheetNames>
    <sheetDataSet>
      <sheetData sheetId="0">
        <row r="4">
          <cell r="B4">
            <v>46187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CDF0DE-2B6A-4718-9696-41142B1FD24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678b913-01d5-469d-a7db-2167b9e57296&quot;"/>
  </we:properties>
  <we:bindings/>
  <we:snapshot xmlns:r="http://schemas.openxmlformats.org/officeDocument/2006/relationships"/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10AB-0710-47A7-BBF6-58EA75CD921E}">
  <sheetPr codeName="Sheet10">
    <tabColor rgb="FF777777"/>
  </sheetPr>
  <dimension ref="A1:R409"/>
  <sheetViews>
    <sheetView showGridLines="0"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5.109375" bestFit="1" customWidth="1"/>
    <col min="8" max="8" width="16.77734375" customWidth="1"/>
    <col min="9" max="9" width="12" customWidth="1"/>
    <col min="10" max="11" width="8" customWidth="1"/>
    <col min="12" max="13" width="7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661</v>
      </c>
      <c r="B1" s="10"/>
      <c r="C1" s="10"/>
      <c r="D1" s="10"/>
      <c r="E1" s="10"/>
      <c r="F1" s="10"/>
      <c r="G1" s="11">
        <f>+MAX(G4:G2000)</f>
        <v>46531</v>
      </c>
      <c r="H1" s="11">
        <f>+MAX(H4:H2000)</f>
        <v>46567</v>
      </c>
      <c r="I1" s="10"/>
      <c r="J1" s="12">
        <f t="shared" ref="J1" si="0">IF(OR($G1="",$H1=""),"",$H1-$G1)</f>
        <v>36</v>
      </c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140</v>
      </c>
      <c r="B4" s="2" t="s">
        <v>140</v>
      </c>
      <c r="C4" s="3"/>
      <c r="D4" s="3"/>
      <c r="E4" s="2"/>
      <c r="F4" s="2"/>
      <c r="G4" s="5">
        <v>46265</v>
      </c>
      <c r="H4" s="5">
        <v>46301</v>
      </c>
      <c r="I4" s="2"/>
      <c r="J4" s="6">
        <f t="shared" ref="J4:J67" si="1">IF(OR($G4="",$H4=""),"",$H4-$G4)</f>
        <v>36</v>
      </c>
      <c r="K4" s="4" t="str">
        <f t="shared" ref="K4:K67" ca="1" si="2">IF(C4="","",IF(H4="","",IF($I4="completed","-",IF($H4&gt;TODAY(),"No","Yes"))))</f>
        <v/>
      </c>
      <c r="L4" s="7">
        <f>IF(I4="Completed","0",IF($H4="","",$H4-'[2]Read Me'!$B$4))</f>
        <v>114</v>
      </c>
      <c r="M4" s="4" t="str">
        <f>IF($I4="Complete","Green",IF($H4="","Amber",IF($H4&lt;'[2]Read Me'!$B$4,"Red",IF($H4-'[2]Read Me'!$B$4&lt;=21,"Amber","Green"))))</f>
        <v>Green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140</v>
      </c>
      <c r="B5" s="2" t="s">
        <v>140</v>
      </c>
      <c r="C5" s="3" t="s">
        <v>662</v>
      </c>
      <c r="D5" s="3" t="s">
        <v>663</v>
      </c>
      <c r="E5" s="2" t="s">
        <v>664</v>
      </c>
      <c r="F5" s="2" t="s">
        <v>665</v>
      </c>
      <c r="G5" s="5">
        <v>46111</v>
      </c>
      <c r="H5" s="5">
        <v>46111</v>
      </c>
      <c r="I5" s="2" t="s">
        <v>31</v>
      </c>
      <c r="J5" s="6">
        <f t="shared" si="1"/>
        <v>0</v>
      </c>
      <c r="K5" s="4" t="str">
        <f t="shared" ca="1" si="2"/>
        <v>-</v>
      </c>
      <c r="L5" s="7" t="str">
        <f>IF(I5="Completed","0",IF($H5="","",$H5-'[2]Read Me'!$B$4))</f>
        <v>0</v>
      </c>
      <c r="M5" s="4" t="str">
        <f>IF($I5="Complete","Green",IF($H5="","Amber",IF($H5&lt;'[2]Read Me'!$B$4,"Red",IF($H5-'[2]Read Me'!$B$4&lt;=21,"Amber","Green"))))</f>
        <v>Red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140</v>
      </c>
      <c r="B6" s="2" t="s">
        <v>140</v>
      </c>
      <c r="C6" s="3" t="s">
        <v>662</v>
      </c>
      <c r="D6" s="3" t="s">
        <v>666</v>
      </c>
      <c r="E6" s="2" t="s">
        <v>667</v>
      </c>
      <c r="F6" s="2" t="s">
        <v>665</v>
      </c>
      <c r="G6" s="5">
        <v>46125</v>
      </c>
      <c r="H6" s="5">
        <v>46202</v>
      </c>
      <c r="I6" s="2" t="s">
        <v>46</v>
      </c>
      <c r="J6" s="6">
        <f t="shared" si="1"/>
        <v>77</v>
      </c>
      <c r="K6" s="4" t="str">
        <f t="shared" ca="1" si="2"/>
        <v>Yes</v>
      </c>
      <c r="L6" s="7">
        <f>IF(I6="Completed","0",IF($H6="","",$H6-'[2]Read Me'!$B$4))</f>
        <v>15</v>
      </c>
      <c r="M6" s="4" t="str">
        <f>IF($I6="Complete","Green",IF($H6="","Amber",IF($H6&lt;'[2]Read Me'!$B$4,"Red",IF($H6-'[2]Read Me'!$B$4&lt;=21,"Amber","Green"))))</f>
        <v>Amber</v>
      </c>
      <c r="N6" s="3"/>
      <c r="O6" t="str">
        <f>IF($I6&lt;&gt;"Complete",IF(COUNTIFS($A$4:$A5,$A6,$B$4:$B5,$B6,$I$4:$I5,"&lt;&gt;Complete")=0,$A6&amp;"|"&amp;$B6,""),"")</f>
        <v/>
      </c>
      <c r="P6">
        <f ca="1">IF($K6="Yes",COUNTIFS($K$4:$K6,"Yes"),"")</f>
        <v>1</v>
      </c>
      <c r="Q6">
        <f t="shared" ca="1" si="3"/>
        <v>1</v>
      </c>
      <c r="R6">
        <f ca="1">IF($Q6=1,SUM($Q$4:$Q6),"")</f>
        <v>1</v>
      </c>
    </row>
    <row r="7" spans="1:18" ht="33.75" customHeight="1" x14ac:dyDescent="0.3">
      <c r="A7" s="2" t="s">
        <v>140</v>
      </c>
      <c r="B7" s="2" t="s">
        <v>140</v>
      </c>
      <c r="C7" s="3" t="s">
        <v>662</v>
      </c>
      <c r="D7" s="3" t="s">
        <v>668</v>
      </c>
      <c r="E7" s="2" t="s">
        <v>664</v>
      </c>
      <c r="F7" s="2" t="s">
        <v>665</v>
      </c>
      <c r="G7" s="5">
        <v>46153</v>
      </c>
      <c r="H7" s="5">
        <v>46184</v>
      </c>
      <c r="I7" s="2" t="s">
        <v>31</v>
      </c>
      <c r="J7" s="6">
        <f t="shared" si="1"/>
        <v>31</v>
      </c>
      <c r="K7" s="4" t="str">
        <f t="shared" ca="1" si="2"/>
        <v>-</v>
      </c>
      <c r="L7" s="7" t="str">
        <f>IF(I7="Completed","0",IF($H7="","",$H7-'[2]Read Me'!$B$4))</f>
        <v>0</v>
      </c>
      <c r="M7" s="4" t="str">
        <f>IF($I7="Complete","Green",IF($H7="","Amber",IF($H7&lt;'[2]Read Me'!$B$4,"Red",IF($H7-'[2]Read Me'!$B$4&lt;=21,"Amber","Green"))))</f>
        <v>Red</v>
      </c>
      <c r="N7" s="3"/>
      <c r="O7" t="str">
        <f>IF($I7&lt;&gt;"Complete",IF(COUNTIFS($A$4:$A6,$A7,$B$4:$B6,$B7,$I$4:$I6,"&lt;&gt;Complete")=0,$A7&amp;"|"&amp;$B7,""),"")</f>
        <v/>
      </c>
      <c r="P7" t="str">
        <f ca="1">IF($K7="Yes",COUNTIFS($K$4:$K7,"Yes"),"")</f>
        <v/>
      </c>
      <c r="Q7">
        <f t="shared" ca="1" si="3"/>
        <v>0</v>
      </c>
      <c r="R7" t="str">
        <f ca="1">IF($Q7=1,SUM($Q$4:$Q7),"")</f>
        <v/>
      </c>
    </row>
    <row r="8" spans="1:18" ht="33.75" customHeight="1" x14ac:dyDescent="0.3">
      <c r="A8" s="2" t="s">
        <v>140</v>
      </c>
      <c r="B8" s="2" t="s">
        <v>140</v>
      </c>
      <c r="C8" s="3" t="s">
        <v>662</v>
      </c>
      <c r="D8" s="3" t="s">
        <v>669</v>
      </c>
      <c r="E8" s="2" t="s">
        <v>664</v>
      </c>
      <c r="F8" s="2" t="s">
        <v>665</v>
      </c>
      <c r="G8" s="5">
        <v>46153</v>
      </c>
      <c r="H8" s="5">
        <v>46153</v>
      </c>
      <c r="I8" s="2" t="s">
        <v>31</v>
      </c>
      <c r="J8" s="6">
        <f t="shared" si="1"/>
        <v>0</v>
      </c>
      <c r="K8" s="4" t="str">
        <f t="shared" ca="1" si="2"/>
        <v>-</v>
      </c>
      <c r="L8" s="7" t="str">
        <f>IF(I8="Completed","0",IF($H8="","",$H8-'[2]Read Me'!$B$4))</f>
        <v>0</v>
      </c>
      <c r="M8" s="4" t="str">
        <f>IF($I8="Complete","Green",IF($H8="","Amber",IF($H8&lt;'[2]Read Me'!$B$4,"Red",IF($H8-'[2]Read Me'!$B$4&lt;=21,"Amber","Green"))))</f>
        <v>Red</v>
      </c>
      <c r="N8" s="3"/>
      <c r="O8" t="str">
        <f>IF($I8&lt;&gt;"Complete",IF(COUNTIFS($A$4:$A7,$A8,$B$4:$B7,$B8,$I$4:$I7,"&lt;&gt;Complete")=0,$A8&amp;"|"&amp;$B8,""),"")</f>
        <v/>
      </c>
      <c r="P8" t="str">
        <f ca="1">IF($K8="Yes",COUNTIFS($K$4:$K8,"Yes"),"")</f>
        <v/>
      </c>
      <c r="Q8">
        <f t="shared" ca="1" si="3"/>
        <v>0</v>
      </c>
      <c r="R8" t="str">
        <f ca="1">IF($Q8=1,SUM($Q$4:$Q8),"")</f>
        <v/>
      </c>
    </row>
    <row r="9" spans="1:18" ht="33.75" customHeight="1" x14ac:dyDescent="0.3">
      <c r="A9" s="2" t="s">
        <v>140</v>
      </c>
      <c r="B9" s="2" t="s">
        <v>140</v>
      </c>
      <c r="C9" s="3" t="s">
        <v>662</v>
      </c>
      <c r="D9" s="3" t="s">
        <v>32</v>
      </c>
      <c r="E9" s="2" t="s">
        <v>664</v>
      </c>
      <c r="F9" s="2" t="s">
        <v>265</v>
      </c>
      <c r="G9" s="5">
        <v>46167</v>
      </c>
      <c r="H9" s="5">
        <v>46203</v>
      </c>
      <c r="I9" s="2" t="s">
        <v>46</v>
      </c>
      <c r="J9" s="6">
        <f t="shared" si="1"/>
        <v>36</v>
      </c>
      <c r="K9" s="4" t="str">
        <f t="shared" ca="1" si="2"/>
        <v>Yes</v>
      </c>
      <c r="L9" s="7">
        <f>IF(I9="Completed","0",IF($H9="","",$H9-'[2]Read Me'!$B$4))</f>
        <v>16</v>
      </c>
      <c r="M9" s="4" t="str">
        <f>IF($I9="Complete","Green",IF($H9="","Amber",IF($H9&lt;'[2]Read Me'!$B$4,"Red",IF($H9-'[2]Read Me'!$B$4&lt;=21,"Amber","Green"))))</f>
        <v>Amber</v>
      </c>
      <c r="N9" s="3"/>
      <c r="O9" t="str">
        <f>IF($I9&lt;&gt;"Complete",IF(COUNTIFS($A$4:$A8,$A9,$B$4:$B8,$B9,$I$4:$I8,"&lt;&gt;Complete")=0,$A9&amp;"|"&amp;$B9,""),"")</f>
        <v/>
      </c>
      <c r="P9">
        <f ca="1">IF($K9="Yes",COUNTIFS($K$4:$K9,"Yes"),"")</f>
        <v>2</v>
      </c>
      <c r="Q9">
        <f t="shared" ca="1" si="3"/>
        <v>1</v>
      </c>
      <c r="R9">
        <f ca="1">IF($Q9=1,SUM($Q$4:$Q9),"")</f>
        <v>2</v>
      </c>
    </row>
    <row r="10" spans="1:18" ht="33.75" customHeight="1" x14ac:dyDescent="0.3">
      <c r="A10" s="2" t="s">
        <v>140</v>
      </c>
      <c r="B10" s="2" t="s">
        <v>140</v>
      </c>
      <c r="C10" s="3" t="s">
        <v>662</v>
      </c>
      <c r="D10" s="3" t="s">
        <v>15</v>
      </c>
      <c r="E10" s="2" t="s">
        <v>664</v>
      </c>
      <c r="F10" s="2" t="s">
        <v>665</v>
      </c>
      <c r="G10" s="5">
        <v>46223</v>
      </c>
      <c r="H10" s="5">
        <v>46252</v>
      </c>
      <c r="I10" s="2" t="s">
        <v>17</v>
      </c>
      <c r="J10" s="6">
        <f t="shared" si="1"/>
        <v>29</v>
      </c>
      <c r="K10" s="4" t="str">
        <f t="shared" ca="1" si="2"/>
        <v>No</v>
      </c>
      <c r="L10" s="7">
        <f>IF(I10="Completed","0",IF($H10="","",$H10-'[2]Read Me'!$B$4))</f>
        <v>65</v>
      </c>
      <c r="M10" s="4" t="str">
        <f>IF($I10="Complete","Green",IF($H10="","Amber",IF($H10&lt;'[2]Read Me'!$B$4,"Red",IF($H10-'[2]Read Me'!$B$4&lt;=21,"Amber","Green"))))</f>
        <v>Green</v>
      </c>
      <c r="N10" s="3"/>
      <c r="O10" t="str">
        <f>IF($I10&lt;&gt;"Complete",IF(COUNTIFS($A$4:$A9,$A10,$B$4:$B9,$B10,$I$4:$I9,"&lt;&gt;Complete")=0,$A10&amp;"|"&amp;$B10,""),"")</f>
        <v/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140</v>
      </c>
      <c r="B11" s="2" t="s">
        <v>140</v>
      </c>
      <c r="C11" s="3" t="s">
        <v>662</v>
      </c>
      <c r="D11" s="3" t="s">
        <v>35</v>
      </c>
      <c r="E11" s="2" t="s">
        <v>664</v>
      </c>
      <c r="F11" s="2" t="s">
        <v>265</v>
      </c>
      <c r="G11" s="5">
        <v>46237</v>
      </c>
      <c r="H11" s="5">
        <v>46259</v>
      </c>
      <c r="I11" s="2" t="s">
        <v>17</v>
      </c>
      <c r="J11" s="6">
        <f t="shared" si="1"/>
        <v>22</v>
      </c>
      <c r="K11" s="4" t="str">
        <f t="shared" ca="1" si="2"/>
        <v>No</v>
      </c>
      <c r="L11" s="7">
        <f>IF(I11="Completed","0",IF($H11="","",$H11-'[2]Read Me'!$B$4))</f>
        <v>72</v>
      </c>
      <c r="M11" s="4" t="str">
        <f>IF($I11="Complete","Green",IF($H11="","Amber",IF($H11&lt;'[2]Read Me'!$B$4,"Red",IF($H11-'[2]Read Me'!$B$4&lt;=21,"Amber","Green"))))</f>
        <v>Green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140</v>
      </c>
      <c r="B12" s="2" t="s">
        <v>140</v>
      </c>
      <c r="C12" s="3" t="s">
        <v>662</v>
      </c>
      <c r="D12" s="3" t="s">
        <v>16</v>
      </c>
      <c r="E12" s="2" t="s">
        <v>664</v>
      </c>
      <c r="F12" s="2" t="s">
        <v>665</v>
      </c>
      <c r="G12" s="5">
        <v>46251</v>
      </c>
      <c r="H12" s="5">
        <v>46292</v>
      </c>
      <c r="I12" s="2" t="s">
        <v>17</v>
      </c>
      <c r="J12" s="6">
        <f t="shared" si="1"/>
        <v>41</v>
      </c>
      <c r="K12" s="4" t="str">
        <f t="shared" ca="1" si="2"/>
        <v>No</v>
      </c>
      <c r="L12" s="7">
        <f>IF(I12="Completed","0",IF($H12="","",$H12-'[2]Read Me'!$B$4))</f>
        <v>105</v>
      </c>
      <c r="M12" s="4" t="str">
        <f>IF($I12="Complete","Green",IF($H12="","Amber",IF($H12&lt;'[2]Read Me'!$B$4,"Red",IF($H12-'[2]Read Me'!$B$4&lt;=21,"Amber","Green"))))</f>
        <v>Green</v>
      </c>
      <c r="N12" s="3"/>
      <c r="O12" t="str">
        <f>IF($I12&lt;&gt;"Complete",IF(COUNTIFS($A$4:$A11,$A12,$B$4:$B11,$B12,$I$4:$I11,"&lt;&gt;Complete")=0,$A12&amp;"|"&amp;$B12,""),"")</f>
        <v/>
      </c>
      <c r="P12" t="str">
        <f ca="1">IF($K12="Yes",COUNTIFS($K$4:$K12,"Yes"),"")</f>
        <v/>
      </c>
      <c r="Q12">
        <f t="shared" ca="1" si="3"/>
        <v>0</v>
      </c>
      <c r="R12" t="str">
        <f ca="1">IF($Q12=1,SUM($Q$4:$Q12),"")</f>
        <v/>
      </c>
    </row>
    <row r="13" spans="1:18" ht="33.75" customHeight="1" x14ac:dyDescent="0.3">
      <c r="A13" s="2" t="s">
        <v>140</v>
      </c>
      <c r="B13" s="2" t="s">
        <v>140</v>
      </c>
      <c r="C13" s="3" t="s">
        <v>662</v>
      </c>
      <c r="D13" s="3" t="s">
        <v>37</v>
      </c>
      <c r="E13" s="2" t="s">
        <v>664</v>
      </c>
      <c r="F13" s="2" t="s">
        <v>265</v>
      </c>
      <c r="G13" s="5">
        <v>46265</v>
      </c>
      <c r="H13" s="5">
        <v>46301</v>
      </c>
      <c r="I13" s="2" t="s">
        <v>17</v>
      </c>
      <c r="J13" s="6">
        <f t="shared" si="1"/>
        <v>36</v>
      </c>
      <c r="K13" s="4" t="str">
        <f t="shared" ca="1" si="2"/>
        <v>No</v>
      </c>
      <c r="L13" s="7">
        <f>IF(I13="Completed","0",IF($H13="","",$H13-'[2]Read Me'!$B$4))</f>
        <v>114</v>
      </c>
      <c r="M13" s="4" t="str">
        <f>IF($I13="Complete","Green",IF($H13="","Amber",IF($H13&lt;'[2]Read Me'!$B$4,"Red",IF($H13-'[2]Read Me'!$B$4&lt;=21,"Amber","Green"))))</f>
        <v>Green</v>
      </c>
      <c r="N13" s="3"/>
      <c r="O13" t="str">
        <f>IF($I13&lt;&gt;"Complete",IF(COUNTIFS($A$4:$A12,$A13,$B$4:$B12,$B13,$I$4:$I12,"&lt;&gt;Complete")=0,$A13&amp;"|"&amp;$B13,""),"")</f>
        <v/>
      </c>
      <c r="P13" t="str">
        <f ca="1">IF($K13="Yes",COUNTIFS($K$4:$K13,"Yes"),"")</f>
        <v/>
      </c>
      <c r="Q13">
        <f t="shared" ca="1" si="3"/>
        <v>0</v>
      </c>
      <c r="R13" t="str">
        <f ca="1">IF($Q13=1,SUM($Q$4:$Q13),"")</f>
        <v/>
      </c>
    </row>
    <row r="14" spans="1:18" ht="33.75" customHeight="1" x14ac:dyDescent="0.3">
      <c r="A14" s="2" t="s">
        <v>171</v>
      </c>
      <c r="B14" s="2" t="s">
        <v>171</v>
      </c>
      <c r="C14" s="3"/>
      <c r="D14" s="3"/>
      <c r="E14" s="2"/>
      <c r="F14" s="2"/>
      <c r="G14" s="5">
        <v>46265</v>
      </c>
      <c r="H14" s="5">
        <v>46297</v>
      </c>
      <c r="I14" s="2"/>
      <c r="J14" s="6">
        <f t="shared" si="1"/>
        <v>32</v>
      </c>
      <c r="K14" s="4" t="str">
        <f t="shared" ca="1" si="2"/>
        <v/>
      </c>
      <c r="L14" s="7">
        <f>IF(I14="Completed","0",IF($H14="","",$H14-'[2]Read Me'!$B$4))</f>
        <v>110</v>
      </c>
      <c r="M14" s="4" t="str">
        <f>IF($I14="Complete","Green",IF($H14="","Amber",IF($H14&lt;'[2]Read Me'!$B$4,"Red",IF($H14-'[2]Read Me'!$B$4&lt;=21,"Amber","Green"))))</f>
        <v>Green</v>
      </c>
      <c r="N14" s="3"/>
      <c r="O14" t="str">
        <f>IF($I14&lt;&gt;"Complete",IF(COUNTIFS($A$4:$A13,$A14,$B$4:$B13,$B14,$I$4:$I13,"&lt;&gt;Complete")=0,$A14&amp;"|"&amp;$B14,""),"")</f>
        <v>Infrastructure|Infrastructure</v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171</v>
      </c>
      <c r="B15" s="2" t="s">
        <v>171</v>
      </c>
      <c r="C15" s="3" t="s">
        <v>670</v>
      </c>
      <c r="D15" s="3" t="s">
        <v>663</v>
      </c>
      <c r="E15" s="2" t="s">
        <v>664</v>
      </c>
      <c r="F15" s="2"/>
      <c r="G15" s="5">
        <v>46111</v>
      </c>
      <c r="H15" s="5">
        <v>46111</v>
      </c>
      <c r="I15" s="2" t="s">
        <v>31</v>
      </c>
      <c r="J15" s="6">
        <f t="shared" si="1"/>
        <v>0</v>
      </c>
      <c r="K15" s="4" t="str">
        <f t="shared" ca="1" si="2"/>
        <v>-</v>
      </c>
      <c r="L15" s="7" t="str">
        <f>IF(I15="Completed","0",IF($H15="","",$H15-'[2]Read Me'!$B$4))</f>
        <v>0</v>
      </c>
      <c r="M15" s="4" t="str">
        <f>IF($I15="Complete","Green",IF($H15="","Amber",IF($H15&lt;'[2]Read Me'!$B$4,"Red",IF($H15-'[2]Read Me'!$B$4&lt;=21,"Amber","Green"))))</f>
        <v>Red</v>
      </c>
      <c r="N15" s="3"/>
      <c r="O15" t="str">
        <f>IF($I15&lt;&gt;"Complete",IF(COUNTIFS($A$4:$A14,$A15,$B$4:$B14,$B15,$I$4:$I14,"&lt;&gt;Complete")=0,$A15&amp;"|"&amp;$B15,""),"")</f>
        <v/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171</v>
      </c>
      <c r="B16" s="2" t="s">
        <v>171</v>
      </c>
      <c r="C16" s="3" t="s">
        <v>670</v>
      </c>
      <c r="D16" s="3" t="s">
        <v>666</v>
      </c>
      <c r="E16" s="2" t="s">
        <v>667</v>
      </c>
      <c r="F16" s="2" t="s">
        <v>176</v>
      </c>
      <c r="G16" s="5">
        <v>46125</v>
      </c>
      <c r="H16" s="5">
        <v>46202</v>
      </c>
      <c r="I16" s="2" t="s">
        <v>46</v>
      </c>
      <c r="J16" s="6">
        <f t="shared" si="1"/>
        <v>77</v>
      </c>
      <c r="K16" s="4" t="str">
        <f t="shared" ca="1" si="2"/>
        <v>Yes</v>
      </c>
      <c r="L16" s="7">
        <f>IF(I16="Completed","0",IF($H16="","",$H16-'[2]Read Me'!$B$4))</f>
        <v>15</v>
      </c>
      <c r="M16" s="4" t="str">
        <f>IF($I16="Complete","Green",IF($H16="","Amber",IF($H16&lt;'[2]Read Me'!$B$4,"Red",IF($H16-'[2]Read Me'!$B$4&lt;=21,"Amber","Green"))))</f>
        <v>Amber</v>
      </c>
      <c r="N16" s="3"/>
      <c r="O16" t="str">
        <f>IF($I16&lt;&gt;"Complete",IF(COUNTIFS($A$4:$A15,$A16,$B$4:$B15,$B16,$I$4:$I15,"&lt;&gt;Complete")=0,$A16&amp;"|"&amp;$B16,""),"")</f>
        <v/>
      </c>
      <c r="P16">
        <f ca="1">IF($K16="Yes",COUNTIFS($K$4:$K16,"Yes"),"")</f>
        <v>3</v>
      </c>
      <c r="Q16">
        <f t="shared" ca="1" si="3"/>
        <v>1</v>
      </c>
      <c r="R16">
        <f ca="1">IF($Q16=1,SUM($Q$4:$Q16),"")</f>
        <v>3</v>
      </c>
    </row>
    <row r="17" spans="1:18" ht="33.75" customHeight="1" x14ac:dyDescent="0.3">
      <c r="A17" s="2" t="s">
        <v>171</v>
      </c>
      <c r="B17" s="2" t="s">
        <v>171</v>
      </c>
      <c r="C17" s="3" t="s">
        <v>670</v>
      </c>
      <c r="D17" s="3" t="s">
        <v>671</v>
      </c>
      <c r="E17" s="2" t="s">
        <v>664</v>
      </c>
      <c r="F17" s="2" t="s">
        <v>176</v>
      </c>
      <c r="G17" s="5"/>
      <c r="H17" s="5">
        <v>46152</v>
      </c>
      <c r="I17" s="2" t="s">
        <v>31</v>
      </c>
      <c r="J17" s="6" t="str">
        <f t="shared" si="1"/>
        <v/>
      </c>
      <c r="K17" s="4" t="str">
        <f t="shared" ca="1" si="2"/>
        <v>-</v>
      </c>
      <c r="L17" s="7" t="str">
        <f>IF(I17="Completed","0",IF($H17="","",$H17-'[2]Read Me'!$B$4))</f>
        <v>0</v>
      </c>
      <c r="M17" s="4" t="str">
        <f>IF($I17="Complete","Green",IF($H17="","Amber",IF($H17&lt;'[2]Read Me'!$B$4,"Red",IF($H17-'[2]Read Me'!$B$4&lt;=21,"Amber","Green"))))</f>
        <v>Red</v>
      </c>
      <c r="N17" s="3"/>
      <c r="O17" t="str">
        <f>IF($I17&lt;&gt;"Complete",IF(COUNTIFS($A$4:$A16,$A17,$B$4:$B16,$B17,$I$4:$I16,"&lt;&gt;Complete")=0,$A17&amp;"|"&amp;$B17,""),"")</f>
        <v/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171</v>
      </c>
      <c r="B18" s="2" t="s">
        <v>171</v>
      </c>
      <c r="C18" s="3" t="s">
        <v>670</v>
      </c>
      <c r="D18" s="3" t="s">
        <v>18</v>
      </c>
      <c r="E18" s="2" t="s">
        <v>664</v>
      </c>
      <c r="F18" s="2" t="s">
        <v>176</v>
      </c>
      <c r="G18" s="5">
        <v>46153</v>
      </c>
      <c r="H18" s="5">
        <v>46184</v>
      </c>
      <c r="I18" s="2" t="s">
        <v>31</v>
      </c>
      <c r="J18" s="6">
        <f t="shared" si="1"/>
        <v>31</v>
      </c>
      <c r="K18" s="4" t="str">
        <f t="shared" ca="1" si="2"/>
        <v>-</v>
      </c>
      <c r="L18" s="7" t="str">
        <f>IF(I18="Completed","0",IF($H18="","",$H18-'[2]Read Me'!$B$4))</f>
        <v>0</v>
      </c>
      <c r="M18" s="4" t="str">
        <f>IF($I18="Complete","Green",IF($H18="","Amber",IF($H18&lt;'[2]Read Me'!$B$4,"Red",IF($H18-'[2]Read Me'!$B$4&lt;=21,"Amber","Green"))))</f>
        <v>Red</v>
      </c>
      <c r="N18" s="3"/>
      <c r="O18" t="str">
        <f>IF($I18&lt;&gt;"Complete",IF(COUNTIFS($A$4:$A17,$A18,$B$4:$B17,$B18,$I$4:$I17,"&lt;&gt;Complete")=0,$A18&amp;"|"&amp;$B18,""),"")</f>
        <v/>
      </c>
      <c r="P18" t="str">
        <f ca="1">IF($K18="Yes",COUNTIFS($K$4:$K18,"Yes"),"")</f>
        <v/>
      </c>
      <c r="Q18">
        <f t="shared" ca="1" si="3"/>
        <v>0</v>
      </c>
      <c r="R18" t="str">
        <f ca="1">IF($Q18=1,SUM($Q$4:$Q18),"")</f>
        <v/>
      </c>
    </row>
    <row r="19" spans="1:18" ht="33.75" customHeight="1" x14ac:dyDescent="0.3">
      <c r="A19" s="2" t="s">
        <v>171</v>
      </c>
      <c r="B19" s="2" t="s">
        <v>171</v>
      </c>
      <c r="C19" s="3" t="s">
        <v>670</v>
      </c>
      <c r="D19" s="3" t="s">
        <v>32</v>
      </c>
      <c r="E19" s="2" t="s">
        <v>664</v>
      </c>
      <c r="F19" s="2" t="s">
        <v>265</v>
      </c>
      <c r="G19" s="5">
        <v>46167</v>
      </c>
      <c r="H19" s="5">
        <v>46203</v>
      </c>
      <c r="I19" s="2" t="s">
        <v>46</v>
      </c>
      <c r="J19" s="6">
        <f t="shared" si="1"/>
        <v>36</v>
      </c>
      <c r="K19" s="4" t="str">
        <f t="shared" ca="1" si="2"/>
        <v>Yes</v>
      </c>
      <c r="L19" s="7">
        <f>IF(I19="Completed","0",IF($H19="","",$H19-'[2]Read Me'!$B$4))</f>
        <v>16</v>
      </c>
      <c r="M19" s="4" t="str">
        <f>IF($I19="Complete","Green",IF($H19="","Amber",IF($H19&lt;'[2]Read Me'!$B$4,"Red",IF($H19-'[2]Read Me'!$B$4&lt;=21,"Amber","Green"))))</f>
        <v>Amber</v>
      </c>
      <c r="N19" s="3"/>
      <c r="O19" t="str">
        <f>IF($I19&lt;&gt;"Complete",IF(COUNTIFS($A$4:$A18,$A19,$B$4:$B18,$B19,$I$4:$I18,"&lt;&gt;Complete")=0,$A19&amp;"|"&amp;$B19,""),"")</f>
        <v/>
      </c>
      <c r="P19">
        <f ca="1">IF($K19="Yes",COUNTIFS($K$4:$K19,"Yes"),"")</f>
        <v>4</v>
      </c>
      <c r="Q19">
        <f t="shared" ca="1" si="3"/>
        <v>1</v>
      </c>
      <c r="R19">
        <f ca="1">IF($Q19=1,SUM($Q$4:$Q19),"")</f>
        <v>4</v>
      </c>
    </row>
    <row r="20" spans="1:18" ht="33.75" customHeight="1" x14ac:dyDescent="0.3">
      <c r="A20" s="2" t="s">
        <v>171</v>
      </c>
      <c r="B20" s="2" t="s">
        <v>171</v>
      </c>
      <c r="C20" s="3" t="s">
        <v>670</v>
      </c>
      <c r="D20" s="3" t="s">
        <v>15</v>
      </c>
      <c r="E20" s="2" t="s">
        <v>664</v>
      </c>
      <c r="F20" s="2" t="s">
        <v>176</v>
      </c>
      <c r="G20" s="5">
        <v>46223</v>
      </c>
      <c r="H20" s="5">
        <v>46252</v>
      </c>
      <c r="I20" s="2" t="s">
        <v>17</v>
      </c>
      <c r="J20" s="6">
        <f t="shared" si="1"/>
        <v>29</v>
      </c>
      <c r="K20" s="4" t="str">
        <f t="shared" ca="1" si="2"/>
        <v>No</v>
      </c>
      <c r="L20" s="7">
        <f>IF(I20="Completed","0",IF($H20="","",$H20-'[2]Read Me'!$B$4))</f>
        <v>65</v>
      </c>
      <c r="M20" s="4" t="str">
        <f>IF($I20="Complete","Green",IF($H20="","Amber",IF($H20&lt;'[2]Read Me'!$B$4,"Red",IF($H20-'[2]Read Me'!$B$4&lt;=21,"Amber","Green"))))</f>
        <v>Green</v>
      </c>
      <c r="N20" s="3"/>
      <c r="O20" t="str">
        <f>IF($I20&lt;&gt;"Complete",IF(COUNTIFS($A$4:$A19,$A20,$B$4:$B19,$B20,$I$4:$I19,"&lt;&gt;Complete")=0,$A20&amp;"|"&amp;$B20,""),"")</f>
        <v/>
      </c>
      <c r="P20" t="str">
        <f ca="1">IF($K20="Yes",COUNTIFS($K$4:$K20,"Yes"),"")</f>
        <v/>
      </c>
      <c r="Q20">
        <f t="shared" ca="1" si="3"/>
        <v>0</v>
      </c>
      <c r="R20" t="str">
        <f ca="1">IF($Q20=1,SUM($Q$4:$Q20),"")</f>
        <v/>
      </c>
    </row>
    <row r="21" spans="1:18" ht="33.75" customHeight="1" x14ac:dyDescent="0.3">
      <c r="A21" s="2" t="s">
        <v>171</v>
      </c>
      <c r="B21" s="2" t="s">
        <v>171</v>
      </c>
      <c r="C21" s="3" t="s">
        <v>670</v>
      </c>
      <c r="D21" s="3" t="s">
        <v>35</v>
      </c>
      <c r="E21" s="2" t="s">
        <v>664</v>
      </c>
      <c r="F21" s="2" t="s">
        <v>265</v>
      </c>
      <c r="G21" s="5">
        <v>46237</v>
      </c>
      <c r="H21" s="5">
        <v>46259</v>
      </c>
      <c r="I21" s="2" t="s">
        <v>17</v>
      </c>
      <c r="J21" s="6">
        <f t="shared" si="1"/>
        <v>22</v>
      </c>
      <c r="K21" s="4" t="str">
        <f t="shared" ca="1" si="2"/>
        <v>No</v>
      </c>
      <c r="L21" s="7">
        <f>IF(I21="Completed","0",IF($H21="","",$H21-'[2]Read Me'!$B$4))</f>
        <v>72</v>
      </c>
      <c r="M21" s="4" t="str">
        <f>IF($I21="Complete","Green",IF($H21="","Amber",IF($H21&lt;'[2]Read Me'!$B$4,"Red",IF($H21-'[2]Read Me'!$B$4&lt;=21,"Amber","Green"))))</f>
        <v>Green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171</v>
      </c>
      <c r="B22" s="2" t="s">
        <v>171</v>
      </c>
      <c r="C22" s="3" t="s">
        <v>670</v>
      </c>
      <c r="D22" s="3" t="s">
        <v>16</v>
      </c>
      <c r="E22" s="2" t="s">
        <v>664</v>
      </c>
      <c r="F22" s="2" t="s">
        <v>176</v>
      </c>
      <c r="G22" s="5">
        <v>46251</v>
      </c>
      <c r="H22" s="5">
        <v>46290</v>
      </c>
      <c r="I22" s="2" t="s">
        <v>17</v>
      </c>
      <c r="J22" s="6">
        <f t="shared" si="1"/>
        <v>39</v>
      </c>
      <c r="K22" s="4" t="str">
        <f t="shared" ca="1" si="2"/>
        <v>No</v>
      </c>
      <c r="L22" s="7">
        <f>IF(I22="Completed","0",IF($H22="","",$H22-'[2]Read Me'!$B$4))</f>
        <v>103</v>
      </c>
      <c r="M22" s="4" t="str">
        <f>IF($I22="Complete","Green",IF($H22="","Amber",IF($H22&lt;'[2]Read Me'!$B$4,"Red",IF($H22-'[2]Read Me'!$B$4&lt;=21,"Amber","Green"))))</f>
        <v>Green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171</v>
      </c>
      <c r="B23" s="2" t="s">
        <v>171</v>
      </c>
      <c r="C23" s="3" t="s">
        <v>670</v>
      </c>
      <c r="D23" s="3" t="s">
        <v>37</v>
      </c>
      <c r="E23" s="2" t="s">
        <v>664</v>
      </c>
      <c r="F23" s="2" t="s">
        <v>265</v>
      </c>
      <c r="G23" s="5">
        <v>46265</v>
      </c>
      <c r="H23" s="5">
        <v>46297</v>
      </c>
      <c r="I23" s="2" t="s">
        <v>17</v>
      </c>
      <c r="J23" s="6">
        <f t="shared" si="1"/>
        <v>32</v>
      </c>
      <c r="K23" s="4" t="str">
        <f t="shared" ca="1" si="2"/>
        <v>No</v>
      </c>
      <c r="L23" s="7">
        <f>IF(I23="Completed","0",IF($H23="","",$H23-'[2]Read Me'!$B$4))</f>
        <v>110</v>
      </c>
      <c r="M23" s="4" t="str">
        <f>IF($I23="Complete","Green",IF($H23="","Amber",IF($H23&lt;'[2]Read Me'!$B$4,"Red",IF($H23-'[2]Read Me'!$B$4&lt;=21,"Amber","Green"))))</f>
        <v>Green</v>
      </c>
      <c r="N23" s="3"/>
      <c r="O23" t="str">
        <f>IF($I23&lt;&gt;"Complete",IF(COUNTIFS($A$4:$A22,$A23,$B$4:$B22,$B23,$I$4:$I22,"&lt;&gt;Complete")=0,$A23&amp;"|"&amp;$B23,""),"")</f>
        <v/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672</v>
      </c>
      <c r="B24" s="2" t="s">
        <v>672</v>
      </c>
      <c r="C24" s="3"/>
      <c r="D24" s="3"/>
      <c r="E24" s="2"/>
      <c r="F24" s="2"/>
      <c r="G24" s="5">
        <v>46202</v>
      </c>
      <c r="H24" s="5">
        <v>46238</v>
      </c>
      <c r="I24" s="2"/>
      <c r="J24" s="6">
        <f t="shared" si="1"/>
        <v>36</v>
      </c>
      <c r="K24" s="4" t="str">
        <f t="shared" ca="1" si="2"/>
        <v/>
      </c>
      <c r="L24" s="7">
        <f>IF(I24="Completed","0",IF($H24="","",$H24-'[2]Read Me'!$B$4))</f>
        <v>51</v>
      </c>
      <c r="M24" s="4" t="str">
        <f>IF($I24="Complete","Green",IF($H24="","Amber",IF($H24&lt;'[2]Read Me'!$B$4,"Red",IF($H24-'[2]Read Me'!$B$4&lt;=21,"Amber","Green"))))</f>
        <v>Green</v>
      </c>
      <c r="N24" s="3"/>
      <c r="O24" t="str">
        <f>IF($I24&lt;&gt;"Complete",IF(COUNTIFS($A$4:$A23,$A24,$B$4:$B23,$B24,$I$4:$I23,"&lt;&gt;Complete")=0,$A24&amp;"|"&amp;$B24,""),"")</f>
        <v>Retaining walls|Retaining walls</v>
      </c>
      <c r="P24" t="str">
        <f ca="1">IF($K24="Yes",COUNTIFS($K$4:$K24,"Yes"),"")</f>
        <v/>
      </c>
      <c r="Q24">
        <f t="shared" ca="1" si="3"/>
        <v>0</v>
      </c>
      <c r="R24" t="str">
        <f ca="1">IF($Q24=1,SUM($Q$4:$Q24),"")</f>
        <v/>
      </c>
    </row>
    <row r="25" spans="1:18" ht="33.75" customHeight="1" x14ac:dyDescent="0.3">
      <c r="A25" s="2" t="s">
        <v>672</v>
      </c>
      <c r="B25" s="2" t="s">
        <v>672</v>
      </c>
      <c r="C25" s="3" t="s">
        <v>673</v>
      </c>
      <c r="D25" s="3" t="s">
        <v>674</v>
      </c>
      <c r="E25" s="2" t="s">
        <v>215</v>
      </c>
      <c r="F25" s="2" t="s">
        <v>675</v>
      </c>
      <c r="G25" s="5">
        <v>46195</v>
      </c>
      <c r="H25" s="5">
        <v>46231</v>
      </c>
      <c r="I25" s="2" t="s">
        <v>17</v>
      </c>
      <c r="J25" s="6">
        <f t="shared" si="1"/>
        <v>36</v>
      </c>
      <c r="K25" s="4" t="str">
        <f t="shared" ca="1" si="2"/>
        <v>No</v>
      </c>
      <c r="L25" s="7">
        <f>IF(I25="Completed","0",IF($H25="","",$H25-'[2]Read Me'!$B$4))</f>
        <v>44</v>
      </c>
      <c r="M25" s="4" t="str">
        <f>IF($I25="Complete","Green",IF($H25="","Amber",IF($H25&lt;'[2]Read Me'!$B$4,"Red",IF($H25-'[2]Read Me'!$B$4&lt;=21,"Amber","Green"))))</f>
        <v>Green</v>
      </c>
      <c r="N25" s="3"/>
      <c r="O25" t="str">
        <f>IF($I25&lt;&gt;"Complete",IF(COUNTIFS($A$4:$A24,$A25,$B$4:$B24,$B25,$I$4:$I24,"&lt;&gt;Complete")=0,$A25&amp;"|"&amp;$B25,""),"")</f>
        <v/>
      </c>
      <c r="P25" t="str">
        <f ca="1">IF($K25="Yes",COUNTIFS($K$4:$K25,"Yes"),"")</f>
        <v/>
      </c>
      <c r="Q25">
        <f t="shared" ca="1" si="3"/>
        <v>0</v>
      </c>
      <c r="R25" t="str">
        <f ca="1">IF($Q25=1,SUM($Q$4:$Q25),"")</f>
        <v/>
      </c>
    </row>
    <row r="26" spans="1:18" ht="33.75" customHeight="1" x14ac:dyDescent="0.3">
      <c r="A26" s="2" t="s">
        <v>672</v>
      </c>
      <c r="B26" s="2" t="s">
        <v>672</v>
      </c>
      <c r="C26" s="3" t="s">
        <v>673</v>
      </c>
      <c r="D26" s="3" t="s">
        <v>676</v>
      </c>
      <c r="E26" s="2" t="s">
        <v>215</v>
      </c>
      <c r="F26" s="2" t="s">
        <v>265</v>
      </c>
      <c r="G26" s="5">
        <v>46202</v>
      </c>
      <c r="H26" s="5">
        <v>46238</v>
      </c>
      <c r="I26" s="2" t="s">
        <v>17</v>
      </c>
      <c r="J26" s="6">
        <f t="shared" si="1"/>
        <v>36</v>
      </c>
      <c r="K26" s="4" t="str">
        <f t="shared" ca="1" si="2"/>
        <v>No</v>
      </c>
      <c r="L26" s="7">
        <f>IF(I26="Completed","0",IF($H26="","",$H26-'[2]Read Me'!$B$4))</f>
        <v>51</v>
      </c>
      <c r="M26" s="4" t="str">
        <f>IF($I26="Complete","Green",IF($H26="","Amber",IF($H26&lt;'[2]Read Me'!$B$4,"Red",IF($H26-'[2]Read Me'!$B$4&lt;=21,"Amber","Green"))))</f>
        <v>Green</v>
      </c>
      <c r="N26" s="3"/>
      <c r="O26" t="str">
        <f>IF($I26&lt;&gt;"Complete",IF(COUNTIFS($A$4:$A25,$A26,$B$4:$B25,$B26,$I$4:$I25,"&lt;&gt;Complete")=0,$A26&amp;"|"&amp;$B26,""),"")</f>
        <v/>
      </c>
      <c r="P26" t="str">
        <f ca="1">IF($K26="Yes",COUNTIFS($K$4:$K26,"Yes"),"")</f>
        <v/>
      </c>
      <c r="Q26">
        <f t="shared" ca="1" si="3"/>
        <v>0</v>
      </c>
      <c r="R26" t="str">
        <f ca="1">IF($Q26=1,SUM($Q$4:$Q26),"")</f>
        <v/>
      </c>
    </row>
    <row r="27" spans="1:18" ht="33.75" customHeight="1" x14ac:dyDescent="0.3">
      <c r="A27" s="2" t="s">
        <v>21</v>
      </c>
      <c r="B27" s="2" t="s">
        <v>21</v>
      </c>
      <c r="C27" s="3"/>
      <c r="D27" s="3"/>
      <c r="E27" s="2"/>
      <c r="F27" s="2"/>
      <c r="G27" s="5">
        <v>46398</v>
      </c>
      <c r="H27" s="5">
        <v>46398</v>
      </c>
      <c r="I27" s="2"/>
      <c r="J27" s="6">
        <f t="shared" si="1"/>
        <v>0</v>
      </c>
      <c r="K27" s="4" t="str">
        <f t="shared" ca="1" si="2"/>
        <v/>
      </c>
      <c r="L27" s="7">
        <f>IF(I27="Completed","0",IF($H27="","",$H27-'[2]Read Me'!$B$4))</f>
        <v>211</v>
      </c>
      <c r="M27" s="4" t="str">
        <f>IF($I27="Complete","Green",IF($H27="","Amber",IF($H27&lt;'[2]Read Me'!$B$4,"Red",IF($H27-'[2]Read Me'!$B$4&lt;=21,"Amber","Green"))))</f>
        <v>Green</v>
      </c>
      <c r="N27" s="3"/>
      <c r="O27" t="str">
        <f>IF($I27&lt;&gt;"Complete",IF(COUNTIFS($A$4:$A26,$A27,$B$4:$B26,$B27,$I$4:$I26,"&lt;&gt;Complete")=0,$A27&amp;"|"&amp;$B27,""),"")</f>
        <v>Landscape|Landscape</v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21</v>
      </c>
      <c r="B28" s="2" t="s">
        <v>21</v>
      </c>
      <c r="C28" s="3" t="s">
        <v>677</v>
      </c>
      <c r="D28" s="3" t="s">
        <v>678</v>
      </c>
      <c r="E28" s="2" t="s">
        <v>215</v>
      </c>
      <c r="F28" s="2" t="s">
        <v>675</v>
      </c>
      <c r="G28" s="5">
        <v>46223</v>
      </c>
      <c r="H28" s="5">
        <v>46259</v>
      </c>
      <c r="I28" s="2" t="s">
        <v>17</v>
      </c>
      <c r="J28" s="6">
        <f t="shared" si="1"/>
        <v>36</v>
      </c>
      <c r="K28" s="4" t="str">
        <f t="shared" ca="1" si="2"/>
        <v>No</v>
      </c>
      <c r="L28" s="7">
        <f>IF(I28="Completed","0",IF($H28="","",$H28-'[2]Read Me'!$B$4))</f>
        <v>72</v>
      </c>
      <c r="M28" s="4" t="str">
        <f>IF($I28="Complete","Green",IF($H28="","Amber",IF($H28&lt;'[2]Read Me'!$B$4,"Red",IF($H28-'[2]Read Me'!$B$4&lt;=21,"Amber","Green"))))</f>
        <v>Green</v>
      </c>
      <c r="N28" s="3"/>
      <c r="O28" t="str">
        <f>IF($I28&lt;&gt;"Complete",IF(COUNTIFS($A$4:$A27,$A28,$B$4:$B27,$B28,$I$4:$I27,"&lt;&gt;Complete")=0,$A28&amp;"|"&amp;$B28,""),"")</f>
        <v/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21</v>
      </c>
      <c r="B29" s="2" t="s">
        <v>21</v>
      </c>
      <c r="C29" s="3" t="s">
        <v>677</v>
      </c>
      <c r="D29" s="3" t="s">
        <v>70</v>
      </c>
      <c r="E29" s="2" t="s">
        <v>215</v>
      </c>
      <c r="F29" s="2" t="s">
        <v>265</v>
      </c>
      <c r="G29" s="5">
        <v>46237</v>
      </c>
      <c r="H29" s="5">
        <v>46273</v>
      </c>
      <c r="I29" s="2" t="s">
        <v>17</v>
      </c>
      <c r="J29" s="6">
        <f t="shared" si="1"/>
        <v>36</v>
      </c>
      <c r="K29" s="4" t="str">
        <f t="shared" ca="1" si="2"/>
        <v>No</v>
      </c>
      <c r="L29" s="7">
        <f>IF(I29="Completed","0",IF($H29="","",$H29-'[2]Read Me'!$B$4))</f>
        <v>86</v>
      </c>
      <c r="M29" s="4" t="str">
        <f>IF($I29="Complete","Green",IF($H29="","Amber",IF($H29&lt;'[2]Read Me'!$B$4,"Red",IF($H29-'[2]Read Me'!$B$4&lt;=21,"Amber","Green"))))</f>
        <v>Green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21</v>
      </c>
      <c r="B30" s="2" t="s">
        <v>21</v>
      </c>
      <c r="C30" s="3" t="s">
        <v>677</v>
      </c>
      <c r="D30" s="3" t="s">
        <v>98</v>
      </c>
      <c r="E30" s="2" t="s">
        <v>215</v>
      </c>
      <c r="F30" s="2" t="s">
        <v>675</v>
      </c>
      <c r="G30" s="5">
        <v>46293</v>
      </c>
      <c r="H30" s="5">
        <v>46329</v>
      </c>
      <c r="I30" s="2" t="s">
        <v>17</v>
      </c>
      <c r="J30" s="6">
        <f t="shared" si="1"/>
        <v>36</v>
      </c>
      <c r="K30" s="4" t="str">
        <f t="shared" ca="1" si="2"/>
        <v>No</v>
      </c>
      <c r="L30" s="7">
        <f>IF(I30="Completed","0",IF($H30="","",$H30-'[2]Read Me'!$B$4))</f>
        <v>142</v>
      </c>
      <c r="M30" s="4" t="str">
        <f>IF($I30="Complete","Green",IF($H30="","Amber",IF($H30&lt;'[2]Read Me'!$B$4,"Red",IF($H30-'[2]Read Me'!$B$4&lt;=21,"Amber","Green"))))</f>
        <v>Green</v>
      </c>
      <c r="N30" s="3"/>
      <c r="O30" t="str">
        <f>IF($I30&lt;&gt;"Complete",IF(COUNTIFS($A$4:$A29,$A30,$B$4:$B29,$B30,$I$4:$I29,"&lt;&gt;Complete")=0,$A30&amp;"|"&amp;$B30,""),"")</f>
        <v/>
      </c>
      <c r="P30" t="str">
        <f ca="1">IF($K30="Yes",COUNTIFS($K$4:$K30,"Yes"),"")</f>
        <v/>
      </c>
      <c r="Q30">
        <f t="shared" ca="1" si="3"/>
        <v>0</v>
      </c>
      <c r="R30" t="str">
        <f ca="1">IF($Q30=1,SUM($Q$4:$Q30),"")</f>
        <v/>
      </c>
    </row>
    <row r="31" spans="1:18" ht="14.25" customHeight="1" x14ac:dyDescent="0.3">
      <c r="A31" s="2" t="s">
        <v>21</v>
      </c>
      <c r="B31" s="2" t="s">
        <v>21</v>
      </c>
      <c r="C31" s="3" t="s">
        <v>677</v>
      </c>
      <c r="D31" s="3" t="s">
        <v>47</v>
      </c>
      <c r="E31" s="2" t="s">
        <v>215</v>
      </c>
      <c r="F31" s="2" t="s">
        <v>265</v>
      </c>
      <c r="G31" s="5">
        <v>46307</v>
      </c>
      <c r="H31" s="5">
        <v>46343</v>
      </c>
      <c r="I31" s="2" t="s">
        <v>17</v>
      </c>
      <c r="J31" s="6">
        <f t="shared" si="1"/>
        <v>36</v>
      </c>
      <c r="K31" s="4" t="str">
        <f t="shared" ca="1" si="2"/>
        <v>No</v>
      </c>
      <c r="L31" s="7">
        <f>IF(I31="Completed","0",IF($H31="","",$H31-'[2]Read Me'!$B$4))</f>
        <v>156</v>
      </c>
      <c r="M31" s="4" t="str">
        <f>IF($I31="Complete","Green",IF($H31="","Amber",IF($H31&lt;'[2]Read Me'!$B$4,"Red",IF($H31-'[2]Read Me'!$B$4&lt;=21,"Amber","Green"))))</f>
        <v>Green</v>
      </c>
      <c r="N31" s="3"/>
      <c r="O31" t="str">
        <f>IF($I31&lt;&gt;"Complete",IF(COUNTIFS($A$4:$A30,$A31,$B$4:$B30,$B31,$I$4:$I30,"&lt;&gt;Complete")=0,$A31&amp;"|"&amp;$B31,""),"")</f>
        <v/>
      </c>
      <c r="P31" t="str">
        <f ca="1">IF($K31="Yes",COUNTIFS($K$4:$K31,"Yes"),"")</f>
        <v/>
      </c>
      <c r="Q31">
        <f t="shared" ca="1" si="3"/>
        <v>0</v>
      </c>
      <c r="R31" t="str">
        <f ca="1">IF($Q31=1,SUM($Q$4:$Q31),"")</f>
        <v/>
      </c>
    </row>
    <row r="32" spans="1:18" ht="14.25" customHeight="1" x14ac:dyDescent="0.3">
      <c r="A32" s="2" t="s">
        <v>21</v>
      </c>
      <c r="B32" s="2" t="s">
        <v>21</v>
      </c>
      <c r="C32" s="3" t="s">
        <v>677</v>
      </c>
      <c r="D32" s="3" t="s">
        <v>132</v>
      </c>
      <c r="E32" s="2" t="s">
        <v>679</v>
      </c>
      <c r="F32" s="2" t="s">
        <v>81</v>
      </c>
      <c r="G32" s="5">
        <v>46314</v>
      </c>
      <c r="H32" s="5">
        <v>46350</v>
      </c>
      <c r="I32" s="2" t="s">
        <v>17</v>
      </c>
      <c r="J32" s="6">
        <f t="shared" si="1"/>
        <v>36</v>
      </c>
      <c r="K32" s="4" t="str">
        <f t="shared" ca="1" si="2"/>
        <v>No</v>
      </c>
      <c r="L32" s="7">
        <f>IF(I32="Completed","0",IF($H32="","",$H32-'[2]Read Me'!$B$4))</f>
        <v>163</v>
      </c>
      <c r="M32" s="4" t="str">
        <f>IF($I32="Complete","Green",IF($H32="","Amber",IF($H32&lt;'[2]Read Me'!$B$4,"Red",IF($H32-'[2]Read Me'!$B$4&lt;=21,"Amber","Green"))))</f>
        <v>Green</v>
      </c>
      <c r="N32" s="3"/>
      <c r="O32" t="str">
        <f>IF($I32&lt;&gt;"Complete",IF(COUNTIFS($A$4:$A31,$A32,$B$4:$B31,$B32,$I$4:$I31,"&lt;&gt;Complete")=0,$A32&amp;"|"&amp;$B32,""),"")</f>
        <v/>
      </c>
      <c r="P32" t="str">
        <f ca="1">IF($K32="Yes",COUNTIFS($K$4:$K32,"Yes"),"")</f>
        <v/>
      </c>
      <c r="Q32">
        <f t="shared" ca="1" si="3"/>
        <v>0</v>
      </c>
      <c r="R32" t="str">
        <f ca="1">IF($Q32=1,SUM($Q$4:$Q32),"")</f>
        <v/>
      </c>
    </row>
    <row r="33" spans="1:18" ht="14.25" customHeight="1" x14ac:dyDescent="0.3">
      <c r="A33" s="2" t="s">
        <v>21</v>
      </c>
      <c r="B33" s="2" t="s">
        <v>21</v>
      </c>
      <c r="C33" s="3" t="s">
        <v>677</v>
      </c>
      <c r="D33" s="3" t="s">
        <v>133</v>
      </c>
      <c r="E33" s="2" t="s">
        <v>215</v>
      </c>
      <c r="F33" s="2" t="s">
        <v>675</v>
      </c>
      <c r="G33" s="5">
        <v>46335</v>
      </c>
      <c r="H33" s="5">
        <v>46335</v>
      </c>
      <c r="I33" s="2" t="s">
        <v>17</v>
      </c>
      <c r="J33" s="6">
        <f t="shared" si="1"/>
        <v>0</v>
      </c>
      <c r="K33" s="4" t="str">
        <f t="shared" ca="1" si="2"/>
        <v>No</v>
      </c>
      <c r="L33" s="7">
        <f>IF(I33="Completed","0",IF($H33="","",$H33-'[2]Read Me'!$B$4))</f>
        <v>148</v>
      </c>
      <c r="M33" s="4" t="str">
        <f>IF($I33="Complete","Green",IF($H33="","Amber",IF($H33&lt;'[2]Read Me'!$B$4,"Red",IF($H33-'[2]Read Me'!$B$4&lt;=21,"Amber","Green"))))</f>
        <v>Green</v>
      </c>
      <c r="N33" s="3"/>
      <c r="O33" t="str">
        <f>IF($I33&lt;&gt;"Complete",IF(COUNTIFS($A$4:$A32,$A33,$B$4:$B32,$B33,$I$4:$I32,"&lt;&gt;Complete")=0,$A33&amp;"|"&amp;$B33,""),"")</f>
        <v/>
      </c>
      <c r="P33" t="str">
        <f ca="1">IF($K33="Yes",COUNTIFS($K$4:$K33,"Yes"),"")</f>
        <v/>
      </c>
      <c r="Q33">
        <f t="shared" ca="1" si="3"/>
        <v>0</v>
      </c>
      <c r="R33" t="str">
        <f ca="1">IF($Q33=1,SUM($Q$4:$Q33),"")</f>
        <v/>
      </c>
    </row>
    <row r="34" spans="1:18" ht="14.25" customHeight="1" x14ac:dyDescent="0.3">
      <c r="A34" s="2" t="s">
        <v>21</v>
      </c>
      <c r="B34" s="2" t="s">
        <v>21</v>
      </c>
      <c r="C34" s="3" t="s">
        <v>677</v>
      </c>
      <c r="D34" s="3" t="s">
        <v>134</v>
      </c>
      <c r="E34" s="2" t="s">
        <v>215</v>
      </c>
      <c r="F34" s="2" t="s">
        <v>265</v>
      </c>
      <c r="G34" s="5">
        <v>46349</v>
      </c>
      <c r="H34" s="5">
        <v>46349</v>
      </c>
      <c r="I34" s="2" t="s">
        <v>17</v>
      </c>
      <c r="J34" s="6">
        <f t="shared" si="1"/>
        <v>0</v>
      </c>
      <c r="K34" s="4" t="str">
        <f t="shared" ca="1" si="2"/>
        <v>No</v>
      </c>
      <c r="L34" s="7">
        <f>IF(I34="Completed","0",IF($H34="","",$H34-'[2]Read Me'!$B$4))</f>
        <v>162</v>
      </c>
      <c r="M34" s="4" t="str">
        <f>IF($I34="Complete","Green",IF($H34="","Amber",IF($H34&lt;'[2]Read Me'!$B$4,"Red",IF($H34-'[2]Read Me'!$B$4&lt;=21,"Amber","Green"))))</f>
        <v>Green</v>
      </c>
      <c r="N34" s="3"/>
      <c r="O34" t="str">
        <f>IF($I34&lt;&gt;"Complete",IF(COUNTIFS($A$4:$A33,$A34,$B$4:$B33,$B34,$I$4:$I33,"&lt;&gt;Complete")=0,$A34&amp;"|"&amp;$B34,""),"")</f>
        <v/>
      </c>
      <c r="P34" t="str">
        <f ca="1">IF($K34="Yes",COUNTIFS($K$4:$K34,"Yes"),"")</f>
        <v/>
      </c>
      <c r="Q34">
        <f t="shared" ca="1" si="3"/>
        <v>0</v>
      </c>
      <c r="R34" t="str">
        <f ca="1">IF($Q34=1,SUM($Q$4:$Q34),"")</f>
        <v/>
      </c>
    </row>
    <row r="35" spans="1:18" ht="14.25" customHeight="1" x14ac:dyDescent="0.3">
      <c r="A35" s="2" t="s">
        <v>21</v>
      </c>
      <c r="B35" s="2" t="s">
        <v>21</v>
      </c>
      <c r="C35" s="3" t="s">
        <v>677</v>
      </c>
      <c r="D35" s="3" t="s">
        <v>18</v>
      </c>
      <c r="E35" s="2" t="s">
        <v>215</v>
      </c>
      <c r="F35" s="2" t="s">
        <v>675</v>
      </c>
      <c r="G35" s="5">
        <v>46377</v>
      </c>
      <c r="H35" s="5">
        <v>46377</v>
      </c>
      <c r="I35" s="2" t="s">
        <v>17</v>
      </c>
      <c r="J35" s="6">
        <f t="shared" si="1"/>
        <v>0</v>
      </c>
      <c r="K35" s="4" t="str">
        <f t="shared" ca="1" si="2"/>
        <v>No</v>
      </c>
      <c r="L35" s="7">
        <f>IF(I35="Completed","0",IF($H35="","",$H35-'[2]Read Me'!$B$4))</f>
        <v>190</v>
      </c>
      <c r="M35" s="4" t="str">
        <f>IF($I35="Complete","Green",IF($H35="","Amber",IF($H35&lt;'[2]Read Me'!$B$4,"Red",IF($H35-'[2]Read Me'!$B$4&lt;=21,"Amber","Green"))))</f>
        <v>Green</v>
      </c>
      <c r="N35" s="3"/>
      <c r="O35" t="str">
        <f>IF($I35&lt;&gt;"Complete",IF(COUNTIFS($A$4:$A34,$A35,$B$4:$B34,$B35,$I$4:$I34,"&lt;&gt;Complete")=0,$A35&amp;"|"&amp;$B35,""),"")</f>
        <v/>
      </c>
      <c r="P35" t="str">
        <f ca="1">IF($K35="Yes",COUNTIFS($K$4:$K35,"Yes"),"")</f>
        <v/>
      </c>
      <c r="Q35">
        <f t="shared" ca="1" si="3"/>
        <v>0</v>
      </c>
      <c r="R35" t="str">
        <f ca="1">IF($Q35=1,SUM($Q$4:$Q35),"")</f>
        <v/>
      </c>
    </row>
    <row r="36" spans="1:18" ht="14.25" customHeight="1" x14ac:dyDescent="0.3">
      <c r="A36" s="2" t="s">
        <v>21</v>
      </c>
      <c r="B36" s="2" t="s">
        <v>21</v>
      </c>
      <c r="C36" s="3" t="s">
        <v>677</v>
      </c>
      <c r="D36" s="3" t="s">
        <v>32</v>
      </c>
      <c r="E36" s="2" t="s">
        <v>215</v>
      </c>
      <c r="F36" s="2" t="s">
        <v>265</v>
      </c>
      <c r="G36" s="5">
        <v>46391</v>
      </c>
      <c r="H36" s="5">
        <v>46391</v>
      </c>
      <c r="I36" s="2" t="s">
        <v>17</v>
      </c>
      <c r="J36" s="6">
        <f t="shared" si="1"/>
        <v>0</v>
      </c>
      <c r="K36" s="4" t="str">
        <f t="shared" ca="1" si="2"/>
        <v>No</v>
      </c>
      <c r="L36" s="7">
        <f>IF(I36="Completed","0",IF($H36="","",$H36-'[2]Read Me'!$B$4))</f>
        <v>204</v>
      </c>
      <c r="M36" s="4" t="str">
        <f>IF($I36="Complete","Green",IF($H36="","Amber",IF($H36&lt;'[2]Read Me'!$B$4,"Red",IF($H36-'[2]Read Me'!$B$4&lt;=21,"Amber","Green"))))</f>
        <v>Green</v>
      </c>
      <c r="N36" s="3"/>
      <c r="O36" t="str">
        <f>IF($I36&lt;&gt;"Complete",IF(COUNTIFS($A$4:$A35,$A36,$B$4:$B35,$B36,$I$4:$I35,"&lt;&gt;Complete")=0,$A36&amp;"|"&amp;$B36,""),"")</f>
        <v/>
      </c>
      <c r="P36" t="str">
        <f ca="1">IF($K36="Yes",COUNTIFS($K$4:$K36,"Yes"),"")</f>
        <v/>
      </c>
      <c r="Q36">
        <f t="shared" ca="1" si="3"/>
        <v>0</v>
      </c>
      <c r="R36" t="str">
        <f ca="1">IF($Q36=1,SUM($Q$4:$Q36),"")</f>
        <v/>
      </c>
    </row>
    <row r="37" spans="1:18" ht="14.25" customHeight="1" x14ac:dyDescent="0.3">
      <c r="A37" s="2" t="s">
        <v>21</v>
      </c>
      <c r="B37" s="2" t="s">
        <v>21</v>
      </c>
      <c r="C37" s="3" t="s">
        <v>677</v>
      </c>
      <c r="D37" s="3" t="s">
        <v>19</v>
      </c>
      <c r="E37" s="2" t="s">
        <v>667</v>
      </c>
      <c r="F37" s="2" t="s">
        <v>81</v>
      </c>
      <c r="G37" s="5">
        <v>46398</v>
      </c>
      <c r="H37" s="5">
        <v>46398</v>
      </c>
      <c r="I37" s="2" t="s">
        <v>17</v>
      </c>
      <c r="J37" s="6">
        <f t="shared" si="1"/>
        <v>0</v>
      </c>
      <c r="K37" s="4" t="str">
        <f t="shared" ca="1" si="2"/>
        <v>No</v>
      </c>
      <c r="L37" s="7">
        <f>IF(I37="Completed","0",IF($H37="","",$H37-'[2]Read Me'!$B$4))</f>
        <v>211</v>
      </c>
      <c r="M37" s="4" t="str">
        <f>IF($I37="Complete","Green",IF($H37="","Amber",IF($H37&lt;'[2]Read Me'!$B$4,"Red",IF($H37-'[2]Read Me'!$B$4&lt;=21,"Amber","Green"))))</f>
        <v>Green</v>
      </c>
      <c r="N37" s="3"/>
      <c r="O37" t="str">
        <f>IF($I37&lt;&gt;"Complete",IF(COUNTIFS($A$4:$A36,$A37,$B$4:$B36,$B37,$I$4:$I36,"&lt;&gt;Complete")=0,$A37&amp;"|"&amp;$B37,""),"")</f>
        <v/>
      </c>
      <c r="P37" t="str">
        <f ca="1">IF($K37="Yes",COUNTIFS($K$4:$K37,"Yes"),"")</f>
        <v/>
      </c>
      <c r="Q37">
        <f t="shared" ca="1" si="3"/>
        <v>0</v>
      </c>
      <c r="R37" t="str">
        <f ca="1">IF($Q37=1,SUM($Q$4:$Q37),"")</f>
        <v/>
      </c>
    </row>
    <row r="38" spans="1:18" ht="14.25" customHeight="1" x14ac:dyDescent="0.3">
      <c r="A38" s="2" t="s">
        <v>680</v>
      </c>
      <c r="B38" s="2" t="s">
        <v>62</v>
      </c>
      <c r="C38" s="3"/>
      <c r="D38" s="3"/>
      <c r="E38" s="2"/>
      <c r="F38" s="2"/>
      <c r="G38" s="5">
        <v>45796</v>
      </c>
      <c r="H38" s="5">
        <v>46223</v>
      </c>
      <c r="I38" s="2"/>
      <c r="J38" s="6">
        <f t="shared" si="1"/>
        <v>427</v>
      </c>
      <c r="K38" s="4" t="str">
        <f t="shared" ca="1" si="2"/>
        <v/>
      </c>
      <c r="L38" s="7">
        <f>IF(I38="Completed","0",IF($H38="","",$H38-'[2]Read Me'!$B$4))</f>
        <v>36</v>
      </c>
      <c r="M38" s="4" t="str">
        <f>IF($I38="Complete","Green",IF($H38="","Amber",IF($H38&lt;'[2]Read Me'!$B$4,"Red",IF($H38-'[2]Read Me'!$B$4&lt;=21,"Amber","Green"))))</f>
        <v>Green</v>
      </c>
      <c r="N38" s="3"/>
      <c r="O38" t="str">
        <f>IF($I38&lt;&gt;"Complete",IF(COUNTIFS($A$4:$A37,$A38,$B$4:$B37,$B38,$I$4:$I37,"&lt;&gt;Complete")=0,$A38&amp;"|"&amp;$B38,""),"")</f>
        <v>Twain Apartments-Phase 5|Buildings</v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680</v>
      </c>
      <c r="B39" s="2" t="s">
        <v>62</v>
      </c>
      <c r="C39" s="3" t="s">
        <v>680</v>
      </c>
      <c r="D39" s="3" t="s">
        <v>98</v>
      </c>
      <c r="E39" s="2"/>
      <c r="F39" s="2" t="s">
        <v>197</v>
      </c>
      <c r="G39" s="5">
        <v>45158</v>
      </c>
      <c r="H39" s="5">
        <v>45158</v>
      </c>
      <c r="I39" s="2" t="s">
        <v>31</v>
      </c>
      <c r="J39" s="6">
        <f t="shared" si="1"/>
        <v>0</v>
      </c>
      <c r="K39" s="4" t="str">
        <f t="shared" ca="1" si="2"/>
        <v>-</v>
      </c>
      <c r="L39" s="7" t="str">
        <f>IF(I39="Completed","0",IF($H39="","",$H39-'[2]Read Me'!$B$4))</f>
        <v>0</v>
      </c>
      <c r="M39" s="4" t="str">
        <f>IF($I39="Complete","Green",IF($H39="","Amber",IF($H39&lt;'[2]Read Me'!$B$4,"Red",IF($H39-'[2]Read Me'!$B$4&lt;=21,"Amber","Green"))))</f>
        <v>Red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 t="s">
        <v>680</v>
      </c>
      <c r="B40" s="2" t="s">
        <v>62</v>
      </c>
      <c r="C40" s="3" t="s">
        <v>680</v>
      </c>
      <c r="D40" s="3" t="s">
        <v>47</v>
      </c>
      <c r="E40" s="2"/>
      <c r="F40" s="2" t="s">
        <v>265</v>
      </c>
      <c r="G40" s="5">
        <v>45172</v>
      </c>
      <c r="H40" s="5">
        <v>45172</v>
      </c>
      <c r="I40" s="2" t="s">
        <v>31</v>
      </c>
      <c r="J40" s="6">
        <f t="shared" si="1"/>
        <v>0</v>
      </c>
      <c r="K40" s="4" t="str">
        <f t="shared" ca="1" si="2"/>
        <v>-</v>
      </c>
      <c r="L40" s="7" t="str">
        <f>IF(I40="Completed","0",IF($H40="","",$H40-'[2]Read Me'!$B$4))</f>
        <v>0</v>
      </c>
      <c r="M40" s="4" t="str">
        <f>IF($I40="Complete","Green",IF($H40="","Amber",IF($H40&lt;'[2]Read Me'!$B$4,"Red",IF($H40-'[2]Read Me'!$B$4&lt;=21,"Amber","Green"))))</f>
        <v>Red</v>
      </c>
      <c r="N40" s="3"/>
      <c r="O40" t="str">
        <f>IF($I40&lt;&gt;"Complete",IF(COUNTIFS($A$4:$A39,$A40,$B$4:$B39,$B40,$I$4:$I39,"&lt;&gt;Complete")=0,$A40&amp;"|"&amp;$B40,""),"")</f>
        <v/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 t="s">
        <v>680</v>
      </c>
      <c r="B41" s="2" t="s">
        <v>62</v>
      </c>
      <c r="C41" s="3" t="s">
        <v>680</v>
      </c>
      <c r="D41" s="3" t="s">
        <v>681</v>
      </c>
      <c r="E41" s="2"/>
      <c r="F41" s="2" t="s">
        <v>197</v>
      </c>
      <c r="G41" s="5"/>
      <c r="H41" s="5"/>
      <c r="I41" s="2" t="s">
        <v>46</v>
      </c>
      <c r="J41" s="6" t="str">
        <f t="shared" si="1"/>
        <v/>
      </c>
      <c r="K41" s="4" t="str">
        <f t="shared" ca="1" si="2"/>
        <v/>
      </c>
      <c r="L41" s="7" t="str">
        <f>IF(I41="Completed","0",IF($H41="","",$H41-'[2]Read Me'!$B$4))</f>
        <v/>
      </c>
      <c r="M41" s="4" t="str">
        <f>IF($I41="Complete","Green",IF($H41="","Amber",IF($H41&lt;'[2]Read Me'!$B$4,"Red",IF($H41-'[2]Read Me'!$B$4&lt;=21,"Amber","Green"))))</f>
        <v>Amber</v>
      </c>
      <c r="N41" s="3"/>
      <c r="O41" t="str">
        <f>IF($I41&lt;&gt;"Complete",IF(COUNTIFS($A$4:$A40,$A41,$B$4:$B40,$B41,$I$4:$I40,"&lt;&gt;Complete")=0,$A41&amp;"|"&amp;$B41,""),"")</f>
        <v/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 t="s">
        <v>680</v>
      </c>
      <c r="B42" s="2" t="s">
        <v>62</v>
      </c>
      <c r="C42" s="3" t="s">
        <v>680</v>
      </c>
      <c r="D42" s="3" t="s">
        <v>18</v>
      </c>
      <c r="E42" s="2"/>
      <c r="F42" s="2" t="s">
        <v>197</v>
      </c>
      <c r="G42" s="5">
        <v>45469</v>
      </c>
      <c r="H42" s="5">
        <v>45469</v>
      </c>
      <c r="I42" s="2" t="s">
        <v>31</v>
      </c>
      <c r="J42" s="6">
        <f t="shared" si="1"/>
        <v>0</v>
      </c>
      <c r="K42" s="4" t="str">
        <f t="shared" ca="1" si="2"/>
        <v>-</v>
      </c>
      <c r="L42" s="7" t="str">
        <f>IF(I42="Completed","0",IF($H42="","",$H42-'[2]Read Me'!$B$4))</f>
        <v>0</v>
      </c>
      <c r="M42" s="4" t="str">
        <f>IF($I42="Complete","Green",IF($H42="","Amber",IF($H42&lt;'[2]Read Me'!$B$4,"Red",IF($H42-'[2]Read Me'!$B$4&lt;=21,"Amber","Green"))))</f>
        <v>Red</v>
      </c>
      <c r="N42" s="3"/>
      <c r="O42" t="str">
        <f>IF($I42&lt;&gt;"Complete",IF(COUNTIFS($A$4:$A41,$A42,$B$4:$B41,$B42,$I$4:$I41,"&lt;&gt;Complete")=0,$A42&amp;"|"&amp;$B42,""),"")</f>
        <v/>
      </c>
      <c r="P42" t="str">
        <f ca="1">IF($K42="Yes",COUNTIFS($K$4:$K42,"Yes"),"")</f>
        <v/>
      </c>
      <c r="Q42">
        <f t="shared" ca="1" si="3"/>
        <v>0</v>
      </c>
      <c r="R42" t="str">
        <f ca="1">IF($Q42=1,SUM($Q$4:$Q42),"")</f>
        <v/>
      </c>
    </row>
    <row r="43" spans="1:18" ht="22.5" customHeight="1" x14ac:dyDescent="0.3">
      <c r="A43" s="2" t="s">
        <v>680</v>
      </c>
      <c r="B43" s="2" t="s">
        <v>62</v>
      </c>
      <c r="C43" s="3" t="s">
        <v>680</v>
      </c>
      <c r="D43" s="3" t="s">
        <v>32</v>
      </c>
      <c r="E43" s="2"/>
      <c r="F43" s="2" t="s">
        <v>265</v>
      </c>
      <c r="G43" s="5">
        <v>45483</v>
      </c>
      <c r="H43" s="5">
        <v>45483</v>
      </c>
      <c r="I43" s="2" t="s">
        <v>31</v>
      </c>
      <c r="J43" s="6">
        <f t="shared" si="1"/>
        <v>0</v>
      </c>
      <c r="K43" s="4" t="str">
        <f t="shared" ca="1" si="2"/>
        <v>-</v>
      </c>
      <c r="L43" s="7" t="str">
        <f>IF(I43="Completed","0",IF($H43="","",$H43-'[2]Read Me'!$B$4))</f>
        <v>0</v>
      </c>
      <c r="M43" s="4" t="str">
        <f>IF($I43="Complete","Green",IF($H43="","Amber",IF($H43&lt;'[2]Read Me'!$B$4,"Red",IF($H43-'[2]Read Me'!$B$4&lt;=21,"Amber","Green"))))</f>
        <v>Red</v>
      </c>
      <c r="N43" s="3"/>
      <c r="O43" t="str">
        <f>IF($I43&lt;&gt;"Complete",IF(COUNTIFS($A$4:$A42,$A43,$B$4:$B42,$B43,$I$4:$I42,"&lt;&gt;Complete")=0,$A43&amp;"|"&amp;$B43,""),"")</f>
        <v/>
      </c>
      <c r="P43" t="str">
        <f ca="1">IF($K43="Yes",COUNTIFS($K$4:$K43,"Yes"),"")</f>
        <v/>
      </c>
      <c r="Q43">
        <f t="shared" ca="1" si="3"/>
        <v>0</v>
      </c>
      <c r="R43" t="str">
        <f ca="1">IF($Q43=1,SUM($Q$4:$Q43),"")</f>
        <v/>
      </c>
    </row>
    <row r="44" spans="1:18" ht="14.25" customHeight="1" x14ac:dyDescent="0.3">
      <c r="A44" s="2" t="s">
        <v>680</v>
      </c>
      <c r="B44" s="2" t="s">
        <v>62</v>
      </c>
      <c r="C44" s="3" t="s">
        <v>680</v>
      </c>
      <c r="D44" s="3" t="s">
        <v>19</v>
      </c>
      <c r="E44" s="2" t="s">
        <v>667</v>
      </c>
      <c r="F44" s="2" t="s">
        <v>81</v>
      </c>
      <c r="G44" s="5">
        <v>45483</v>
      </c>
      <c r="H44" s="5">
        <v>45483</v>
      </c>
      <c r="I44" s="4" t="s">
        <v>31</v>
      </c>
      <c r="J44" s="6">
        <f t="shared" si="1"/>
        <v>0</v>
      </c>
      <c r="K44" s="4" t="str">
        <f t="shared" ca="1" si="2"/>
        <v>-</v>
      </c>
      <c r="L44" s="7" t="str">
        <f>IF(I44="Completed","0",IF($H44="","",$H44-'[2]Read Me'!$B$4))</f>
        <v>0</v>
      </c>
      <c r="M44" s="4" t="str">
        <f>IF($I44="Complete","Green",IF($H44="","Amber",IF($H44&lt;'[2]Read Me'!$B$4,"Red",IF($H44-'[2]Read Me'!$B$4&lt;=21,"Amber","Green"))))</f>
        <v>Red</v>
      </c>
      <c r="N44" s="3"/>
      <c r="O44" t="str">
        <f>IF($I44&lt;&gt;"Complete",IF(COUNTIFS($A$4:$A43,$A44,$B$4:$B43,$B44,$I$4:$I43,"&lt;&gt;Complete")=0,$A44&amp;"|"&amp;$B44,""),"")</f>
        <v/>
      </c>
      <c r="P44" t="str">
        <f ca="1">IF($K44="Yes",COUNTIFS($K$4:$K44,"Yes"),"")</f>
        <v/>
      </c>
      <c r="Q44">
        <f t="shared" ca="1" si="3"/>
        <v>0</v>
      </c>
      <c r="R44" t="str">
        <f ca="1">IF($Q44=1,SUM($Q$4:$Q44),"")</f>
        <v/>
      </c>
    </row>
    <row r="45" spans="1:18" ht="14.25" customHeight="1" x14ac:dyDescent="0.3">
      <c r="A45" s="2" t="s">
        <v>680</v>
      </c>
      <c r="B45" s="2" t="s">
        <v>62</v>
      </c>
      <c r="C45" s="3" t="s">
        <v>680</v>
      </c>
      <c r="D45" s="3" t="s">
        <v>682</v>
      </c>
      <c r="E45" s="2"/>
      <c r="F45" s="2" t="s">
        <v>197</v>
      </c>
      <c r="G45" s="5">
        <v>45549</v>
      </c>
      <c r="H45" s="5">
        <v>45549</v>
      </c>
      <c r="I45" s="4" t="s">
        <v>31</v>
      </c>
      <c r="J45" s="6">
        <f t="shared" si="1"/>
        <v>0</v>
      </c>
      <c r="K45" s="4" t="str">
        <f t="shared" ca="1" si="2"/>
        <v>-</v>
      </c>
      <c r="L45" s="7" t="str">
        <f>IF(I45="Completed","0",IF($H45="","",$H45-'[2]Read Me'!$B$4))</f>
        <v>0</v>
      </c>
      <c r="M45" s="4" t="str">
        <f>IF($I45="Complete","Green",IF($H45="","Amber",IF($H45&lt;'[2]Read Me'!$B$4,"Red",IF($H45-'[2]Read Me'!$B$4&lt;=21,"Amber","Green"))))</f>
        <v>Red</v>
      </c>
      <c r="N45" s="3"/>
      <c r="O45" t="str">
        <f>IF($I45&lt;&gt;"Complete",IF(COUNTIFS($A$4:$A44,$A45,$B$4:$B44,$B45,$I$4:$I44,"&lt;&gt;Complete")=0,$A45&amp;"|"&amp;$B45,""),"")</f>
        <v/>
      </c>
      <c r="P45" t="str">
        <f ca="1">IF($K45="Yes",COUNTIFS($K$4:$K45,"Yes"),"")</f>
        <v/>
      </c>
      <c r="Q45">
        <f t="shared" ca="1" si="3"/>
        <v>0</v>
      </c>
      <c r="R45" t="str">
        <f ca="1">IF($Q45=1,SUM($Q$4:$Q45),"")</f>
        <v/>
      </c>
    </row>
    <row r="46" spans="1:18" ht="22.5" customHeight="1" x14ac:dyDescent="0.3">
      <c r="A46" s="2" t="s">
        <v>680</v>
      </c>
      <c r="B46" s="2" t="s">
        <v>62</v>
      </c>
      <c r="C46" s="3" t="s">
        <v>680</v>
      </c>
      <c r="D46" s="3" t="s">
        <v>15</v>
      </c>
      <c r="E46" s="2"/>
      <c r="F46" s="2" t="s">
        <v>197</v>
      </c>
      <c r="G46" s="5">
        <v>45608</v>
      </c>
      <c r="H46" s="5">
        <v>45613</v>
      </c>
      <c r="I46" s="4" t="s">
        <v>31</v>
      </c>
      <c r="J46" s="6">
        <f t="shared" si="1"/>
        <v>5</v>
      </c>
      <c r="K46" s="4" t="str">
        <f t="shared" ca="1" si="2"/>
        <v>-</v>
      </c>
      <c r="L46" s="7" t="str">
        <f>IF(I46="Completed","0",IF($H46="","",$H46-'[2]Read Me'!$B$4))</f>
        <v>0</v>
      </c>
      <c r="M46" s="4" t="str">
        <f>IF($I46="Complete","Green",IF($H46="","Amber",IF($H46&lt;'[2]Read Me'!$B$4,"Red",IF($H46-'[2]Read Me'!$B$4&lt;=21,"Amber","Green"))))</f>
        <v>Red</v>
      </c>
      <c r="N46" s="3"/>
      <c r="O46" t="str">
        <f>IF($I46&lt;&gt;"Complete",IF(COUNTIFS($A$4:$A45,$A46,$B$4:$B45,$B46,$I$4:$I45,"&lt;&gt;Complete")=0,$A46&amp;"|"&amp;$B46,""),"")</f>
        <v/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 t="s">
        <v>680</v>
      </c>
      <c r="B47" s="2" t="s">
        <v>62</v>
      </c>
      <c r="C47" s="3" t="s">
        <v>680</v>
      </c>
      <c r="D47" s="3" t="s">
        <v>35</v>
      </c>
      <c r="E47" s="2"/>
      <c r="F47" s="2" t="s">
        <v>265</v>
      </c>
      <c r="G47" s="5">
        <v>45630</v>
      </c>
      <c r="H47" s="5">
        <v>45656</v>
      </c>
      <c r="I47" s="4" t="s">
        <v>31</v>
      </c>
      <c r="J47" s="6">
        <f t="shared" si="1"/>
        <v>26</v>
      </c>
      <c r="K47" s="4" t="str">
        <f t="shared" ca="1" si="2"/>
        <v>-</v>
      </c>
      <c r="L47" s="7" t="str">
        <f>IF(I47="Completed","0",IF($H47="","",$H47-'[2]Read Me'!$B$4))</f>
        <v>0</v>
      </c>
      <c r="M47" s="4" t="str">
        <f>IF($I47="Complete","Green",IF($H47="","Amber",IF($H47&lt;'[2]Read Me'!$B$4,"Red",IF($H47-'[2]Read Me'!$B$4&lt;=21,"Amber","Green"))))</f>
        <v>Red</v>
      </c>
      <c r="N47" s="3"/>
      <c r="O47" t="str">
        <f>IF($I47&lt;&gt;"Complete",IF(COUNTIFS($A$4:$A46,$A47,$B$4:$B46,$B47,$I$4:$I46,"&lt;&gt;Complete")=0,$A47&amp;"|"&amp;$B47,""),"")</f>
        <v/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 t="s">
        <v>680</v>
      </c>
      <c r="B48" s="2" t="s">
        <v>62</v>
      </c>
      <c r="C48" s="3" t="s">
        <v>680</v>
      </c>
      <c r="D48" s="3" t="s">
        <v>683</v>
      </c>
      <c r="E48" s="2"/>
      <c r="F48" s="2" t="s">
        <v>197</v>
      </c>
      <c r="G48" s="5">
        <v>45630</v>
      </c>
      <c r="H48" s="5">
        <v>45656</v>
      </c>
      <c r="I48" s="4" t="s">
        <v>31</v>
      </c>
      <c r="J48" s="6">
        <f t="shared" si="1"/>
        <v>26</v>
      </c>
      <c r="K48" s="4" t="str">
        <f t="shared" ca="1" si="2"/>
        <v>-</v>
      </c>
      <c r="L48" s="7" t="str">
        <f>IF(I48="Completed","0",IF($H48="","",$H48-'[2]Read Me'!$B$4))</f>
        <v>0</v>
      </c>
      <c r="M48" s="4" t="str">
        <f>IF($I48="Complete","Green",IF($H48="","Amber",IF($H48&lt;'[2]Read Me'!$B$4,"Red",IF($H48-'[2]Read Me'!$B$4&lt;=21,"Amber","Green"))))</f>
        <v>Red</v>
      </c>
      <c r="N48" s="3"/>
      <c r="O48" t="str">
        <f>IF($I48&lt;&gt;"Complete",IF(COUNTIFS($A$4:$A47,$A48,$B$4:$B47,$B48,$I$4:$I47,"&lt;&gt;Complete")=0,$A48&amp;"|"&amp;$B48,""),"")</f>
        <v/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 t="s">
        <v>680</v>
      </c>
      <c r="B49" s="2" t="s">
        <v>62</v>
      </c>
      <c r="C49" s="3" t="s">
        <v>680</v>
      </c>
      <c r="D49" s="3" t="s">
        <v>20</v>
      </c>
      <c r="E49" s="2" t="s">
        <v>667</v>
      </c>
      <c r="F49" s="2" t="s">
        <v>81</v>
      </c>
      <c r="G49" s="5">
        <v>45630</v>
      </c>
      <c r="H49" s="5">
        <v>45656</v>
      </c>
      <c r="I49" s="4" t="s">
        <v>31</v>
      </c>
      <c r="J49" s="6">
        <f t="shared" si="1"/>
        <v>26</v>
      </c>
      <c r="K49" s="4" t="str">
        <f t="shared" ca="1" si="2"/>
        <v>-</v>
      </c>
      <c r="L49" s="7" t="str">
        <f>IF(I49="Completed","0",IF($H49="","",$H49-'[2]Read Me'!$B$4))</f>
        <v>0</v>
      </c>
      <c r="M49" s="4" t="str">
        <f>IF($I49="Complete","Green",IF($H49="","Amber",IF($H49&lt;'[2]Read Me'!$B$4,"Red",IF($H49-'[2]Read Me'!$B$4&lt;=21,"Amber","Green"))))</f>
        <v>Red</v>
      </c>
      <c r="N49" s="3"/>
      <c r="O49" t="str">
        <f>IF($I49&lt;&gt;"Complete",IF(COUNTIFS($A$4:$A48,$A49,$B$4:$B48,$B49,$I$4:$I48,"&lt;&gt;Complete")=0,$A49&amp;"|"&amp;$B49,""),"")</f>
        <v/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 t="s">
        <v>680</v>
      </c>
      <c r="B50" s="2" t="s">
        <v>62</v>
      </c>
      <c r="C50" s="3" t="s">
        <v>680</v>
      </c>
      <c r="D50" s="3" t="s">
        <v>684</v>
      </c>
      <c r="E50" s="2"/>
      <c r="F50" s="2" t="s">
        <v>197</v>
      </c>
      <c r="G50" s="5">
        <v>45775</v>
      </c>
      <c r="H50" s="5">
        <v>45775</v>
      </c>
      <c r="I50" s="4" t="s">
        <v>31</v>
      </c>
      <c r="J50" s="6">
        <f t="shared" si="1"/>
        <v>0</v>
      </c>
      <c r="K50" s="4" t="str">
        <f t="shared" ca="1" si="2"/>
        <v>-</v>
      </c>
      <c r="L50" s="7" t="str">
        <f>IF(I50="Completed","0",IF($H50="","",$H50-'[2]Read Me'!$B$4))</f>
        <v>0</v>
      </c>
      <c r="M50" s="4" t="str">
        <f>IF($I50="Complete","Green",IF($H50="","Amber",IF($H50&lt;'[2]Read Me'!$B$4,"Red",IF($H50-'[2]Read Me'!$B$4&lt;=21,"Amber","Green"))))</f>
        <v>Red</v>
      </c>
      <c r="N50" s="3"/>
      <c r="O50" t="str">
        <f>IF($I50&lt;&gt;"Complete",IF(COUNTIFS($A$4:$A49,$A50,$B$4:$B49,$B50,$I$4:$I49,"&lt;&gt;Complete")=0,$A50&amp;"|"&amp;$B50,""),"")</f>
        <v/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 t="s">
        <v>680</v>
      </c>
      <c r="B51" s="2" t="s">
        <v>62</v>
      </c>
      <c r="C51" s="3" t="s">
        <v>680</v>
      </c>
      <c r="D51" s="3" t="s">
        <v>685</v>
      </c>
      <c r="E51" s="2"/>
      <c r="F51" s="2" t="s">
        <v>265</v>
      </c>
      <c r="G51" s="5">
        <v>45796</v>
      </c>
      <c r="H51" s="5">
        <v>45796</v>
      </c>
      <c r="I51" s="4" t="s">
        <v>31</v>
      </c>
      <c r="J51" s="6">
        <f t="shared" si="1"/>
        <v>0</v>
      </c>
      <c r="K51" s="4" t="str">
        <f t="shared" ca="1" si="2"/>
        <v>-</v>
      </c>
      <c r="L51" s="7" t="str">
        <f>IF(I51="Completed","0",IF($H51="","",$H51-'[2]Read Me'!$B$4))</f>
        <v>0</v>
      </c>
      <c r="M51" s="4" t="str">
        <f>IF($I51="Complete","Green",IF($H51="","Amber",IF($H51&lt;'[2]Read Me'!$B$4,"Red",IF($H51-'[2]Read Me'!$B$4&lt;=21,"Amber","Green"))))</f>
        <v>Red</v>
      </c>
      <c r="N51" s="3"/>
      <c r="O51" t="str">
        <f>IF($I51&lt;&gt;"Complete",IF(COUNTIFS($A$4:$A50,$A51,$B$4:$B50,$B51,$I$4:$I50,"&lt;&gt;Complete")=0,$A51&amp;"|"&amp;$B51,""),"")</f>
        <v/>
      </c>
      <c r="P51" t="str">
        <f ca="1">IF($K51="Yes",COUNTIFS($K$4:$K51,"Yes"),"")</f>
        <v/>
      </c>
      <c r="Q51">
        <f t="shared" ca="1" si="3"/>
        <v>0</v>
      </c>
      <c r="R51" t="str">
        <f ca="1">IF($Q51=1,SUM($Q$4:$Q51),"")</f>
        <v/>
      </c>
    </row>
    <row r="52" spans="1:18" ht="33.75" customHeight="1" x14ac:dyDescent="0.3">
      <c r="A52" s="2" t="s">
        <v>680</v>
      </c>
      <c r="B52" s="2" t="s">
        <v>62</v>
      </c>
      <c r="C52" s="3" t="s">
        <v>680</v>
      </c>
      <c r="D52" s="3" t="s">
        <v>686</v>
      </c>
      <c r="E52" s="2" t="s">
        <v>664</v>
      </c>
      <c r="F52" s="2" t="s">
        <v>197</v>
      </c>
      <c r="G52" s="5"/>
      <c r="H52" s="5">
        <v>46209</v>
      </c>
      <c r="I52" s="4" t="s">
        <v>46</v>
      </c>
      <c r="J52" s="6" t="str">
        <f t="shared" si="1"/>
        <v/>
      </c>
      <c r="K52" s="4" t="str">
        <f t="shared" ca="1" si="2"/>
        <v>No</v>
      </c>
      <c r="L52" s="7">
        <f>IF(I52="Completed","0",IF($H52="","",$H52-'[2]Read Me'!$B$4))</f>
        <v>22</v>
      </c>
      <c r="M52" s="4" t="str">
        <f>IF($I52="Complete","Green",IF($H52="","Amber",IF($H52&lt;'[2]Read Me'!$B$4,"Red",IF($H52-'[2]Read Me'!$B$4&lt;=21,"Amber","Green"))))</f>
        <v>Green</v>
      </c>
      <c r="N52" s="3"/>
      <c r="O52" t="str">
        <f>IF($I52&lt;&gt;"Complete",IF(COUNTIFS($A$4:$A51,$A52,$B$4:$B51,$B52,$I$4:$I51,"&lt;&gt;Complete")=0,$A52&amp;"|"&amp;$B52,""),"")</f>
        <v/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 t="s">
        <v>680</v>
      </c>
      <c r="B53" s="2" t="s">
        <v>62</v>
      </c>
      <c r="C53" s="3" t="s">
        <v>680</v>
      </c>
      <c r="D53" s="3" t="s">
        <v>37</v>
      </c>
      <c r="E53" s="2" t="s">
        <v>664</v>
      </c>
      <c r="F53" s="2" t="s">
        <v>265</v>
      </c>
      <c r="G53" s="5"/>
      <c r="H53" s="5">
        <v>46223</v>
      </c>
      <c r="I53" s="4" t="s">
        <v>17</v>
      </c>
      <c r="J53" s="6" t="str">
        <f t="shared" si="1"/>
        <v/>
      </c>
      <c r="K53" s="4" t="str">
        <f t="shared" ca="1" si="2"/>
        <v>No</v>
      </c>
      <c r="L53" s="7">
        <f>IF(I53="Completed","0",IF($H53="","",$H53-'[2]Read Me'!$B$4))</f>
        <v>36</v>
      </c>
      <c r="M53" s="4" t="str">
        <f>IF($I53="Complete","Green",IF($H53="","Amber",IF($H53&lt;'[2]Read Me'!$B$4,"Red",IF($H53-'[2]Read Me'!$B$4&lt;=21,"Amber","Green"))))</f>
        <v>Green</v>
      </c>
      <c r="N53" s="3"/>
      <c r="O53" t="str">
        <f>IF($I53&lt;&gt;"Complete",IF(COUNTIFS($A$4:$A52,$A53,$B$4:$B52,$B53,$I$4:$I52,"&lt;&gt;Complete")=0,$A53&amp;"|"&amp;$B53,""),"")</f>
        <v/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 t="s">
        <v>687</v>
      </c>
      <c r="B54" s="2" t="s">
        <v>49</v>
      </c>
      <c r="C54" s="3"/>
      <c r="D54" s="3"/>
      <c r="E54" s="2"/>
      <c r="F54" s="2"/>
      <c r="G54" s="5">
        <v>46027</v>
      </c>
      <c r="H54" s="5">
        <v>46307</v>
      </c>
      <c r="I54" s="4"/>
      <c r="J54" s="6">
        <f t="shared" si="1"/>
        <v>280</v>
      </c>
      <c r="K54" s="4" t="str">
        <f t="shared" ca="1" si="2"/>
        <v/>
      </c>
      <c r="L54" s="7">
        <f>IF(I54="Completed","0",IF($H54="","",$H54-'[2]Read Me'!$B$4))</f>
        <v>120</v>
      </c>
      <c r="M54" s="4" t="str">
        <f>IF($I54="Complete","Green",IF($H54="","Amber",IF($H54&lt;'[2]Read Me'!$B$4,"Red",IF($H54-'[2]Read Me'!$B$4&lt;=21,"Amber","Green"))))</f>
        <v>Green</v>
      </c>
      <c r="N54" s="3"/>
      <c r="O54" t="str">
        <f>IF($I54&lt;&gt;"Complete",IF(COUNTIFS($A$4:$A53,$A54,$B$4:$B53,$B54,$I$4:$I53,"&lt;&gt;Complete")=0,$A54&amp;"|"&amp;$B54,""),"")</f>
        <v>Authorities Twain Apartments-Phase 5|Authorities</v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 t="s">
        <v>687</v>
      </c>
      <c r="B55" s="2" t="s">
        <v>49</v>
      </c>
      <c r="C55" s="3" t="s">
        <v>687</v>
      </c>
      <c r="D55" s="3" t="s">
        <v>688</v>
      </c>
      <c r="E55" s="2" t="s">
        <v>104</v>
      </c>
      <c r="F55" s="2"/>
      <c r="G55" s="5">
        <v>45943</v>
      </c>
      <c r="H55" s="5">
        <v>46113</v>
      </c>
      <c r="I55" s="4" t="s">
        <v>31</v>
      </c>
      <c r="J55" s="6">
        <f t="shared" si="1"/>
        <v>170</v>
      </c>
      <c r="K55" s="4" t="str">
        <f t="shared" ca="1" si="2"/>
        <v>-</v>
      </c>
      <c r="L55" s="7" t="str">
        <f>IF(I55="Completed","0",IF($H55="","",$H55-'[2]Read Me'!$B$4))</f>
        <v>0</v>
      </c>
      <c r="M55" s="4" t="str">
        <f>IF($I55="Complete","Green",IF($H55="","Amber",IF($H55&lt;'[2]Read Me'!$B$4,"Red",IF($H55-'[2]Read Me'!$B$4&lt;=21,"Amber","Green"))))</f>
        <v>Red</v>
      </c>
      <c r="N55" s="3"/>
      <c r="O55" t="str">
        <f>IF($I55&lt;&gt;"Complete",IF(COUNTIFS($A$4:$A54,$A55,$B$4:$B54,$B55,$I$4:$I54,"&lt;&gt;Complete")=0,$A55&amp;"|"&amp;$B55,""),"")</f>
        <v/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 t="s">
        <v>687</v>
      </c>
      <c r="B56" s="2" t="s">
        <v>49</v>
      </c>
      <c r="C56" s="3" t="s">
        <v>687</v>
      </c>
      <c r="D56" s="3" t="s">
        <v>689</v>
      </c>
      <c r="E56" s="2" t="s">
        <v>104</v>
      </c>
      <c r="F56" s="2"/>
      <c r="G56" s="5">
        <v>45985</v>
      </c>
      <c r="H56" s="5">
        <v>46223</v>
      </c>
      <c r="I56" s="4" t="s">
        <v>46</v>
      </c>
      <c r="J56" s="6">
        <f t="shared" si="1"/>
        <v>238</v>
      </c>
      <c r="K56" s="4" t="str">
        <f t="shared" ca="1" si="2"/>
        <v>No</v>
      </c>
      <c r="L56" s="7">
        <f>IF(I56="Completed","0",IF($H56="","",$H56-'[2]Read Me'!$B$4))</f>
        <v>36</v>
      </c>
      <c r="M56" s="4" t="str">
        <f>IF($I56="Complete","Green",IF($H56="","Amber",IF($H56&lt;'[2]Read Me'!$B$4,"Red",IF($H56-'[2]Read Me'!$B$4&lt;=21,"Amber","Green"))))</f>
        <v>Green</v>
      </c>
      <c r="N56" s="3"/>
      <c r="O56" t="str">
        <f>IF($I56&lt;&gt;"Complete",IF(COUNTIFS($A$4:$A55,$A56,$B$4:$B55,$B56,$I$4:$I55,"&lt;&gt;Complete")=0,$A56&amp;"|"&amp;$B56,""),"")</f>
        <v/>
      </c>
      <c r="P56" t="str">
        <f ca="1">IF($K56="Yes",COUNTIFS($K$4:$K56,"Yes"),"")</f>
        <v/>
      </c>
      <c r="Q56">
        <f t="shared" ca="1" si="3"/>
        <v>0</v>
      </c>
      <c r="R56" t="str">
        <f ca="1">IF($Q56=1,SUM($Q$4:$Q56),"")</f>
        <v/>
      </c>
    </row>
    <row r="57" spans="1:18" ht="14.25" customHeight="1" x14ac:dyDescent="0.3">
      <c r="A57" s="2" t="s">
        <v>687</v>
      </c>
      <c r="B57" s="2" t="s">
        <v>49</v>
      </c>
      <c r="C57" s="3" t="s">
        <v>687</v>
      </c>
      <c r="D57" s="3" t="s">
        <v>690</v>
      </c>
      <c r="E57" s="2" t="s">
        <v>104</v>
      </c>
      <c r="F57" s="2"/>
      <c r="G57" s="5">
        <v>46027</v>
      </c>
      <c r="H57" s="5">
        <v>46265</v>
      </c>
      <c r="I57" s="4" t="s">
        <v>17</v>
      </c>
      <c r="J57" s="6">
        <f t="shared" si="1"/>
        <v>238</v>
      </c>
      <c r="K57" s="4" t="str">
        <f t="shared" ca="1" si="2"/>
        <v>No</v>
      </c>
      <c r="L57" s="7">
        <f>IF(I57="Completed","0",IF($H57="","",$H57-'[2]Read Me'!$B$4))</f>
        <v>78</v>
      </c>
      <c r="M57" s="4" t="str">
        <f>IF($I57="Complete","Green",IF($H57="","Amber",IF($H57&lt;'[2]Read Me'!$B$4,"Red",IF($H57-'[2]Read Me'!$B$4&lt;=21,"Amber","Green"))))</f>
        <v>Green</v>
      </c>
      <c r="N57" s="3"/>
      <c r="O57" t="str">
        <f>IF($I57&lt;&gt;"Complete",IF(COUNTIFS($A$4:$A56,$A57,$B$4:$B56,$B57,$I$4:$I56,"&lt;&gt;Complete")=0,$A57&amp;"|"&amp;$B57,""),"")</f>
        <v/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 t="s">
        <v>687</v>
      </c>
      <c r="B58" s="2" t="s">
        <v>49</v>
      </c>
      <c r="C58" s="3" t="s">
        <v>687</v>
      </c>
      <c r="D58" s="3" t="s">
        <v>691</v>
      </c>
      <c r="E58" s="2" t="s">
        <v>104</v>
      </c>
      <c r="F58" s="2"/>
      <c r="G58" s="5">
        <v>46069</v>
      </c>
      <c r="H58" s="5">
        <v>46307</v>
      </c>
      <c r="I58" s="4" t="s">
        <v>17</v>
      </c>
      <c r="J58" s="6">
        <f t="shared" si="1"/>
        <v>238</v>
      </c>
      <c r="K58" s="4" t="str">
        <f t="shared" ca="1" si="2"/>
        <v>No</v>
      </c>
      <c r="L58" s="7">
        <f>IF(I58="Completed","0",IF($H58="","",$H58-'[2]Read Me'!$B$4))</f>
        <v>120</v>
      </c>
      <c r="M58" s="4" t="str">
        <f>IF($I58="Complete","Green",IF($H58="","Amber",IF($H58&lt;'[2]Read Me'!$B$4,"Red",IF($H58-'[2]Read Me'!$B$4&lt;=21,"Amber","Green"))))</f>
        <v>Green</v>
      </c>
      <c r="N58" s="3"/>
      <c r="O58" t="str">
        <f>IF($I58&lt;&gt;"Complete",IF(COUNTIFS($A$4:$A57,$A58,$B$4:$B57,$B58,$I$4:$I57,"&lt;&gt;Complete")=0,$A58&amp;"|"&amp;$B58,""),"")</f>
        <v/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 t="s">
        <v>692</v>
      </c>
      <c r="B59" s="2" t="s">
        <v>62</v>
      </c>
      <c r="C59" s="3"/>
      <c r="D59" s="3"/>
      <c r="E59" s="2"/>
      <c r="F59" s="2"/>
      <c r="G59" s="5">
        <v>45830</v>
      </c>
      <c r="H59" s="5">
        <v>46174</v>
      </c>
      <c r="I59" s="4"/>
      <c r="J59" s="6">
        <f t="shared" si="1"/>
        <v>344</v>
      </c>
      <c r="K59" s="4" t="str">
        <f t="shared" ca="1" si="2"/>
        <v/>
      </c>
      <c r="L59" s="7">
        <f>IF(I59="Completed","0",IF($H59="","",$H59-'[2]Read Me'!$B$4))</f>
        <v>-13</v>
      </c>
      <c r="M59" s="4" t="str">
        <f>IF($I59="Complete","Green",IF($H59="","Amber",IF($H59&lt;'[2]Read Me'!$B$4,"Red",IF($H59-'[2]Read Me'!$B$4&lt;=21,"Amber","Green"))))</f>
        <v>Red</v>
      </c>
      <c r="N59" s="3"/>
      <c r="O59" t="str">
        <f>IF($I59&lt;&gt;"Complete",IF(COUNTIFS($A$4:$A58,$A59,$B$4:$B58,$B59,$I$4:$I58,"&lt;&gt;Complete")=0,$A59&amp;"|"&amp;$B59,""),"")</f>
        <v>One Story Villas-Ph5|Buildings</v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 t="s">
        <v>692</v>
      </c>
      <c r="B60" s="2" t="s">
        <v>62</v>
      </c>
      <c r="C60" s="3" t="s">
        <v>692</v>
      </c>
      <c r="D60" s="3" t="s">
        <v>693</v>
      </c>
      <c r="E60" s="2"/>
      <c r="F60" s="2" t="s">
        <v>197</v>
      </c>
      <c r="G60" s="5"/>
      <c r="H60" s="5">
        <v>45286</v>
      </c>
      <c r="I60" s="4" t="s">
        <v>31</v>
      </c>
      <c r="J60" s="6" t="str">
        <f t="shared" si="1"/>
        <v/>
      </c>
      <c r="K60" s="4" t="str">
        <f t="shared" ca="1" si="2"/>
        <v>-</v>
      </c>
      <c r="L60" s="7" t="str">
        <f>IF(I60="Completed","0",IF($H60="","",$H60-'[2]Read Me'!$B$4))</f>
        <v>0</v>
      </c>
      <c r="M60" s="4" t="str">
        <f>IF($I60="Complete","Green",IF($H60="","Amber",IF($H60&lt;'[2]Read Me'!$B$4,"Red",IF($H60-'[2]Read Me'!$B$4&lt;=21,"Amber","Green"))))</f>
        <v>Red</v>
      </c>
      <c r="N60" s="3"/>
      <c r="O60" t="str">
        <f>IF($I60&lt;&gt;"Complete",IF(COUNTIFS($A$4:$A59,$A60,$B$4:$B59,$B60,$I$4:$I59,"&lt;&gt;Complete")=0,$A60&amp;"|"&amp;$B60,""),"")</f>
        <v/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 t="s">
        <v>692</v>
      </c>
      <c r="B61" s="2" t="s">
        <v>62</v>
      </c>
      <c r="C61" s="3" t="s">
        <v>692</v>
      </c>
      <c r="D61" s="3" t="s">
        <v>694</v>
      </c>
      <c r="E61" s="2"/>
      <c r="F61" s="2" t="s">
        <v>265</v>
      </c>
      <c r="G61" s="5"/>
      <c r="H61" s="5">
        <v>45307</v>
      </c>
      <c r="I61" s="4" t="s">
        <v>31</v>
      </c>
      <c r="J61" s="6" t="str">
        <f t="shared" si="1"/>
        <v/>
      </c>
      <c r="K61" s="4" t="str">
        <f t="shared" ca="1" si="2"/>
        <v>-</v>
      </c>
      <c r="L61" s="7" t="str">
        <f>IF(I61="Completed","0",IF($H61="","",$H61-'[2]Read Me'!$B$4))</f>
        <v>0</v>
      </c>
      <c r="M61" s="4" t="str">
        <f>IF($I61="Complete","Green",IF($H61="","Amber",IF($H61&lt;'[2]Read Me'!$B$4,"Red",IF($H61-'[2]Read Me'!$B$4&lt;=21,"Amber","Green"))))</f>
        <v>Red</v>
      </c>
      <c r="N61" s="3"/>
      <c r="O61" t="str">
        <f>IF($I61&lt;&gt;"Complete",IF(COUNTIFS($A$4:$A60,$A61,$B$4:$B60,$B61,$I$4:$I60,"&lt;&gt;Complete")=0,$A61&amp;"|"&amp;$B61,""),"")</f>
        <v/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 t="s">
        <v>692</v>
      </c>
      <c r="B62" s="2" t="s">
        <v>62</v>
      </c>
      <c r="C62" s="3" t="s">
        <v>692</v>
      </c>
      <c r="D62" s="3" t="s">
        <v>132</v>
      </c>
      <c r="E62" s="2" t="s">
        <v>667</v>
      </c>
      <c r="F62" s="2" t="s">
        <v>81</v>
      </c>
      <c r="G62" s="5"/>
      <c r="H62" s="5">
        <v>45321</v>
      </c>
      <c r="I62" s="4" t="s">
        <v>31</v>
      </c>
      <c r="J62" s="6" t="str">
        <f t="shared" si="1"/>
        <v/>
      </c>
      <c r="K62" s="4" t="str">
        <f t="shared" ca="1" si="2"/>
        <v>-</v>
      </c>
      <c r="L62" s="7" t="str">
        <f>IF(I62="Completed","0",IF($H62="","",$H62-'[2]Read Me'!$B$4))</f>
        <v>0</v>
      </c>
      <c r="M62" s="4" t="str">
        <f>IF($I62="Complete","Green",IF($H62="","Amber",IF($H62&lt;'[2]Read Me'!$B$4,"Red",IF($H62-'[2]Read Me'!$B$4&lt;=21,"Amber","Green"))))</f>
        <v>Red</v>
      </c>
      <c r="N62" s="3"/>
      <c r="O62" t="str">
        <f>IF($I62&lt;&gt;"Complete",IF(COUNTIFS($A$4:$A61,$A62,$B$4:$B61,$B62,$I$4:$I61,"&lt;&gt;Complete")=0,$A62&amp;"|"&amp;$B62,""),"")</f>
        <v/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 t="s">
        <v>692</v>
      </c>
      <c r="B63" s="2" t="s">
        <v>62</v>
      </c>
      <c r="C63" s="3" t="s">
        <v>692</v>
      </c>
      <c r="D63" s="3" t="s">
        <v>695</v>
      </c>
      <c r="E63" s="2"/>
      <c r="F63" s="2" t="s">
        <v>197</v>
      </c>
      <c r="G63" s="5">
        <v>45286</v>
      </c>
      <c r="H63" s="5">
        <v>45458</v>
      </c>
      <c r="I63" s="4" t="s">
        <v>31</v>
      </c>
      <c r="J63" s="6">
        <f t="shared" si="1"/>
        <v>172</v>
      </c>
      <c r="K63" s="4" t="str">
        <f t="shared" ca="1" si="2"/>
        <v>-</v>
      </c>
      <c r="L63" s="7" t="str">
        <f>IF(I63="Completed","0",IF($H63="","",$H63-'[2]Read Me'!$B$4))</f>
        <v>0</v>
      </c>
      <c r="M63" s="4" t="str">
        <f>IF($I63="Complete","Green",IF($H63="","Amber",IF($H63&lt;'[2]Read Me'!$B$4,"Red",IF($H63-'[2]Read Me'!$B$4&lt;=21,"Amber","Green"))))</f>
        <v>Red</v>
      </c>
      <c r="N63" s="3"/>
      <c r="O63" t="str">
        <f>IF($I63&lt;&gt;"Complete",IF(COUNTIFS($A$4:$A62,$A63,$B$4:$B62,$B63,$I$4:$I62,"&lt;&gt;Complete")=0,$A63&amp;"|"&amp;$B63,""),"")</f>
        <v/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 t="s">
        <v>692</v>
      </c>
      <c r="B64" s="2" t="s">
        <v>62</v>
      </c>
      <c r="C64" s="3" t="s">
        <v>692</v>
      </c>
      <c r="D64" s="3" t="s">
        <v>696</v>
      </c>
      <c r="E64" s="2"/>
      <c r="F64" s="2" t="s">
        <v>265</v>
      </c>
      <c r="G64" s="5">
        <v>45307</v>
      </c>
      <c r="H64" s="5">
        <v>45472</v>
      </c>
      <c r="I64" s="4" t="s">
        <v>31</v>
      </c>
      <c r="J64" s="6">
        <f t="shared" si="1"/>
        <v>165</v>
      </c>
      <c r="K64" s="4" t="str">
        <f t="shared" ca="1" si="2"/>
        <v>-</v>
      </c>
      <c r="L64" s="7" t="str">
        <f>IF(I64="Completed","0",IF($H64="","",$H64-'[2]Read Me'!$B$4))</f>
        <v>0</v>
      </c>
      <c r="M64" s="4" t="str">
        <f>IF($I64="Complete","Green",IF($H64="","Amber",IF($H64&lt;'[2]Read Me'!$B$4,"Red",IF($H64-'[2]Read Me'!$B$4&lt;=21,"Amber","Green"))))</f>
        <v>Red</v>
      </c>
      <c r="N64" s="3"/>
      <c r="O64" t="str">
        <f>IF($I64&lt;&gt;"Complete",IF(COUNTIFS($A$4:$A63,$A64,$B$4:$B63,$B64,$I$4:$I63,"&lt;&gt;Complete")=0,$A64&amp;"|"&amp;$B64,""),"")</f>
        <v/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 t="s">
        <v>692</v>
      </c>
      <c r="B65" s="2" t="s">
        <v>62</v>
      </c>
      <c r="C65" s="3" t="s">
        <v>692</v>
      </c>
      <c r="D65" s="3" t="s">
        <v>697</v>
      </c>
      <c r="E65" s="2"/>
      <c r="F65" s="2" t="s">
        <v>197</v>
      </c>
      <c r="G65" s="5"/>
      <c r="H65" s="5"/>
      <c r="I65" s="4" t="s">
        <v>31</v>
      </c>
      <c r="J65" s="6" t="str">
        <f t="shared" si="1"/>
        <v/>
      </c>
      <c r="K65" s="4" t="str">
        <f t="shared" ca="1" si="2"/>
        <v/>
      </c>
      <c r="L65" s="7" t="str">
        <f>IF(I65="Completed","0",IF($H65="","",$H65-'[2]Read Me'!$B$4))</f>
        <v>0</v>
      </c>
      <c r="M65" s="4" t="str">
        <f>IF($I65="Complete","Green",IF($H65="","Amber",IF($H65&lt;'[2]Read Me'!$B$4,"Red",IF($H65-'[2]Read Me'!$B$4&lt;=21,"Amber","Green"))))</f>
        <v>Amber</v>
      </c>
      <c r="N65" s="3"/>
      <c r="O65" t="str">
        <f>IF($I65&lt;&gt;"Complete",IF(COUNTIFS($A$4:$A64,$A65,$B$4:$B64,$B65,$I$4:$I64,"&lt;&gt;Complete")=0,$A65&amp;"|"&amp;$B65,""),"")</f>
        <v/>
      </c>
      <c r="P65" t="str">
        <f ca="1">IF($K65="Yes",COUNTIFS($K$4:$K65,"Yes"),"")</f>
        <v/>
      </c>
      <c r="Q65">
        <f t="shared" ca="1" si="3"/>
        <v>0</v>
      </c>
      <c r="R65" t="str">
        <f ca="1">IF($Q65=1,SUM($Q$4:$Q65),"")</f>
        <v/>
      </c>
    </row>
    <row r="66" spans="1:18" ht="22.5" customHeight="1" x14ac:dyDescent="0.3">
      <c r="A66" s="2" t="s">
        <v>692</v>
      </c>
      <c r="B66" s="2" t="s">
        <v>62</v>
      </c>
      <c r="C66" s="3" t="s">
        <v>692</v>
      </c>
      <c r="D66" s="3" t="s">
        <v>18</v>
      </c>
      <c r="E66" s="2"/>
      <c r="F66" s="2" t="s">
        <v>197</v>
      </c>
      <c r="G66" s="5">
        <v>45544</v>
      </c>
      <c r="H66" s="5">
        <v>45544</v>
      </c>
      <c r="I66" s="4" t="s">
        <v>31</v>
      </c>
      <c r="J66" s="6">
        <f t="shared" si="1"/>
        <v>0</v>
      </c>
      <c r="K66" s="4" t="str">
        <f t="shared" ca="1" si="2"/>
        <v>-</v>
      </c>
      <c r="L66" s="7" t="str">
        <f>IF(I66="Completed","0",IF($H66="","",$H66-'[2]Read Me'!$B$4))</f>
        <v>0</v>
      </c>
      <c r="M66" s="4" t="str">
        <f>IF($I66="Complete","Green",IF($H66="","Amber",IF($H66&lt;'[2]Read Me'!$B$4,"Red",IF($H66-'[2]Read Me'!$B$4&lt;=21,"Amber","Green"))))</f>
        <v>Red</v>
      </c>
      <c r="N66" s="3"/>
      <c r="O66" t="str">
        <f>IF($I66&lt;&gt;"Complete",IF(COUNTIFS($A$4:$A65,$A66,$B$4:$B65,$B66,$I$4:$I65,"&lt;&gt;Complete")=0,$A66&amp;"|"&amp;$B66,""),"")</f>
        <v/>
      </c>
      <c r="P66" t="str">
        <f ca="1">IF($K66="Yes",COUNTIFS($K$4:$K66,"Yes"),"")</f>
        <v/>
      </c>
      <c r="Q66">
        <f t="shared" ca="1" si="3"/>
        <v>0</v>
      </c>
      <c r="R66" t="str">
        <f ca="1">IF($Q66=1,SUM($Q$4:$Q66),"")</f>
        <v/>
      </c>
    </row>
    <row r="67" spans="1:18" ht="22.5" customHeight="1" x14ac:dyDescent="0.3">
      <c r="A67" s="2" t="s">
        <v>692</v>
      </c>
      <c r="B67" s="2" t="s">
        <v>62</v>
      </c>
      <c r="C67" s="3" t="s">
        <v>692</v>
      </c>
      <c r="D67" s="3" t="s">
        <v>32</v>
      </c>
      <c r="E67" s="2"/>
      <c r="F67" s="2" t="s">
        <v>265</v>
      </c>
      <c r="G67" s="5">
        <v>45585</v>
      </c>
      <c r="H67" s="5">
        <v>45585</v>
      </c>
      <c r="I67" s="4" t="s">
        <v>31</v>
      </c>
      <c r="J67" s="6">
        <f t="shared" si="1"/>
        <v>0</v>
      </c>
      <c r="K67" s="4" t="str">
        <f t="shared" ca="1" si="2"/>
        <v>-</v>
      </c>
      <c r="L67" s="7" t="str">
        <f>IF(I67="Completed","0",IF($H67="","",$H67-'[2]Read Me'!$B$4))</f>
        <v>0</v>
      </c>
      <c r="M67" s="4" t="str">
        <f>IF($I67="Complete","Green",IF($H67="","Amber",IF($H67&lt;'[2]Read Me'!$B$4,"Red",IF($H67-'[2]Read Me'!$B$4&lt;=21,"Amber","Green"))))</f>
        <v>Red</v>
      </c>
      <c r="N67" s="3"/>
      <c r="O67" t="str">
        <f>IF($I67&lt;&gt;"Complete",IF(COUNTIFS($A$4:$A66,$A67,$B$4:$B66,$B67,$I$4:$I66,"&lt;&gt;Complete")=0,$A67&amp;"|"&amp;$B67,""),"")</f>
        <v/>
      </c>
      <c r="P67" t="str">
        <f ca="1">IF($K67="Yes",COUNTIFS($K$4:$K67,"Yes"),"")</f>
        <v/>
      </c>
      <c r="Q67">
        <f t="shared" ca="1" si="3"/>
        <v>0</v>
      </c>
      <c r="R67" t="str">
        <f ca="1">IF($Q67=1,SUM($Q$4:$Q67),"")</f>
        <v/>
      </c>
    </row>
    <row r="68" spans="1:18" ht="22.5" customHeight="1" x14ac:dyDescent="0.3">
      <c r="A68" s="2" t="s">
        <v>692</v>
      </c>
      <c r="B68" s="2" t="s">
        <v>62</v>
      </c>
      <c r="C68" s="3" t="s">
        <v>692</v>
      </c>
      <c r="D68" s="3" t="s">
        <v>19</v>
      </c>
      <c r="E68" s="2" t="s">
        <v>667</v>
      </c>
      <c r="F68" s="2" t="s">
        <v>81</v>
      </c>
      <c r="G68" s="5">
        <v>45592</v>
      </c>
      <c r="H68" s="5">
        <v>45592</v>
      </c>
      <c r="I68" s="4" t="s">
        <v>31</v>
      </c>
      <c r="J68" s="6">
        <f t="shared" ref="J68:J131" si="4">IF(OR($G68="",$H68=""),"",$H68-$G68)</f>
        <v>0</v>
      </c>
      <c r="K68" s="4" t="str">
        <f t="shared" ref="K68:K131" ca="1" si="5">IF(C68="","",IF(H68="","",IF($I68="completed","-",IF($H68&gt;TODAY(),"No","Yes"))))</f>
        <v>-</v>
      </c>
      <c r="L68" s="7" t="str">
        <f>IF(I68="Completed","0",IF($H68="","",$H68-'[2]Read Me'!$B$4))</f>
        <v>0</v>
      </c>
      <c r="M68" s="4" t="str">
        <f>IF($I68="Complete","Green",IF($H68="","Amber",IF($H68&lt;'[2]Read Me'!$B$4,"Red",IF($H68-'[2]Read Me'!$B$4&lt;=21,"Amber","Green"))))</f>
        <v>Red</v>
      </c>
      <c r="N68" s="3"/>
      <c r="O68" t="str">
        <f>IF($I68&lt;&gt;"Complete",IF(COUNTIFS($A$4:$A67,$A68,$B$4:$B67,$B68,$I$4:$I67,"&lt;&gt;Complete")=0,$A68&amp;"|"&amp;$B68,""),"")</f>
        <v/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 t="s">
        <v>692</v>
      </c>
      <c r="B69" s="2" t="s">
        <v>62</v>
      </c>
      <c r="C69" s="3" t="s">
        <v>692</v>
      </c>
      <c r="D69" s="3" t="s">
        <v>682</v>
      </c>
      <c r="E69" s="2"/>
      <c r="F69" s="2" t="s">
        <v>197</v>
      </c>
      <c r="G69" s="5">
        <v>45613</v>
      </c>
      <c r="H69" s="5">
        <v>45606</v>
      </c>
      <c r="I69" s="4" t="s">
        <v>31</v>
      </c>
      <c r="J69" s="6">
        <f t="shared" si="4"/>
        <v>-7</v>
      </c>
      <c r="K69" s="4" t="str">
        <f t="shared" ca="1" si="5"/>
        <v>-</v>
      </c>
      <c r="L69" s="7" t="str">
        <f>IF(I69="Completed","0",IF($H69="","",$H69-'[2]Read Me'!$B$4))</f>
        <v>0</v>
      </c>
      <c r="M69" s="4" t="str">
        <f>IF($I69="Complete","Green",IF($H69="","Amber",IF($H69&lt;'[2]Read Me'!$B$4,"Red",IF($H69-'[2]Read Me'!$B$4&lt;=21,"Amber","Green"))))</f>
        <v>Red</v>
      </c>
      <c r="N69" s="3"/>
      <c r="O69" t="str">
        <f>IF($I69&lt;&gt;"Complete",IF(COUNTIFS($A$4:$A68,$A69,$B$4:$B68,$B69,$I$4:$I68,"&lt;&gt;Complete")=0,$A69&amp;"|"&amp;$B69,""),"")</f>
        <v/>
      </c>
      <c r="P69" t="str">
        <f ca="1">IF($K69="Yes",COUNTIFS($K$4:$K69,"Yes"),"")</f>
        <v/>
      </c>
      <c r="Q69">
        <f t="shared" ca="1" si="6"/>
        <v>0</v>
      </c>
      <c r="R69" t="str">
        <f ca="1">IF($Q69=1,SUM($Q$4:$Q69),"")</f>
        <v/>
      </c>
    </row>
    <row r="70" spans="1:18" ht="22.5" customHeight="1" x14ac:dyDescent="0.3">
      <c r="A70" s="2" t="s">
        <v>692</v>
      </c>
      <c r="B70" s="2" t="s">
        <v>62</v>
      </c>
      <c r="C70" s="3" t="s">
        <v>692</v>
      </c>
      <c r="D70" s="3" t="s">
        <v>15</v>
      </c>
      <c r="E70" s="2"/>
      <c r="F70" s="2" t="s">
        <v>197</v>
      </c>
      <c r="G70" s="5">
        <v>45655</v>
      </c>
      <c r="H70" s="5">
        <v>45613</v>
      </c>
      <c r="I70" s="4" t="s">
        <v>31</v>
      </c>
      <c r="J70" s="6">
        <f t="shared" si="4"/>
        <v>-42</v>
      </c>
      <c r="K70" s="4" t="str">
        <f t="shared" ca="1" si="5"/>
        <v>-</v>
      </c>
      <c r="L70" s="7" t="str">
        <f>IF(I70="Completed","0",IF($H70="","",$H70-'[2]Read Me'!$B$4))</f>
        <v>0</v>
      </c>
      <c r="M70" s="4" t="str">
        <f>IF($I70="Complete","Green",IF($H70="","Amber",IF($H70&lt;'[2]Read Me'!$B$4,"Red",IF($H70-'[2]Read Me'!$B$4&lt;=21,"Amber","Green"))))</f>
        <v>Red</v>
      </c>
      <c r="N70" s="3"/>
      <c r="O70" t="str">
        <f>IF($I70&lt;&gt;"Complete",IF(COUNTIFS($A$4:$A69,$A70,$B$4:$B69,$B70,$I$4:$I69,"&lt;&gt;Complete")=0,$A70&amp;"|"&amp;$B70,""),"")</f>
        <v/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 t="s">
        <v>692</v>
      </c>
      <c r="B71" s="2" t="s">
        <v>62</v>
      </c>
      <c r="C71" s="3" t="s">
        <v>692</v>
      </c>
      <c r="D71" s="3" t="s">
        <v>35</v>
      </c>
      <c r="E71" s="2"/>
      <c r="F71" s="2" t="s">
        <v>265</v>
      </c>
      <c r="G71" s="5">
        <v>45676</v>
      </c>
      <c r="H71" s="5">
        <v>45669</v>
      </c>
      <c r="I71" s="4" t="s">
        <v>31</v>
      </c>
      <c r="J71" s="6">
        <f t="shared" si="4"/>
        <v>-7</v>
      </c>
      <c r="K71" s="4" t="str">
        <f t="shared" ca="1" si="5"/>
        <v>-</v>
      </c>
      <c r="L71" s="7" t="str">
        <f>IF(I71="Completed","0",IF($H71="","",$H71-'[2]Read Me'!$B$4))</f>
        <v>0</v>
      </c>
      <c r="M71" s="4" t="str">
        <f>IF($I71="Complete","Green",IF($H71="","Amber",IF($H71&lt;'[2]Read Me'!$B$4,"Red",IF($H71-'[2]Read Me'!$B$4&lt;=21,"Amber","Green"))))</f>
        <v>Red</v>
      </c>
      <c r="N71" s="3"/>
      <c r="O71" t="str">
        <f>IF($I71&lt;&gt;"Complete",IF(COUNTIFS($A$4:$A70,$A71,$B$4:$B70,$B71,$I$4:$I70,"&lt;&gt;Complete")=0,$A71&amp;"|"&amp;$B71,""),"")</f>
        <v/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 t="s">
        <v>692</v>
      </c>
      <c r="B72" s="2" t="s">
        <v>62</v>
      </c>
      <c r="C72" s="3" t="s">
        <v>692</v>
      </c>
      <c r="D72" s="3" t="s">
        <v>683</v>
      </c>
      <c r="E72" s="2"/>
      <c r="F72" s="2" t="s">
        <v>197</v>
      </c>
      <c r="G72" s="5">
        <v>45676</v>
      </c>
      <c r="H72" s="5">
        <v>45669</v>
      </c>
      <c r="I72" s="4" t="s">
        <v>31</v>
      </c>
      <c r="J72" s="6">
        <f t="shared" si="4"/>
        <v>-7</v>
      </c>
      <c r="K72" s="4" t="str">
        <f t="shared" ca="1" si="5"/>
        <v>-</v>
      </c>
      <c r="L72" s="7" t="str">
        <f>IF(I72="Completed","0",IF($H72="","",$H72-'[2]Read Me'!$B$4))</f>
        <v>0</v>
      </c>
      <c r="M72" s="4" t="str">
        <f>IF($I72="Complete","Green",IF($H72="","Amber",IF($H72&lt;'[2]Read Me'!$B$4,"Red",IF($H72-'[2]Read Me'!$B$4&lt;=21,"Amber","Green"))))</f>
        <v>Red</v>
      </c>
      <c r="N72" s="3"/>
      <c r="O72" t="str">
        <f>IF($I72&lt;&gt;"Complete",IF(COUNTIFS($A$4:$A71,$A72,$B$4:$B71,$B72,$I$4:$I71,"&lt;&gt;Complete")=0,$A72&amp;"|"&amp;$B72,""),"")</f>
        <v/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 t="s">
        <v>692</v>
      </c>
      <c r="B73" s="2" t="s">
        <v>62</v>
      </c>
      <c r="C73" s="3" t="s">
        <v>692</v>
      </c>
      <c r="D73" s="3" t="s">
        <v>20</v>
      </c>
      <c r="E73" s="2" t="s">
        <v>667</v>
      </c>
      <c r="F73" s="2" t="s">
        <v>81</v>
      </c>
      <c r="G73" s="5">
        <v>45676</v>
      </c>
      <c r="H73" s="5">
        <v>45669</v>
      </c>
      <c r="I73" s="4" t="s">
        <v>31</v>
      </c>
      <c r="J73" s="6">
        <f t="shared" si="4"/>
        <v>-7</v>
      </c>
      <c r="K73" s="4" t="str">
        <f t="shared" ca="1" si="5"/>
        <v>-</v>
      </c>
      <c r="L73" s="7" t="str">
        <f>IF(I73="Completed","0",IF($H73="","",$H73-'[2]Read Me'!$B$4))</f>
        <v>0</v>
      </c>
      <c r="M73" s="4" t="str">
        <f>IF($I73="Complete","Green",IF($H73="","Amber",IF($H73&lt;'[2]Read Me'!$B$4,"Red",IF($H73-'[2]Read Me'!$B$4&lt;=21,"Amber","Green"))))</f>
        <v>Red</v>
      </c>
      <c r="N73" s="3"/>
      <c r="O73" t="str">
        <f>IF($I73&lt;&gt;"Complete",IF(COUNTIFS($A$4:$A72,$A73,$B$4:$B72,$B73,$I$4:$I72,"&lt;&gt;Complete")=0,$A73&amp;"|"&amp;$B73,""),"")</f>
        <v/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 t="s">
        <v>692</v>
      </c>
      <c r="B74" s="2" t="s">
        <v>62</v>
      </c>
      <c r="C74" s="3" t="s">
        <v>692</v>
      </c>
      <c r="D74" s="3" t="s">
        <v>16</v>
      </c>
      <c r="E74" s="2"/>
      <c r="F74" s="2" t="s">
        <v>197</v>
      </c>
      <c r="G74" s="5">
        <v>45767</v>
      </c>
      <c r="H74" s="5">
        <v>45767</v>
      </c>
      <c r="I74" s="4" t="s">
        <v>31</v>
      </c>
      <c r="J74" s="6">
        <f t="shared" si="4"/>
        <v>0</v>
      </c>
      <c r="K74" s="4" t="str">
        <f t="shared" ca="1" si="5"/>
        <v>-</v>
      </c>
      <c r="L74" s="7" t="str">
        <f>IF(I74="Completed","0",IF($H74="","",$H74-'[2]Read Me'!$B$4))</f>
        <v>0</v>
      </c>
      <c r="M74" s="4" t="str">
        <f>IF($I74="Complete","Green",IF($H74="","Amber",IF($H74&lt;'[2]Read Me'!$B$4,"Red",IF($H74-'[2]Read Me'!$B$4&lt;=21,"Amber","Green"))))</f>
        <v>Red</v>
      </c>
      <c r="N74" s="3"/>
      <c r="O74" t="str">
        <f>IF($I74&lt;&gt;"Complete",IF(COUNTIFS($A$4:$A73,$A74,$B$4:$B73,$B74,$I$4:$I73,"&lt;&gt;Complete")=0,$A74&amp;"|"&amp;$B74,""),"")</f>
        <v/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 t="s">
        <v>692</v>
      </c>
      <c r="B75" s="2" t="s">
        <v>62</v>
      </c>
      <c r="C75" s="3" t="s">
        <v>692</v>
      </c>
      <c r="D75" s="3" t="s">
        <v>37</v>
      </c>
      <c r="E75" s="2"/>
      <c r="F75" s="2" t="s">
        <v>265</v>
      </c>
      <c r="G75" s="5">
        <v>45830</v>
      </c>
      <c r="H75" s="5">
        <v>45830</v>
      </c>
      <c r="I75" s="4" t="s">
        <v>31</v>
      </c>
      <c r="J75" s="6">
        <f t="shared" si="4"/>
        <v>0</v>
      </c>
      <c r="K75" s="4" t="str">
        <f t="shared" ca="1" si="5"/>
        <v>-</v>
      </c>
      <c r="L75" s="7" t="str">
        <f>IF(I75="Completed","0",IF($H75="","",$H75-'[2]Read Me'!$B$4))</f>
        <v>0</v>
      </c>
      <c r="M75" s="4" t="str">
        <f>IF($I75="Complete","Green",IF($H75="","Amber",IF($H75&lt;'[2]Read Me'!$B$4,"Red",IF($H75-'[2]Read Me'!$B$4&lt;=21,"Amber","Green"))))</f>
        <v>Red</v>
      </c>
      <c r="N75" s="3"/>
      <c r="O75" t="str">
        <f>IF($I75&lt;&gt;"Complete",IF(COUNTIFS($A$4:$A74,$A75,$B$4:$B74,$B75,$I$4:$I74,"&lt;&gt;Complete")=0,$A75&amp;"|"&amp;$B75,""),"")</f>
        <v/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 t="s">
        <v>692</v>
      </c>
      <c r="B76" s="2" t="s">
        <v>62</v>
      </c>
      <c r="C76" s="3" t="s">
        <v>692</v>
      </c>
      <c r="D76" s="3" t="s">
        <v>698</v>
      </c>
      <c r="E76" s="2"/>
      <c r="F76" s="2" t="s">
        <v>197</v>
      </c>
      <c r="G76" s="5"/>
      <c r="H76" s="5">
        <v>46159</v>
      </c>
      <c r="I76" s="4" t="s">
        <v>31</v>
      </c>
      <c r="J76" s="6" t="str">
        <f t="shared" si="4"/>
        <v/>
      </c>
      <c r="K76" s="4" t="str">
        <f t="shared" ca="1" si="5"/>
        <v>-</v>
      </c>
      <c r="L76" s="7" t="str">
        <f>IF(I76="Completed","0",IF($H76="","",$H76-'[2]Read Me'!$B$4))</f>
        <v>0</v>
      </c>
      <c r="M76" s="4" t="str">
        <f>IF($I76="Complete","Green",IF($H76="","Amber",IF($H76&lt;'[2]Read Me'!$B$4,"Red",IF($H76-'[2]Read Me'!$B$4&lt;=21,"Amber","Green"))))</f>
        <v>Red</v>
      </c>
      <c r="N76" s="3"/>
      <c r="O76" t="str">
        <f>IF($I76&lt;&gt;"Complete",IF(COUNTIFS($A$4:$A75,$A76,$B$4:$B75,$B76,$I$4:$I75,"&lt;&gt;Complete")=0,$A76&amp;"|"&amp;$B76,""),"")</f>
        <v/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 t="s">
        <v>692</v>
      </c>
      <c r="B77" s="2" t="s">
        <v>62</v>
      </c>
      <c r="C77" s="3" t="s">
        <v>692</v>
      </c>
      <c r="D77" s="3" t="s">
        <v>37</v>
      </c>
      <c r="E77" s="2"/>
      <c r="F77" s="2" t="s">
        <v>265</v>
      </c>
      <c r="G77" s="5"/>
      <c r="H77" s="5">
        <v>46174</v>
      </c>
      <c r="I77" s="4" t="s">
        <v>31</v>
      </c>
      <c r="J77" s="6" t="str">
        <f t="shared" si="4"/>
        <v/>
      </c>
      <c r="K77" s="4" t="str">
        <f t="shared" ca="1" si="5"/>
        <v>-</v>
      </c>
      <c r="L77" s="7" t="str">
        <f>IF(I77="Completed","0",IF($H77="","",$H77-'[2]Read Me'!$B$4))</f>
        <v>0</v>
      </c>
      <c r="M77" s="4" t="str">
        <f>IF($I77="Complete","Green",IF($H77="","Amber",IF($H77&lt;'[2]Read Me'!$B$4,"Red",IF($H77-'[2]Read Me'!$B$4&lt;=21,"Amber","Green"))))</f>
        <v>Red</v>
      </c>
      <c r="N77" s="3"/>
      <c r="O77" t="str">
        <f>IF($I77&lt;&gt;"Complete",IF(COUNTIFS($A$4:$A76,$A77,$B$4:$B76,$B77,$I$4:$I76,"&lt;&gt;Complete")=0,$A77&amp;"|"&amp;$B77,""),"")</f>
        <v/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 t="s">
        <v>699</v>
      </c>
      <c r="B78" s="2" t="s">
        <v>49</v>
      </c>
      <c r="C78" s="3"/>
      <c r="D78" s="3"/>
      <c r="E78" s="2"/>
      <c r="F78" s="2"/>
      <c r="G78" s="5">
        <v>46069</v>
      </c>
      <c r="H78" s="5">
        <v>46265</v>
      </c>
      <c r="I78" s="4"/>
      <c r="J78" s="6">
        <f t="shared" si="4"/>
        <v>196</v>
      </c>
      <c r="K78" s="4" t="str">
        <f t="shared" ca="1" si="5"/>
        <v/>
      </c>
      <c r="L78" s="7">
        <f>IF(I78="Completed","0",IF($H78="","",$H78-'[2]Read Me'!$B$4))</f>
        <v>78</v>
      </c>
      <c r="M78" s="4" t="str">
        <f>IF($I78="Complete","Green",IF($H78="","Amber",IF($H78&lt;'[2]Read Me'!$B$4,"Red",IF($H78-'[2]Read Me'!$B$4&lt;=21,"Amber","Green"))))</f>
        <v>Green</v>
      </c>
      <c r="N78" s="3"/>
      <c r="O78" t="str">
        <f>IF($I78&lt;&gt;"Complete",IF(COUNTIFS($A$4:$A77,$A78,$B$4:$B77,$B78,$I$4:$I77,"&lt;&gt;Complete")=0,$A78&amp;"|"&amp;$B78,""),"")</f>
        <v>Authorities One Story Villas-Ph5|Authorities</v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 t="s">
        <v>699</v>
      </c>
      <c r="B79" s="2" t="s">
        <v>49</v>
      </c>
      <c r="C79" s="3" t="s">
        <v>699</v>
      </c>
      <c r="D79" s="3" t="s">
        <v>688</v>
      </c>
      <c r="E79" s="2" t="s">
        <v>104</v>
      </c>
      <c r="F79" s="2"/>
      <c r="G79" s="5">
        <v>45943</v>
      </c>
      <c r="H79" s="5">
        <v>46113</v>
      </c>
      <c r="I79" s="4" t="s">
        <v>31</v>
      </c>
      <c r="J79" s="6">
        <f t="shared" si="4"/>
        <v>170</v>
      </c>
      <c r="K79" s="4" t="str">
        <f t="shared" ca="1" si="5"/>
        <v>-</v>
      </c>
      <c r="L79" s="7" t="str">
        <f>IF(I79="Completed","0",IF($H79="","",$H79-'[2]Read Me'!$B$4))</f>
        <v>0</v>
      </c>
      <c r="M79" s="4" t="str">
        <f>IF($I79="Complete","Green",IF($H79="","Amber",IF($H79&lt;'[2]Read Me'!$B$4,"Red",IF($H79-'[2]Read Me'!$B$4&lt;=21,"Amber","Green"))))</f>
        <v>Red</v>
      </c>
      <c r="N79" s="3"/>
      <c r="O79" t="str">
        <f>IF($I79&lt;&gt;"Complete",IF(COUNTIFS($A$4:$A78,$A79,$B$4:$B78,$B79,$I$4:$I78,"&lt;&gt;Complete")=0,$A79&amp;"|"&amp;$B79,""),"")</f>
        <v/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 t="s">
        <v>699</v>
      </c>
      <c r="B80" s="2" t="s">
        <v>49</v>
      </c>
      <c r="C80" s="3" t="s">
        <v>699</v>
      </c>
      <c r="D80" s="3" t="s">
        <v>689</v>
      </c>
      <c r="E80" s="2" t="s">
        <v>104</v>
      </c>
      <c r="F80" s="2"/>
      <c r="G80" s="5">
        <v>45985</v>
      </c>
      <c r="H80" s="5">
        <v>46113</v>
      </c>
      <c r="I80" s="4" t="s">
        <v>31</v>
      </c>
      <c r="J80" s="6">
        <f t="shared" si="4"/>
        <v>128</v>
      </c>
      <c r="K80" s="4" t="str">
        <f t="shared" ca="1" si="5"/>
        <v>-</v>
      </c>
      <c r="L80" s="7" t="str">
        <f>IF(I80="Completed","0",IF($H80="","",$H80-'[2]Read Me'!$B$4))</f>
        <v>0</v>
      </c>
      <c r="M80" s="4" t="str">
        <f>IF($I80="Complete","Green",IF($H80="","Amber",IF($H80&lt;'[2]Read Me'!$B$4,"Red",IF($H80-'[2]Read Me'!$B$4&lt;=21,"Amber","Green"))))</f>
        <v>Red</v>
      </c>
      <c r="N80" s="3"/>
      <c r="O80" t="str">
        <f>IF($I80&lt;&gt;"Complete",IF(COUNTIFS($A$4:$A79,$A80,$B$4:$B79,$B80,$I$4:$I79,"&lt;&gt;Complete")=0,$A80&amp;"|"&amp;$B80,""),"")</f>
        <v/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 t="s">
        <v>699</v>
      </c>
      <c r="B81" s="2" t="s">
        <v>49</v>
      </c>
      <c r="C81" s="3" t="s">
        <v>699</v>
      </c>
      <c r="D81" s="3" t="s">
        <v>700</v>
      </c>
      <c r="E81" s="2" t="s">
        <v>104</v>
      </c>
      <c r="F81" s="2"/>
      <c r="G81" s="5">
        <v>46027</v>
      </c>
      <c r="H81" s="5">
        <v>46203</v>
      </c>
      <c r="I81" s="4" t="s">
        <v>46</v>
      </c>
      <c r="J81" s="6">
        <f t="shared" si="4"/>
        <v>176</v>
      </c>
      <c r="K81" s="4" t="str">
        <f t="shared" ca="1" si="5"/>
        <v>Yes</v>
      </c>
      <c r="L81" s="7">
        <f>IF(I81="Completed","0",IF($H81="","",$H81-'[2]Read Me'!$B$4))</f>
        <v>16</v>
      </c>
      <c r="M81" s="4" t="str">
        <f>IF($I81="Complete","Green",IF($H81="","Amber",IF($H81&lt;'[2]Read Me'!$B$4,"Red",IF($H81-'[2]Read Me'!$B$4&lt;=21,"Amber","Green"))))</f>
        <v>Amber</v>
      </c>
      <c r="N81" s="3"/>
      <c r="O81" t="str">
        <f>IF($I81&lt;&gt;"Complete",IF(COUNTIFS($A$4:$A80,$A81,$B$4:$B80,$B81,$I$4:$I80,"&lt;&gt;Complete")=0,$A81&amp;"|"&amp;$B81,""),"")</f>
        <v/>
      </c>
      <c r="P81">
        <f ca="1">IF($K81="Yes",COUNTIFS($K$4:$K81,"Yes"),"")</f>
        <v>5</v>
      </c>
      <c r="Q81">
        <f t="shared" ca="1" si="6"/>
        <v>1</v>
      </c>
      <c r="R81">
        <f ca="1">IF($Q81=1,SUM($Q$4:$Q81),"")</f>
        <v>5</v>
      </c>
    </row>
    <row r="82" spans="1:18" ht="33.75" customHeight="1" x14ac:dyDescent="0.3">
      <c r="A82" s="2" t="s">
        <v>699</v>
      </c>
      <c r="B82" s="2" t="s">
        <v>49</v>
      </c>
      <c r="C82" s="3" t="s">
        <v>699</v>
      </c>
      <c r="D82" s="3" t="s">
        <v>691</v>
      </c>
      <c r="E82" s="2" t="s">
        <v>104</v>
      </c>
      <c r="F82" s="2"/>
      <c r="G82" s="5">
        <v>46069</v>
      </c>
      <c r="H82" s="5">
        <v>46265</v>
      </c>
      <c r="I82" s="4" t="s">
        <v>17</v>
      </c>
      <c r="J82" s="6">
        <f t="shared" si="4"/>
        <v>196</v>
      </c>
      <c r="K82" s="4" t="str">
        <f t="shared" ca="1" si="5"/>
        <v>No</v>
      </c>
      <c r="L82" s="7">
        <f>IF(I82="Completed","0",IF($H82="","",$H82-'[2]Read Me'!$B$4))</f>
        <v>78</v>
      </c>
      <c r="M82" s="4" t="str">
        <f>IF($I82="Complete","Green",IF($H82="","Amber",IF($H82&lt;'[2]Read Me'!$B$4,"Red",IF($H82-'[2]Read Me'!$B$4&lt;=21,"Amber","Green"))))</f>
        <v>Green</v>
      </c>
      <c r="N82" s="3"/>
      <c r="O82" t="str">
        <f>IF($I82&lt;&gt;"Complete",IF(COUNTIFS($A$4:$A81,$A82,$B$4:$B81,$B82,$I$4:$I81,"&lt;&gt;Complete")=0,$A82&amp;"|"&amp;$B82,""),"")</f>
        <v/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 t="s">
        <v>701</v>
      </c>
      <c r="B83" s="2" t="s">
        <v>62</v>
      </c>
      <c r="C83" s="3"/>
      <c r="D83" s="3"/>
      <c r="E83" s="2"/>
      <c r="F83" s="2"/>
      <c r="G83" s="5">
        <v>45973</v>
      </c>
      <c r="H83" s="5">
        <v>46190</v>
      </c>
      <c r="I83" s="4"/>
      <c r="J83" s="6">
        <f t="shared" si="4"/>
        <v>217</v>
      </c>
      <c r="K83" s="4" t="str">
        <f t="shared" ca="1" si="5"/>
        <v/>
      </c>
      <c r="L83" s="7">
        <f>IF(I83="Completed","0",IF($H83="","",$H83-'[2]Read Me'!$B$4))</f>
        <v>3</v>
      </c>
      <c r="M83" s="4" t="str">
        <f>IF($I83="Complete","Green",IF($H83="","Amber",IF($H83&lt;'[2]Read Me'!$B$4,"Red",IF($H83-'[2]Read Me'!$B$4&lt;=21,"Amber","Green"))))</f>
        <v>Amber</v>
      </c>
      <c r="N83" s="3"/>
      <c r="O83" t="str">
        <f>IF($I83&lt;&gt;"Complete",IF(COUNTIFS($A$4:$A82,$A83,$B$4:$B82,$B83,$I$4:$I82,"&lt;&gt;Complete")=0,$A83&amp;"|"&amp;$B83,""),"")</f>
        <v>Single Story Villas (E &amp; D) -Ph6|Buildings</v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 t="s">
        <v>701</v>
      </c>
      <c r="B84" s="2" t="s">
        <v>62</v>
      </c>
      <c r="C84" s="3" t="s">
        <v>701</v>
      </c>
      <c r="D84" s="3" t="s">
        <v>693</v>
      </c>
      <c r="E84" s="2"/>
      <c r="F84" s="2" t="s">
        <v>30</v>
      </c>
      <c r="G84" s="5">
        <v>45666</v>
      </c>
      <c r="H84" s="5">
        <v>45720</v>
      </c>
      <c r="I84" s="4" t="s">
        <v>31</v>
      </c>
      <c r="J84" s="6">
        <f t="shared" si="4"/>
        <v>54</v>
      </c>
      <c r="K84" s="4" t="str">
        <f t="shared" ca="1" si="5"/>
        <v>-</v>
      </c>
      <c r="L84" s="7" t="str">
        <f>IF(I84="Completed","0",IF($H84="","",$H84-'[2]Read Me'!$B$4))</f>
        <v>0</v>
      </c>
      <c r="M84" s="4" t="str">
        <f>IF($I84="Complete","Green",IF($H84="","Amber",IF($H84&lt;'[2]Read Me'!$B$4,"Red",IF($H84-'[2]Read Me'!$B$4&lt;=21,"Amber","Green"))))</f>
        <v>Red</v>
      </c>
      <c r="N84" s="3"/>
      <c r="O84" t="str">
        <f>IF($I84&lt;&gt;"Complete",IF(COUNTIFS($A$4:$A83,$A84,$B$4:$B83,$B84,$I$4:$I83,"&lt;&gt;Complete")=0,$A84&amp;"|"&amp;$B84,""),"")</f>
        <v/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 t="s">
        <v>701</v>
      </c>
      <c r="B85" s="2" t="s">
        <v>62</v>
      </c>
      <c r="C85" s="3" t="s">
        <v>701</v>
      </c>
      <c r="D85" s="3" t="s">
        <v>694</v>
      </c>
      <c r="E85" s="2"/>
      <c r="F85" s="2" t="s">
        <v>265</v>
      </c>
      <c r="G85" s="5">
        <v>45687</v>
      </c>
      <c r="H85" s="5">
        <v>45742</v>
      </c>
      <c r="I85" s="4" t="s">
        <v>31</v>
      </c>
      <c r="J85" s="6">
        <f t="shared" si="4"/>
        <v>55</v>
      </c>
      <c r="K85" s="4" t="str">
        <f t="shared" ca="1" si="5"/>
        <v>-</v>
      </c>
      <c r="L85" s="7" t="str">
        <f>IF(I85="Completed","0",IF($H85="","",$H85-'[2]Read Me'!$B$4))</f>
        <v>0</v>
      </c>
      <c r="M85" s="4" t="str">
        <f>IF($I85="Complete","Green",IF($H85="","Amber",IF($H85&lt;'[2]Read Me'!$B$4,"Red",IF($H85-'[2]Read Me'!$B$4&lt;=21,"Amber","Green"))))</f>
        <v>Red</v>
      </c>
      <c r="N85" s="3"/>
      <c r="O85" t="str">
        <f>IF($I85&lt;&gt;"Complete",IF(COUNTIFS($A$4:$A84,$A85,$B$4:$B84,$B85,$I$4:$I84,"&lt;&gt;Complete")=0,$A85&amp;"|"&amp;$B85,""),"")</f>
        <v/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 t="s">
        <v>701</v>
      </c>
      <c r="B86" s="2" t="s">
        <v>62</v>
      </c>
      <c r="C86" s="3" t="s">
        <v>701</v>
      </c>
      <c r="D86" s="3" t="s">
        <v>132</v>
      </c>
      <c r="E86" s="2" t="s">
        <v>667</v>
      </c>
      <c r="F86" s="2" t="s">
        <v>81</v>
      </c>
      <c r="G86" s="5">
        <v>45701</v>
      </c>
      <c r="H86" s="5">
        <v>45756</v>
      </c>
      <c r="I86" s="4" t="s">
        <v>31</v>
      </c>
      <c r="J86" s="6">
        <f t="shared" si="4"/>
        <v>55</v>
      </c>
      <c r="K86" s="4" t="str">
        <f t="shared" ca="1" si="5"/>
        <v>-</v>
      </c>
      <c r="L86" s="7" t="str">
        <f>IF(I86="Completed","0",IF($H86="","",$H86-'[2]Read Me'!$B$4))</f>
        <v>0</v>
      </c>
      <c r="M86" s="4" t="str">
        <f>IF($I86="Complete","Green",IF($H86="","Amber",IF($H86&lt;'[2]Read Me'!$B$4,"Red",IF($H86-'[2]Read Me'!$B$4&lt;=21,"Amber","Green"))))</f>
        <v>Red</v>
      </c>
      <c r="N86" s="3"/>
      <c r="O86" t="str">
        <f>IF($I86&lt;&gt;"Complete",IF(COUNTIFS($A$4:$A85,$A86,$B$4:$B85,$B86,$I$4:$I85,"&lt;&gt;Complete")=0,$A86&amp;"|"&amp;$B86,""),"")</f>
        <v/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 t="s">
        <v>701</v>
      </c>
      <c r="B87" s="2" t="s">
        <v>62</v>
      </c>
      <c r="C87" s="3" t="s">
        <v>701</v>
      </c>
      <c r="D87" s="3" t="s">
        <v>695</v>
      </c>
      <c r="E87" s="2"/>
      <c r="F87" s="2" t="s">
        <v>30</v>
      </c>
      <c r="G87" s="5">
        <v>45694</v>
      </c>
      <c r="H87" s="5">
        <v>45792</v>
      </c>
      <c r="I87" s="4" t="s">
        <v>31</v>
      </c>
      <c r="J87" s="6">
        <f t="shared" si="4"/>
        <v>98</v>
      </c>
      <c r="K87" s="4" t="str">
        <f t="shared" ca="1" si="5"/>
        <v>-</v>
      </c>
      <c r="L87" s="7" t="str">
        <f>IF(I87="Completed","0",IF($H87="","",$H87-'[2]Read Me'!$B$4))</f>
        <v>0</v>
      </c>
      <c r="M87" s="4" t="str">
        <f>IF($I87="Complete","Green",IF($H87="","Amber",IF($H87&lt;'[2]Read Me'!$B$4,"Red",IF($H87-'[2]Read Me'!$B$4&lt;=21,"Amber","Green"))))</f>
        <v>Red</v>
      </c>
      <c r="N87" s="3"/>
      <c r="O87" t="str">
        <f>IF($I87&lt;&gt;"Complete",IF(COUNTIFS($A$4:$A86,$A87,$B$4:$B86,$B87,$I$4:$I86,"&lt;&gt;Complete")=0,$A87&amp;"|"&amp;$B87,""),"")</f>
        <v/>
      </c>
      <c r="P87" t="str">
        <f ca="1">IF($K87="Yes",COUNTIFS($K$4:$K87,"Yes"),"")</f>
        <v/>
      </c>
      <c r="Q87">
        <f t="shared" ca="1" si="6"/>
        <v>0</v>
      </c>
      <c r="R87" t="str">
        <f ca="1">IF($Q87=1,SUM($Q$4:$Q87),"")</f>
        <v/>
      </c>
    </row>
    <row r="88" spans="1:18" ht="33.75" customHeight="1" x14ac:dyDescent="0.3">
      <c r="A88" s="2" t="s">
        <v>701</v>
      </c>
      <c r="B88" s="2" t="s">
        <v>62</v>
      </c>
      <c r="C88" s="3" t="s">
        <v>701</v>
      </c>
      <c r="D88" s="3" t="s">
        <v>696</v>
      </c>
      <c r="E88" s="2"/>
      <c r="F88" s="2" t="s">
        <v>265</v>
      </c>
      <c r="G88" s="5">
        <v>45708</v>
      </c>
      <c r="H88" s="5">
        <v>45806</v>
      </c>
      <c r="I88" s="4" t="s">
        <v>31</v>
      </c>
      <c r="J88" s="6">
        <f t="shared" si="4"/>
        <v>98</v>
      </c>
      <c r="K88" s="4" t="str">
        <f t="shared" ca="1" si="5"/>
        <v>-</v>
      </c>
      <c r="L88" s="7" t="str">
        <f>IF(I88="Completed","0",IF($H88="","",$H88-'[2]Read Me'!$B$4))</f>
        <v>0</v>
      </c>
      <c r="M88" s="4" t="str">
        <f>IF($I88="Complete","Green",IF($H88="","Amber",IF($H88&lt;'[2]Read Me'!$B$4,"Red",IF($H88-'[2]Read Me'!$B$4&lt;=21,"Amber","Green"))))</f>
        <v>Red</v>
      </c>
      <c r="N88" s="3"/>
      <c r="O88" t="str">
        <f>IF($I88&lt;&gt;"Complete",IF(COUNTIFS($A$4:$A87,$A88,$B$4:$B87,$B88,$I$4:$I87,"&lt;&gt;Complete")=0,$A88&amp;"|"&amp;$B88,""),"")</f>
        <v/>
      </c>
      <c r="P88" t="str">
        <f ca="1">IF($K88="Yes",COUNTIFS($K$4:$K88,"Yes"),"")</f>
        <v/>
      </c>
      <c r="Q88">
        <f t="shared" ca="1" si="6"/>
        <v>0</v>
      </c>
      <c r="R88" t="str">
        <f ca="1">IF($Q88=1,SUM($Q$4:$Q88),"")</f>
        <v/>
      </c>
    </row>
    <row r="89" spans="1:18" ht="33.75" customHeight="1" x14ac:dyDescent="0.3">
      <c r="A89" s="2" t="s">
        <v>701</v>
      </c>
      <c r="B89" s="2" t="s">
        <v>62</v>
      </c>
      <c r="C89" s="3" t="s">
        <v>701</v>
      </c>
      <c r="D89" s="3" t="s">
        <v>18</v>
      </c>
      <c r="E89" s="2"/>
      <c r="F89" s="2" t="s">
        <v>30</v>
      </c>
      <c r="G89" s="5">
        <v>45736</v>
      </c>
      <c r="H89" s="5">
        <v>45848</v>
      </c>
      <c r="I89" s="4" t="s">
        <v>31</v>
      </c>
      <c r="J89" s="6">
        <f t="shared" si="4"/>
        <v>112</v>
      </c>
      <c r="K89" s="4" t="str">
        <f t="shared" ca="1" si="5"/>
        <v>-</v>
      </c>
      <c r="L89" s="7" t="str">
        <f>IF(I89="Completed","0",IF($H89="","",$H89-'[2]Read Me'!$B$4))</f>
        <v>0</v>
      </c>
      <c r="M89" s="4" t="str">
        <f>IF($I89="Complete","Green",IF($H89="","Amber",IF($H89&lt;'[2]Read Me'!$B$4,"Red",IF($H89-'[2]Read Me'!$B$4&lt;=21,"Amber","Green"))))</f>
        <v>Red</v>
      </c>
      <c r="N89" s="3"/>
      <c r="O89" t="str">
        <f>IF($I89&lt;&gt;"Complete",IF(COUNTIFS($A$4:$A88,$A89,$B$4:$B88,$B89,$I$4:$I88,"&lt;&gt;Complete")=0,$A89&amp;"|"&amp;$B89,""),"")</f>
        <v/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 t="s">
        <v>701</v>
      </c>
      <c r="B90" s="2" t="s">
        <v>62</v>
      </c>
      <c r="C90" s="3" t="s">
        <v>701</v>
      </c>
      <c r="D90" s="3" t="s">
        <v>32</v>
      </c>
      <c r="E90" s="2"/>
      <c r="F90" s="2" t="s">
        <v>265</v>
      </c>
      <c r="G90" s="5">
        <v>45750</v>
      </c>
      <c r="H90" s="5">
        <v>45862</v>
      </c>
      <c r="I90" s="4" t="s">
        <v>31</v>
      </c>
      <c r="J90" s="6">
        <f t="shared" si="4"/>
        <v>112</v>
      </c>
      <c r="K90" s="4" t="str">
        <f t="shared" ca="1" si="5"/>
        <v>-</v>
      </c>
      <c r="L90" s="7" t="str">
        <f>IF(I90="Completed","0",IF($H90="","",$H90-'[2]Read Me'!$B$4))</f>
        <v>0</v>
      </c>
      <c r="M90" s="4" t="str">
        <f>IF($I90="Complete","Green",IF($H90="","Amber",IF($H90&lt;'[2]Read Me'!$B$4,"Red",IF($H90-'[2]Read Me'!$B$4&lt;=21,"Amber","Green"))))</f>
        <v>Red</v>
      </c>
      <c r="N90" s="3"/>
      <c r="O90" t="str">
        <f>IF($I90&lt;&gt;"Complete",IF(COUNTIFS($A$4:$A89,$A90,$B$4:$B89,$B90,$I$4:$I89,"&lt;&gt;Complete")=0,$A90&amp;"|"&amp;$B90,""),"")</f>
        <v/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 t="s">
        <v>701</v>
      </c>
      <c r="B91" s="2" t="s">
        <v>62</v>
      </c>
      <c r="C91" s="3" t="s">
        <v>701</v>
      </c>
      <c r="D91" s="3" t="s">
        <v>19</v>
      </c>
      <c r="E91" s="2" t="s">
        <v>667</v>
      </c>
      <c r="F91" s="2" t="s">
        <v>81</v>
      </c>
      <c r="G91" s="5">
        <v>45750</v>
      </c>
      <c r="H91" s="5">
        <v>45862</v>
      </c>
      <c r="I91" s="4" t="s">
        <v>31</v>
      </c>
      <c r="J91" s="6">
        <f t="shared" si="4"/>
        <v>112</v>
      </c>
      <c r="K91" s="4" t="str">
        <f t="shared" ca="1" si="5"/>
        <v>-</v>
      </c>
      <c r="L91" s="7" t="str">
        <f>IF(I91="Completed","0",IF($H91="","",$H91-'[2]Read Me'!$B$4))</f>
        <v>0</v>
      </c>
      <c r="M91" s="4" t="str">
        <f>IF($I91="Complete","Green",IF($H91="","Amber",IF($H91&lt;'[2]Read Me'!$B$4,"Red",IF($H91-'[2]Read Me'!$B$4&lt;=21,"Amber","Green"))))</f>
        <v>Red</v>
      </c>
      <c r="N91" s="3"/>
      <c r="O91" t="str">
        <f>IF($I91&lt;&gt;"Complete",IF(COUNTIFS($A$4:$A90,$A91,$B$4:$B90,$B91,$I$4:$I90,"&lt;&gt;Complete")=0,$A91&amp;"|"&amp;$B91,""),"")</f>
        <v/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 t="s">
        <v>701</v>
      </c>
      <c r="B92" s="2" t="s">
        <v>62</v>
      </c>
      <c r="C92" s="3" t="s">
        <v>701</v>
      </c>
      <c r="D92" s="3" t="s">
        <v>682</v>
      </c>
      <c r="E92" s="2"/>
      <c r="F92" s="2" t="s">
        <v>30</v>
      </c>
      <c r="G92" s="5">
        <v>45778</v>
      </c>
      <c r="H92" s="5">
        <v>45890</v>
      </c>
      <c r="I92" s="4" t="s">
        <v>31</v>
      </c>
      <c r="J92" s="6">
        <f t="shared" si="4"/>
        <v>112</v>
      </c>
      <c r="K92" s="4" t="str">
        <f t="shared" ca="1" si="5"/>
        <v>-</v>
      </c>
      <c r="L92" s="7" t="str">
        <f>IF(I92="Completed","0",IF($H92="","",$H92-'[2]Read Me'!$B$4))</f>
        <v>0</v>
      </c>
      <c r="M92" s="4" t="str">
        <f>IF($I92="Complete","Green",IF($H92="","Amber",IF($H92&lt;'[2]Read Me'!$B$4,"Red",IF($H92-'[2]Read Me'!$B$4&lt;=21,"Amber","Green"))))</f>
        <v>Red</v>
      </c>
      <c r="N92" s="3"/>
      <c r="O92" t="str">
        <f>IF($I92&lt;&gt;"Complete",IF(COUNTIFS($A$4:$A91,$A92,$B$4:$B91,$B92,$I$4:$I91,"&lt;&gt;Complete")=0,$A92&amp;"|"&amp;$B92,""),"")</f>
        <v/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 t="s">
        <v>701</v>
      </c>
      <c r="B93" s="2" t="s">
        <v>62</v>
      </c>
      <c r="C93" s="3" t="s">
        <v>701</v>
      </c>
      <c r="D93" s="3" t="s">
        <v>15</v>
      </c>
      <c r="E93" s="2"/>
      <c r="F93" s="2" t="s">
        <v>30</v>
      </c>
      <c r="G93" s="5">
        <v>45924</v>
      </c>
      <c r="H93" s="5">
        <v>45924</v>
      </c>
      <c r="I93" s="4" t="s">
        <v>31</v>
      </c>
      <c r="J93" s="6">
        <f t="shared" si="4"/>
        <v>0</v>
      </c>
      <c r="K93" s="4" t="str">
        <f t="shared" ca="1" si="5"/>
        <v>-</v>
      </c>
      <c r="L93" s="7" t="str">
        <f>IF(I93="Completed","0",IF($H93="","",$H93-'[2]Read Me'!$B$4))</f>
        <v>0</v>
      </c>
      <c r="M93" s="4" t="str">
        <f>IF($I93="Complete","Green",IF($H93="","Amber",IF($H93&lt;'[2]Read Me'!$B$4,"Red",IF($H93-'[2]Read Me'!$B$4&lt;=21,"Amber","Green"))))</f>
        <v>Red</v>
      </c>
      <c r="N93" s="3"/>
      <c r="O93" t="str">
        <f>IF($I93&lt;&gt;"Complete",IF(COUNTIFS($A$4:$A92,$A93,$B$4:$B92,$B93,$I$4:$I92,"&lt;&gt;Complete")=0,$A93&amp;"|"&amp;$B93,""),"")</f>
        <v/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 t="s">
        <v>701</v>
      </c>
      <c r="B94" s="2" t="s">
        <v>62</v>
      </c>
      <c r="C94" s="3" t="s">
        <v>701</v>
      </c>
      <c r="D94" s="3" t="s">
        <v>35</v>
      </c>
      <c r="E94" s="2"/>
      <c r="F94" s="2" t="s">
        <v>265</v>
      </c>
      <c r="G94" s="5">
        <v>45945</v>
      </c>
      <c r="H94" s="5">
        <v>45945</v>
      </c>
      <c r="I94" s="4" t="s">
        <v>31</v>
      </c>
      <c r="J94" s="6">
        <f t="shared" si="4"/>
        <v>0</v>
      </c>
      <c r="K94" s="4" t="str">
        <f t="shared" ca="1" si="5"/>
        <v>-</v>
      </c>
      <c r="L94" s="7" t="str">
        <f>IF(I94="Completed","0",IF($H94="","",$H94-'[2]Read Me'!$B$4))</f>
        <v>0</v>
      </c>
      <c r="M94" s="4" t="str">
        <f>IF($I94="Complete","Green",IF($H94="","Amber",IF($H94&lt;'[2]Read Me'!$B$4,"Red",IF($H94-'[2]Read Me'!$B$4&lt;=21,"Amber","Green"))))</f>
        <v>Red</v>
      </c>
      <c r="N94" s="3"/>
      <c r="O94" t="str">
        <f>IF($I94&lt;&gt;"Complete",IF(COUNTIFS($A$4:$A93,$A94,$B$4:$B93,$B94,$I$4:$I93,"&lt;&gt;Complete")=0,$A94&amp;"|"&amp;$B94,""),"")</f>
        <v/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 t="s">
        <v>701</v>
      </c>
      <c r="B95" s="2" t="s">
        <v>62</v>
      </c>
      <c r="C95" s="3" t="s">
        <v>701</v>
      </c>
      <c r="D95" s="3" t="s">
        <v>702</v>
      </c>
      <c r="E95" s="2"/>
      <c r="F95" s="2" t="s">
        <v>30</v>
      </c>
      <c r="G95" s="5">
        <v>45945</v>
      </c>
      <c r="H95" s="5">
        <v>45952</v>
      </c>
      <c r="I95" s="4" t="s">
        <v>31</v>
      </c>
      <c r="J95" s="6">
        <f t="shared" si="4"/>
        <v>7</v>
      </c>
      <c r="K95" s="4" t="str">
        <f t="shared" ca="1" si="5"/>
        <v>-</v>
      </c>
      <c r="L95" s="7" t="str">
        <f>IF(I95="Completed","0",IF($H95="","",$H95-'[2]Read Me'!$B$4))</f>
        <v>0</v>
      </c>
      <c r="M95" s="4" t="str">
        <f>IF($I95="Complete","Green",IF($H95="","Amber",IF($H95&lt;'[2]Read Me'!$B$4,"Red",IF($H95-'[2]Read Me'!$B$4&lt;=21,"Amber","Green"))))</f>
        <v>Red</v>
      </c>
      <c r="N95" s="3"/>
      <c r="O95" t="str">
        <f>IF($I95&lt;&gt;"Complete",IF(COUNTIFS($A$4:$A94,$A95,$B$4:$B94,$B95,$I$4:$I94,"&lt;&gt;Complete")=0,$A95&amp;"|"&amp;$B95,""),"")</f>
        <v/>
      </c>
      <c r="P95" t="str">
        <f ca="1">IF($K95="Yes",COUNTIFS($K$4:$K95,"Yes"),"")</f>
        <v/>
      </c>
      <c r="Q95">
        <f t="shared" ca="1" si="6"/>
        <v>0</v>
      </c>
      <c r="R95" t="str">
        <f ca="1">IF($Q95=1,SUM($Q$4:$Q95),"")</f>
        <v/>
      </c>
    </row>
    <row r="96" spans="1:18" ht="33.75" customHeight="1" x14ac:dyDescent="0.3">
      <c r="A96" s="2" t="s">
        <v>701</v>
      </c>
      <c r="B96" s="2" t="s">
        <v>62</v>
      </c>
      <c r="C96" s="3" t="s">
        <v>701</v>
      </c>
      <c r="D96" s="3" t="s">
        <v>20</v>
      </c>
      <c r="E96" s="2" t="s">
        <v>667</v>
      </c>
      <c r="F96" s="2" t="s">
        <v>81</v>
      </c>
      <c r="G96" s="5">
        <v>45945</v>
      </c>
      <c r="H96" s="5">
        <v>45999</v>
      </c>
      <c r="I96" s="4" t="s">
        <v>31</v>
      </c>
      <c r="J96" s="6">
        <f t="shared" si="4"/>
        <v>54</v>
      </c>
      <c r="K96" s="4" t="str">
        <f t="shared" ca="1" si="5"/>
        <v>-</v>
      </c>
      <c r="L96" s="7" t="str">
        <f>IF(I96="Completed","0",IF($H96="","",$H96-'[2]Read Me'!$B$4))</f>
        <v>0</v>
      </c>
      <c r="M96" s="4" t="str">
        <f>IF($I96="Complete","Green",IF($H96="","Amber",IF($H96&lt;'[2]Read Me'!$B$4,"Red",IF($H96-'[2]Read Me'!$B$4&lt;=21,"Amber","Green"))))</f>
        <v>Red</v>
      </c>
      <c r="N96" s="3"/>
      <c r="O96" t="str">
        <f>IF($I96&lt;&gt;"Complete",IF(COUNTIFS($A$4:$A95,$A96,$B$4:$B95,$B96,$I$4:$I95,"&lt;&gt;Complete")=0,$A96&amp;"|"&amp;$B96,""),"")</f>
        <v/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 t="s">
        <v>701</v>
      </c>
      <c r="B97" s="2" t="s">
        <v>62</v>
      </c>
      <c r="C97" s="3" t="s">
        <v>701</v>
      </c>
      <c r="D97" s="3" t="s">
        <v>703</v>
      </c>
      <c r="E97" s="2"/>
      <c r="F97" s="2" t="s">
        <v>30</v>
      </c>
      <c r="G97" s="5">
        <v>45959</v>
      </c>
      <c r="H97" s="5">
        <v>46141</v>
      </c>
      <c r="I97" s="4" t="s">
        <v>31</v>
      </c>
      <c r="J97" s="6">
        <f t="shared" si="4"/>
        <v>182</v>
      </c>
      <c r="K97" s="4" t="str">
        <f t="shared" ca="1" si="5"/>
        <v>-</v>
      </c>
      <c r="L97" s="7" t="str">
        <f>IF(I97="Completed","0",IF($H97="","",$H97-'[2]Read Me'!$B$4))</f>
        <v>0</v>
      </c>
      <c r="M97" s="4" t="str">
        <f>IF($I97="Complete","Green",IF($H97="","Amber",IF($H97&lt;'[2]Read Me'!$B$4,"Red",IF($H97-'[2]Read Me'!$B$4&lt;=21,"Amber","Green"))))</f>
        <v>Red</v>
      </c>
      <c r="N97" s="3"/>
      <c r="O97" t="str">
        <f>IF($I97&lt;&gt;"Complete",IF(COUNTIFS($A$4:$A96,$A97,$B$4:$B96,$B97,$I$4:$I96,"&lt;&gt;Complete")=0,$A97&amp;"|"&amp;$B97,""),"")</f>
        <v/>
      </c>
      <c r="P97" t="str">
        <f ca="1">IF($K97="Yes",COUNTIFS($K$4:$K97,"Yes"),"")</f>
        <v/>
      </c>
      <c r="Q97">
        <f t="shared" ca="1" si="6"/>
        <v>0</v>
      </c>
      <c r="R97" t="str">
        <f ca="1">IF($Q97=1,SUM($Q$4:$Q97),"")</f>
        <v/>
      </c>
    </row>
    <row r="98" spans="1:18" ht="33.75" customHeight="1" x14ac:dyDescent="0.3">
      <c r="A98" s="2" t="s">
        <v>701</v>
      </c>
      <c r="B98" s="2" t="s">
        <v>62</v>
      </c>
      <c r="C98" s="3" t="s">
        <v>701</v>
      </c>
      <c r="D98" s="3" t="s">
        <v>37</v>
      </c>
      <c r="E98" s="2"/>
      <c r="F98" s="2" t="s">
        <v>265</v>
      </c>
      <c r="G98" s="5">
        <v>45973</v>
      </c>
      <c r="H98" s="5">
        <v>46190</v>
      </c>
      <c r="I98" s="4" t="s">
        <v>31</v>
      </c>
      <c r="J98" s="6">
        <f t="shared" si="4"/>
        <v>217</v>
      </c>
      <c r="K98" s="4" t="str">
        <f t="shared" ca="1" si="5"/>
        <v>-</v>
      </c>
      <c r="L98" s="7" t="str">
        <f>IF(I98="Completed","0",IF($H98="","",$H98-'[2]Read Me'!$B$4))</f>
        <v>0</v>
      </c>
      <c r="M98" s="4" t="str">
        <f>IF($I98="Complete","Green",IF($H98="","Amber",IF($H98&lt;'[2]Read Me'!$B$4,"Red",IF($H98-'[2]Read Me'!$B$4&lt;=21,"Amber","Green"))))</f>
        <v>Amber</v>
      </c>
      <c r="N98" s="3"/>
      <c r="O98" t="str">
        <f>IF($I98&lt;&gt;"Complete",IF(COUNTIFS($A$4:$A97,$A98,$B$4:$B97,$B98,$I$4:$I97,"&lt;&gt;Complete")=0,$A98&amp;"|"&amp;$B98,""),"")</f>
        <v/>
      </c>
      <c r="P98" t="str">
        <f ca="1">IF($K98="Yes",COUNTIFS($K$4:$K98,"Yes"),"")</f>
        <v/>
      </c>
      <c r="Q98">
        <f t="shared" ca="1" si="6"/>
        <v>0</v>
      </c>
      <c r="R98" t="str">
        <f ca="1">IF($Q98=1,SUM($Q$4:$Q98),"")</f>
        <v/>
      </c>
    </row>
    <row r="99" spans="1:18" ht="33.75" customHeight="1" x14ac:dyDescent="0.3">
      <c r="A99" s="2" t="s">
        <v>704</v>
      </c>
      <c r="B99" s="2" t="s">
        <v>49</v>
      </c>
      <c r="C99" s="3"/>
      <c r="D99" s="3"/>
      <c r="E99" s="2"/>
      <c r="F99" s="2"/>
      <c r="G99" s="5">
        <v>46181</v>
      </c>
      <c r="H99" s="5">
        <v>46441</v>
      </c>
      <c r="I99" s="4"/>
      <c r="J99" s="6">
        <f t="shared" si="4"/>
        <v>260</v>
      </c>
      <c r="K99" s="4" t="str">
        <f t="shared" ca="1" si="5"/>
        <v/>
      </c>
      <c r="L99" s="7">
        <f>IF(I99="Completed","0",IF($H99="","",$H99-'[2]Read Me'!$B$4))</f>
        <v>254</v>
      </c>
      <c r="M99" s="4" t="str">
        <f>IF($I99="Complete","Green",IF($H99="","Amber",IF($H99&lt;'[2]Read Me'!$B$4,"Red",IF($H99-'[2]Read Me'!$B$4&lt;=21,"Amber","Green"))))</f>
        <v>Green</v>
      </c>
      <c r="N99" s="3"/>
      <c r="O99" t="str">
        <f>IF($I99&lt;&gt;"Complete",IF(COUNTIFS($A$4:$A98,$A99,$B$4:$B98,$B99,$I$4:$I98,"&lt;&gt;Complete")=0,$A99&amp;"|"&amp;$B99,""),"")</f>
        <v>Authorities - Single Story Villas (E &amp; D) -Ph6|Authorities</v>
      </c>
      <c r="P99" t="str">
        <f ca="1">IF($K99="Yes",COUNTIFS($K$4:$K99,"Yes"),"")</f>
        <v/>
      </c>
      <c r="Q99">
        <f t="shared" ca="1" si="6"/>
        <v>0</v>
      </c>
      <c r="R99" t="str">
        <f ca="1">IF($Q99=1,SUM($Q$4:$Q99),"")</f>
        <v/>
      </c>
    </row>
    <row r="100" spans="1:18" ht="33.75" customHeight="1" x14ac:dyDescent="0.3">
      <c r="A100" s="2" t="s">
        <v>704</v>
      </c>
      <c r="B100" s="2" t="s">
        <v>49</v>
      </c>
      <c r="C100" s="3" t="s">
        <v>704</v>
      </c>
      <c r="D100" s="3" t="s">
        <v>705</v>
      </c>
      <c r="E100" s="2" t="s">
        <v>104</v>
      </c>
      <c r="F100" s="2"/>
      <c r="G100" s="5">
        <v>46055</v>
      </c>
      <c r="H100" s="5">
        <v>46315</v>
      </c>
      <c r="I100" s="4" t="s">
        <v>17</v>
      </c>
      <c r="J100" s="6">
        <f t="shared" si="4"/>
        <v>260</v>
      </c>
      <c r="K100" s="4" t="str">
        <f t="shared" ca="1" si="5"/>
        <v>No</v>
      </c>
      <c r="L100" s="7">
        <f>IF(I100="Completed","0",IF($H100="","",$H100-'[2]Read Me'!$B$4))</f>
        <v>128</v>
      </c>
      <c r="M100" s="4" t="str">
        <f>IF($I100="Complete","Green",IF($H100="","Amber",IF($H100&lt;'[2]Read Me'!$B$4,"Red",IF($H100-'[2]Read Me'!$B$4&lt;=21,"Amber","Green"))))</f>
        <v>Green</v>
      </c>
      <c r="N100" s="3"/>
      <c r="O100" t="str">
        <f>IF($I100&lt;&gt;"Complete",IF(COUNTIFS($A$4:$A99,$A100,$B$4:$B99,$B100,$I$4:$I99,"&lt;&gt;Complete")=0,$A100&amp;"|"&amp;$B100,""),"")</f>
        <v/>
      </c>
      <c r="P100" t="str">
        <f ca="1">IF($K100="Yes",COUNTIFS($K$4:$K100,"Yes"),"")</f>
        <v/>
      </c>
      <c r="Q100">
        <f t="shared" ca="1" si="6"/>
        <v>0</v>
      </c>
      <c r="R100" t="str">
        <f ca="1">IF($Q100=1,SUM($Q$4:$Q100),"")</f>
        <v/>
      </c>
    </row>
    <row r="101" spans="1:18" ht="33.75" customHeight="1" x14ac:dyDescent="0.3">
      <c r="A101" s="2" t="s">
        <v>704</v>
      </c>
      <c r="B101" s="2" t="s">
        <v>49</v>
      </c>
      <c r="C101" s="3" t="s">
        <v>704</v>
      </c>
      <c r="D101" s="3" t="s">
        <v>706</v>
      </c>
      <c r="E101" s="2" t="s">
        <v>104</v>
      </c>
      <c r="F101" s="2"/>
      <c r="G101" s="5">
        <v>46097</v>
      </c>
      <c r="H101" s="5">
        <v>46357</v>
      </c>
      <c r="I101" s="4" t="s">
        <v>17</v>
      </c>
      <c r="J101" s="6">
        <f t="shared" si="4"/>
        <v>260</v>
      </c>
      <c r="K101" s="4" t="str">
        <f t="shared" ca="1" si="5"/>
        <v>No</v>
      </c>
      <c r="L101" s="7">
        <f>IF(I101="Completed","0",IF($H101="","",$H101-'[2]Read Me'!$B$4))</f>
        <v>170</v>
      </c>
      <c r="M101" s="4" t="str">
        <f>IF($I101="Complete","Green",IF($H101="","Amber",IF($H101&lt;'[2]Read Me'!$B$4,"Red",IF($H101-'[2]Read Me'!$B$4&lt;=21,"Amber","Green"))))</f>
        <v>Green</v>
      </c>
      <c r="N101" s="3"/>
      <c r="O101" t="str">
        <f>IF($I101&lt;&gt;"Complete",IF(COUNTIFS($A$4:$A100,$A101,$B$4:$B100,$B101,$I$4:$I100,"&lt;&gt;Complete")=0,$A101&amp;"|"&amp;$B101,""),"")</f>
        <v/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 t="s">
        <v>704</v>
      </c>
      <c r="B102" s="2" t="s">
        <v>49</v>
      </c>
      <c r="C102" s="3" t="s">
        <v>704</v>
      </c>
      <c r="D102" s="3" t="s">
        <v>707</v>
      </c>
      <c r="E102" s="2" t="s">
        <v>104</v>
      </c>
      <c r="F102" s="2"/>
      <c r="G102" s="5">
        <v>46139</v>
      </c>
      <c r="H102" s="5">
        <v>46399</v>
      </c>
      <c r="I102" s="4" t="s">
        <v>17</v>
      </c>
      <c r="J102" s="6">
        <f t="shared" si="4"/>
        <v>260</v>
      </c>
      <c r="K102" s="4" t="str">
        <f t="shared" ca="1" si="5"/>
        <v>No</v>
      </c>
      <c r="L102" s="7">
        <f>IF(I102="Completed","0",IF($H102="","",$H102-'[2]Read Me'!$B$4))</f>
        <v>212</v>
      </c>
      <c r="M102" s="4" t="str">
        <f>IF($I102="Complete","Green",IF($H102="","Amber",IF($H102&lt;'[2]Read Me'!$B$4,"Red",IF($H102-'[2]Read Me'!$B$4&lt;=21,"Amber","Green"))))</f>
        <v>Green</v>
      </c>
      <c r="N102" s="3"/>
      <c r="O102" t="str">
        <f>IF($I102&lt;&gt;"Complete",IF(COUNTIFS($A$4:$A101,$A102,$B$4:$B101,$B102,$I$4:$I101,"&lt;&gt;Complete")=0,$A102&amp;"|"&amp;$B102,""),"")</f>
        <v/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 t="s">
        <v>704</v>
      </c>
      <c r="B103" s="2" t="s">
        <v>49</v>
      </c>
      <c r="C103" s="3" t="s">
        <v>704</v>
      </c>
      <c r="D103" s="3" t="s">
        <v>691</v>
      </c>
      <c r="E103" s="2" t="s">
        <v>104</v>
      </c>
      <c r="F103" s="2"/>
      <c r="G103" s="5">
        <v>46181</v>
      </c>
      <c r="H103" s="5">
        <v>46441</v>
      </c>
      <c r="I103" s="4" t="s">
        <v>17</v>
      </c>
      <c r="J103" s="6">
        <f t="shared" si="4"/>
        <v>260</v>
      </c>
      <c r="K103" s="4" t="str">
        <f t="shared" ca="1" si="5"/>
        <v>No</v>
      </c>
      <c r="L103" s="7">
        <f>IF(I103="Completed","0",IF($H103="","",$H103-'[2]Read Me'!$B$4))</f>
        <v>254</v>
      </c>
      <c r="M103" s="4" t="str">
        <f>IF($I103="Complete","Green",IF($H103="","Amber",IF($H103&lt;'[2]Read Me'!$B$4,"Red",IF($H103-'[2]Read Me'!$B$4&lt;=21,"Amber","Green"))))</f>
        <v>Green</v>
      </c>
      <c r="N103" s="3"/>
      <c r="O103" t="str">
        <f>IF($I103&lt;&gt;"Complete",IF(COUNTIFS($A$4:$A102,$A103,$B$4:$B102,$B103,$I$4:$I102,"&lt;&gt;Complete")=0,$A103&amp;"|"&amp;$B103,""),"")</f>
        <v/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 t="s">
        <v>708</v>
      </c>
      <c r="B104" s="2" t="s">
        <v>62</v>
      </c>
      <c r="C104" s="3"/>
      <c r="D104" s="3"/>
      <c r="E104" s="2"/>
      <c r="F104" s="2"/>
      <c r="G104" s="5">
        <v>45970</v>
      </c>
      <c r="H104" s="5">
        <v>46208</v>
      </c>
      <c r="I104" s="4"/>
      <c r="J104" s="6">
        <f t="shared" si="4"/>
        <v>238</v>
      </c>
      <c r="K104" s="4" t="str">
        <f t="shared" ca="1" si="5"/>
        <v/>
      </c>
      <c r="L104" s="7">
        <f>IF(I104="Completed","0",IF($H104="","",$H104-'[2]Read Me'!$B$4))</f>
        <v>21</v>
      </c>
      <c r="M104" s="4" t="str">
        <f>IF($I104="Complete","Green",IF($H104="","Amber",IF($H104&lt;'[2]Read Me'!$B$4,"Red",IF($H104-'[2]Read Me'!$B$4&lt;=21,"Amber","Green"))))</f>
        <v>Amber</v>
      </c>
      <c r="N104" s="3"/>
      <c r="O104" t="str">
        <f>IF($I104&lt;&gt;"Complete",IF(COUNTIFS($A$4:$A103,$A104,$B$4:$B103,$B104,$I$4:$I103,"&lt;&gt;Complete")=0,$A104&amp;"|"&amp;$B104,""),"")</f>
        <v>Type A Shimmers|Buildings</v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 t="s">
        <v>708</v>
      </c>
      <c r="B105" s="2" t="s">
        <v>62</v>
      </c>
      <c r="C105" s="3" t="s">
        <v>708</v>
      </c>
      <c r="D105" s="3" t="s">
        <v>693</v>
      </c>
      <c r="E105" s="2"/>
      <c r="F105" s="2" t="s">
        <v>30</v>
      </c>
      <c r="G105" s="5">
        <v>45301.625</v>
      </c>
      <c r="H105" s="5">
        <v>45305</v>
      </c>
      <c r="I105" s="4" t="s">
        <v>31</v>
      </c>
      <c r="J105" s="6">
        <f t="shared" si="4"/>
        <v>3.375</v>
      </c>
      <c r="K105" s="4" t="str">
        <f t="shared" ca="1" si="5"/>
        <v>-</v>
      </c>
      <c r="L105" s="7" t="str">
        <f>IF(I105="Completed","0",IF($H105="","",$H105-'[2]Read Me'!$B$4))</f>
        <v>0</v>
      </c>
      <c r="M105" s="4" t="str">
        <f>IF($I105="Complete","Green",IF($H105="","Amber",IF($H105&lt;'[2]Read Me'!$B$4,"Red",IF($H105-'[2]Read Me'!$B$4&lt;=21,"Amber","Green"))))</f>
        <v>Red</v>
      </c>
      <c r="N105" s="3"/>
      <c r="O105" t="str">
        <f>IF($I105&lt;&gt;"Complete",IF(COUNTIFS($A$4:$A104,$A105,$B$4:$B104,$B105,$I$4:$I104,"&lt;&gt;Complete")=0,$A105&amp;"|"&amp;$B105,""),"")</f>
        <v/>
      </c>
      <c r="P105" t="str">
        <f ca="1">IF($K105="Yes",COUNTIFS($K$4:$K105,"Yes"),"")</f>
        <v/>
      </c>
      <c r="Q105">
        <f t="shared" ca="1" si="6"/>
        <v>0</v>
      </c>
      <c r="R105" t="str">
        <f ca="1">IF($Q105=1,SUM($Q$4:$Q105),"")</f>
        <v/>
      </c>
    </row>
    <row r="106" spans="1:18" ht="22.5" customHeight="1" x14ac:dyDescent="0.3">
      <c r="A106" s="2" t="s">
        <v>708</v>
      </c>
      <c r="B106" s="2" t="s">
        <v>62</v>
      </c>
      <c r="C106" s="3" t="s">
        <v>708</v>
      </c>
      <c r="D106" s="3" t="s">
        <v>694</v>
      </c>
      <c r="E106" s="2"/>
      <c r="F106" s="2" t="s">
        <v>265</v>
      </c>
      <c r="G106" s="5">
        <v>45315.625</v>
      </c>
      <c r="H106" s="5">
        <v>45327</v>
      </c>
      <c r="I106" s="4" t="s">
        <v>31</v>
      </c>
      <c r="J106" s="6">
        <f t="shared" si="4"/>
        <v>11.375</v>
      </c>
      <c r="K106" s="4" t="str">
        <f t="shared" ca="1" si="5"/>
        <v>-</v>
      </c>
      <c r="L106" s="7" t="str">
        <f>IF(I106="Completed","0",IF($H106="","",$H106-'[2]Read Me'!$B$4))</f>
        <v>0</v>
      </c>
      <c r="M106" s="4" t="str">
        <f>IF($I106="Complete","Green",IF($H106="","Amber",IF($H106&lt;'[2]Read Me'!$B$4,"Red",IF($H106-'[2]Read Me'!$B$4&lt;=21,"Amber","Green"))))</f>
        <v>Red</v>
      </c>
      <c r="N106" s="3"/>
      <c r="O106" t="str">
        <f>IF($I106&lt;&gt;"Complete",IF(COUNTIFS($A$4:$A105,$A106,$B$4:$B105,$B106,$I$4:$I105,"&lt;&gt;Complete")=0,$A106&amp;"|"&amp;$B106,""),"")</f>
        <v/>
      </c>
      <c r="P106" t="str">
        <f ca="1">IF($K106="Yes",COUNTIFS($K$4:$K106,"Yes"),"")</f>
        <v/>
      </c>
      <c r="Q106">
        <f t="shared" ca="1" si="6"/>
        <v>0</v>
      </c>
      <c r="R106" t="str">
        <f ca="1">IF($Q106=1,SUM($Q$4:$Q106),"")</f>
        <v/>
      </c>
    </row>
    <row r="107" spans="1:18" ht="22.5" customHeight="1" x14ac:dyDescent="0.3">
      <c r="A107" s="2" t="s">
        <v>708</v>
      </c>
      <c r="B107" s="2" t="s">
        <v>62</v>
      </c>
      <c r="C107" s="3" t="s">
        <v>708</v>
      </c>
      <c r="D107" s="3" t="s">
        <v>132</v>
      </c>
      <c r="E107" s="2" t="s">
        <v>667</v>
      </c>
      <c r="F107" s="2" t="s">
        <v>81</v>
      </c>
      <c r="G107" s="5">
        <v>45315.625</v>
      </c>
      <c r="H107" s="5">
        <v>45319</v>
      </c>
      <c r="I107" s="4" t="s">
        <v>31</v>
      </c>
      <c r="J107" s="6">
        <f t="shared" si="4"/>
        <v>3.375</v>
      </c>
      <c r="K107" s="4" t="str">
        <f t="shared" ca="1" si="5"/>
        <v>-</v>
      </c>
      <c r="L107" s="7" t="str">
        <f>IF(I107="Completed","0",IF($H107="","",$H107-'[2]Read Me'!$B$4))</f>
        <v>0</v>
      </c>
      <c r="M107" s="4" t="str">
        <f>IF($I107="Complete","Green",IF($H107="","Amber",IF($H107&lt;'[2]Read Me'!$B$4,"Red",IF($H107-'[2]Read Me'!$B$4&lt;=21,"Amber","Green"))))</f>
        <v>Red</v>
      </c>
      <c r="N107" s="3"/>
      <c r="O107" t="str">
        <f>IF($I107&lt;&gt;"Complete",IF(COUNTIFS($A$4:$A106,$A107,$B$4:$B106,$B107,$I$4:$I106,"&lt;&gt;Complete")=0,$A107&amp;"|"&amp;$B107,""),"")</f>
        <v/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 t="s">
        <v>708</v>
      </c>
      <c r="B108" s="2" t="s">
        <v>62</v>
      </c>
      <c r="C108" s="3" t="s">
        <v>708</v>
      </c>
      <c r="D108" s="3" t="s">
        <v>709</v>
      </c>
      <c r="E108" s="2"/>
      <c r="F108" s="2" t="s">
        <v>30</v>
      </c>
      <c r="G108" s="5"/>
      <c r="H108" s="5">
        <v>45341</v>
      </c>
      <c r="I108" s="4" t="s">
        <v>31</v>
      </c>
      <c r="J108" s="6" t="str">
        <f t="shared" si="4"/>
        <v/>
      </c>
      <c r="K108" s="4" t="str">
        <f t="shared" ca="1" si="5"/>
        <v>-</v>
      </c>
      <c r="L108" s="7" t="str">
        <f>IF(I108="Completed","0",IF($H108="","",$H108-'[2]Read Me'!$B$4))</f>
        <v>0</v>
      </c>
      <c r="M108" s="4" t="str">
        <f>IF($I108="Complete","Green",IF($H108="","Amber",IF($H108&lt;'[2]Read Me'!$B$4,"Red",IF($H108-'[2]Read Me'!$B$4&lt;=21,"Amber","Green"))))</f>
        <v>Red</v>
      </c>
      <c r="N108" s="3"/>
      <c r="O108" t="str">
        <f>IF($I108&lt;&gt;"Complete",IF(COUNTIFS($A$4:$A107,$A108,$B$4:$B107,$B108,$I$4:$I107,"&lt;&gt;Complete")=0,$A108&amp;"|"&amp;$B108,""),"")</f>
        <v/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 t="s">
        <v>708</v>
      </c>
      <c r="B109" s="2" t="s">
        <v>62</v>
      </c>
      <c r="C109" s="3" t="s">
        <v>708</v>
      </c>
      <c r="D109" s="3" t="s">
        <v>710</v>
      </c>
      <c r="E109" s="2"/>
      <c r="F109" s="2" t="s">
        <v>30</v>
      </c>
      <c r="G109" s="5"/>
      <c r="H109" s="5"/>
      <c r="I109" s="4" t="s">
        <v>31</v>
      </c>
      <c r="J109" s="6" t="str">
        <f t="shared" si="4"/>
        <v/>
      </c>
      <c r="K109" s="4" t="str">
        <f t="shared" ca="1" si="5"/>
        <v/>
      </c>
      <c r="L109" s="7" t="str">
        <f>IF(I109="Completed","0",IF($H109="","",$H109-'[2]Read Me'!$B$4))</f>
        <v>0</v>
      </c>
      <c r="M109" s="4" t="str">
        <f>IF($I109="Complete","Green",IF($H109="","Amber",IF($H109&lt;'[2]Read Me'!$B$4,"Red",IF($H109-'[2]Read Me'!$B$4&lt;=21,"Amber","Green"))))</f>
        <v>Amber</v>
      </c>
      <c r="N109" s="3"/>
      <c r="O109" t="str">
        <f>IF($I109&lt;&gt;"Complete",IF(COUNTIFS($A$4:$A108,$A109,$B$4:$B108,$B109,$I$4:$I108,"&lt;&gt;Complete")=0,$A109&amp;"|"&amp;$B109,""),"")</f>
        <v/>
      </c>
      <c r="P109" t="str">
        <f ca="1">IF($K109="Yes",COUNTIFS($K$4:$K109,"Yes"),"")</f>
        <v/>
      </c>
      <c r="Q109">
        <f t="shared" ca="1" si="6"/>
        <v>0</v>
      </c>
      <c r="R109" t="str">
        <f ca="1">IF($Q109=1,SUM($Q$4:$Q109),"")</f>
        <v/>
      </c>
    </row>
    <row r="110" spans="1:18" ht="22.5" customHeight="1" x14ac:dyDescent="0.3">
      <c r="A110" s="2" t="s">
        <v>708</v>
      </c>
      <c r="B110" s="2" t="s">
        <v>62</v>
      </c>
      <c r="C110" s="3" t="s">
        <v>708</v>
      </c>
      <c r="D110" s="3" t="s">
        <v>18</v>
      </c>
      <c r="E110" s="2"/>
      <c r="F110" s="2" t="s">
        <v>30</v>
      </c>
      <c r="G110" s="5">
        <v>45620</v>
      </c>
      <c r="H110" s="5">
        <v>45616</v>
      </c>
      <c r="I110" s="4" t="s">
        <v>31</v>
      </c>
      <c r="J110" s="6">
        <f t="shared" si="4"/>
        <v>-4</v>
      </c>
      <c r="K110" s="4" t="str">
        <f t="shared" ca="1" si="5"/>
        <v>-</v>
      </c>
      <c r="L110" s="7" t="str">
        <f>IF(I110="Completed","0",IF($H110="","",$H110-'[2]Read Me'!$B$4))</f>
        <v>0</v>
      </c>
      <c r="M110" s="4" t="str">
        <f>IF($I110="Complete","Green",IF($H110="","Amber",IF($H110&lt;'[2]Read Me'!$B$4,"Red",IF($H110-'[2]Read Me'!$B$4&lt;=21,"Amber","Green"))))</f>
        <v>Red</v>
      </c>
      <c r="N110" s="3"/>
      <c r="O110" t="str">
        <f>IF($I110&lt;&gt;"Complete",IF(COUNTIFS($A$4:$A109,$A110,$B$4:$B109,$B110,$I$4:$I109,"&lt;&gt;Complete")=0,$A110&amp;"|"&amp;$B110,""),"")</f>
        <v/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 t="s">
        <v>708</v>
      </c>
      <c r="B111" s="2" t="s">
        <v>62</v>
      </c>
      <c r="C111" s="3" t="s">
        <v>708</v>
      </c>
      <c r="D111" s="3" t="s">
        <v>32</v>
      </c>
      <c r="E111" s="2"/>
      <c r="F111" s="2" t="s">
        <v>265</v>
      </c>
      <c r="G111" s="5">
        <v>45645</v>
      </c>
      <c r="H111" s="5">
        <v>45645</v>
      </c>
      <c r="I111" s="4" t="s">
        <v>31</v>
      </c>
      <c r="J111" s="6">
        <f t="shared" si="4"/>
        <v>0</v>
      </c>
      <c r="K111" s="4" t="str">
        <f t="shared" ca="1" si="5"/>
        <v>-</v>
      </c>
      <c r="L111" s="7" t="str">
        <f>IF(I111="Completed","0",IF($H111="","",$H111-'[2]Read Me'!$B$4))</f>
        <v>0</v>
      </c>
      <c r="M111" s="4" t="str">
        <f>IF($I111="Complete","Green",IF($H111="","Amber",IF($H111&lt;'[2]Read Me'!$B$4,"Red",IF($H111-'[2]Read Me'!$B$4&lt;=21,"Amber","Green"))))</f>
        <v>Red</v>
      </c>
      <c r="N111" s="3"/>
      <c r="O111" t="str">
        <f>IF($I111&lt;&gt;"Complete",IF(COUNTIFS($A$4:$A110,$A111,$B$4:$B110,$B111,$I$4:$I110,"&lt;&gt;Complete")=0,$A111&amp;"|"&amp;$B111,""),"")</f>
        <v/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 t="s">
        <v>708</v>
      </c>
      <c r="B112" s="2" t="s">
        <v>62</v>
      </c>
      <c r="C112" s="3" t="s">
        <v>708</v>
      </c>
      <c r="D112" s="3" t="s">
        <v>19</v>
      </c>
      <c r="E112" s="2" t="s">
        <v>667</v>
      </c>
      <c r="F112" s="2" t="s">
        <v>81</v>
      </c>
      <c r="G112" s="5">
        <v>45683</v>
      </c>
      <c r="H112" s="5">
        <v>45683</v>
      </c>
      <c r="I112" s="4" t="s">
        <v>31</v>
      </c>
      <c r="J112" s="6">
        <f t="shared" si="4"/>
        <v>0</v>
      </c>
      <c r="K112" s="4" t="str">
        <f t="shared" ca="1" si="5"/>
        <v>-</v>
      </c>
      <c r="L112" s="7" t="str">
        <f>IF(I112="Completed","0",IF($H112="","",$H112-'[2]Read Me'!$B$4))</f>
        <v>0</v>
      </c>
      <c r="M112" s="4" t="str">
        <f>IF($I112="Complete","Green",IF($H112="","Amber",IF($H112&lt;'[2]Read Me'!$B$4,"Red",IF($H112-'[2]Read Me'!$B$4&lt;=21,"Amber","Green"))))</f>
        <v>Red</v>
      </c>
      <c r="N112" s="3"/>
      <c r="O112" t="str">
        <f>IF($I112&lt;&gt;"Complete",IF(COUNTIFS($A$4:$A111,$A112,$B$4:$B111,$B112,$I$4:$I111,"&lt;&gt;Complete")=0,$A112&amp;"|"&amp;$B112,""),"")</f>
        <v/>
      </c>
      <c r="P112" t="str">
        <f ca="1">IF($K112="Yes",COUNTIFS($K$4:$K112,"Yes"),"")</f>
        <v/>
      </c>
      <c r="Q112">
        <f t="shared" ca="1" si="6"/>
        <v>0</v>
      </c>
      <c r="R112" t="str">
        <f ca="1">IF($Q112=1,SUM($Q$4:$Q112),"")</f>
        <v/>
      </c>
    </row>
    <row r="113" spans="1:18" ht="22.5" customHeight="1" x14ac:dyDescent="0.3">
      <c r="A113" s="2" t="s">
        <v>708</v>
      </c>
      <c r="B113" s="2" t="s">
        <v>62</v>
      </c>
      <c r="C113" s="3" t="s">
        <v>708</v>
      </c>
      <c r="D113" s="3" t="s">
        <v>682</v>
      </c>
      <c r="E113" s="2"/>
      <c r="F113" s="2" t="s">
        <v>30</v>
      </c>
      <c r="G113" s="5">
        <v>45690</v>
      </c>
      <c r="H113" s="5">
        <v>45690</v>
      </c>
      <c r="I113" s="4" t="s">
        <v>31</v>
      </c>
      <c r="J113" s="6">
        <f t="shared" si="4"/>
        <v>0</v>
      </c>
      <c r="K113" s="4" t="str">
        <f t="shared" ca="1" si="5"/>
        <v>-</v>
      </c>
      <c r="L113" s="7" t="str">
        <f>IF(I113="Completed","0",IF($H113="","",$H113-'[2]Read Me'!$B$4))</f>
        <v>0</v>
      </c>
      <c r="M113" s="4" t="str">
        <f>IF($I113="Complete","Green",IF($H113="","Amber",IF($H113&lt;'[2]Read Me'!$B$4,"Red",IF($H113-'[2]Read Me'!$B$4&lt;=21,"Amber","Green"))))</f>
        <v>Red</v>
      </c>
      <c r="N113" s="3"/>
      <c r="O113" t="str">
        <f>IF($I113&lt;&gt;"Complete",IF(COUNTIFS($A$4:$A112,$A113,$B$4:$B112,$B113,$I$4:$I112,"&lt;&gt;Complete")=0,$A113&amp;"|"&amp;$B113,""),"")</f>
        <v/>
      </c>
      <c r="P113" t="str">
        <f ca="1">IF($K113="Yes",COUNTIFS($K$4:$K113,"Yes"),"")</f>
        <v/>
      </c>
      <c r="Q113">
        <f t="shared" ca="1" si="6"/>
        <v>0</v>
      </c>
      <c r="R113" t="str">
        <f ca="1">IF($Q113=1,SUM($Q$4:$Q113),"")</f>
        <v/>
      </c>
    </row>
    <row r="114" spans="1:18" ht="22.5" customHeight="1" x14ac:dyDescent="0.3">
      <c r="A114" s="2" t="s">
        <v>708</v>
      </c>
      <c r="B114" s="2" t="s">
        <v>62</v>
      </c>
      <c r="C114" s="3" t="s">
        <v>708</v>
      </c>
      <c r="D114" s="3" t="s">
        <v>34</v>
      </c>
      <c r="E114" s="2"/>
      <c r="F114" s="2" t="s">
        <v>265</v>
      </c>
      <c r="G114" s="5">
        <v>45704</v>
      </c>
      <c r="H114" s="5">
        <v>45704</v>
      </c>
      <c r="I114" s="4" t="s">
        <v>31</v>
      </c>
      <c r="J114" s="6">
        <f t="shared" si="4"/>
        <v>0</v>
      </c>
      <c r="K114" s="4" t="str">
        <f t="shared" ca="1" si="5"/>
        <v>-</v>
      </c>
      <c r="L114" s="7" t="str">
        <f>IF(I114="Completed","0",IF($H114="","",$H114-'[2]Read Me'!$B$4))</f>
        <v>0</v>
      </c>
      <c r="M114" s="4" t="str">
        <f>IF($I114="Complete","Green",IF($H114="","Amber",IF($H114&lt;'[2]Read Me'!$B$4,"Red",IF($H114-'[2]Read Me'!$B$4&lt;=21,"Amber","Green"))))</f>
        <v>Red</v>
      </c>
      <c r="N114" s="3"/>
      <c r="O114" t="str">
        <f>IF($I114&lt;&gt;"Complete",IF(COUNTIFS($A$4:$A113,$A114,$B$4:$B113,$B114,$I$4:$I113,"&lt;&gt;Complete")=0,$A114&amp;"|"&amp;$B114,""),"")</f>
        <v/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 t="s">
        <v>708</v>
      </c>
      <c r="B115" s="2" t="s">
        <v>62</v>
      </c>
      <c r="C115" s="3" t="s">
        <v>708</v>
      </c>
      <c r="D115" s="3" t="s">
        <v>15</v>
      </c>
      <c r="E115" s="2"/>
      <c r="F115" s="2" t="s">
        <v>30</v>
      </c>
      <c r="G115" s="5">
        <v>45733</v>
      </c>
      <c r="H115" s="5">
        <v>45733</v>
      </c>
      <c r="I115" s="4" t="s">
        <v>31</v>
      </c>
      <c r="J115" s="6">
        <f t="shared" si="4"/>
        <v>0</v>
      </c>
      <c r="K115" s="4" t="str">
        <f t="shared" ca="1" si="5"/>
        <v>-</v>
      </c>
      <c r="L115" s="7" t="str">
        <f>IF(I115="Completed","0",IF($H115="","",$H115-'[2]Read Me'!$B$4))</f>
        <v>0</v>
      </c>
      <c r="M115" s="4" t="str">
        <f>IF($I115="Complete","Green",IF($H115="","Amber",IF($H115&lt;'[2]Read Me'!$B$4,"Red",IF($H115-'[2]Read Me'!$B$4&lt;=21,"Amber","Green"))))</f>
        <v>Red</v>
      </c>
      <c r="N115" s="3"/>
      <c r="O115" t="str">
        <f>IF($I115&lt;&gt;"Complete",IF(COUNTIFS($A$4:$A114,$A115,$B$4:$B114,$B115,$I$4:$I114,"&lt;&gt;Complete")=0,$A115&amp;"|"&amp;$B115,""),"")</f>
        <v/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 t="s">
        <v>708</v>
      </c>
      <c r="B116" s="2" t="s">
        <v>62</v>
      </c>
      <c r="C116" s="3" t="s">
        <v>708</v>
      </c>
      <c r="D116" s="3" t="s">
        <v>35</v>
      </c>
      <c r="E116" s="2"/>
      <c r="F116" s="2" t="s">
        <v>265</v>
      </c>
      <c r="G116" s="5">
        <v>45777</v>
      </c>
      <c r="H116" s="5">
        <v>45777</v>
      </c>
      <c r="I116" s="4" t="s">
        <v>31</v>
      </c>
      <c r="J116" s="6">
        <f t="shared" si="4"/>
        <v>0</v>
      </c>
      <c r="K116" s="4" t="str">
        <f t="shared" ca="1" si="5"/>
        <v>-</v>
      </c>
      <c r="L116" s="7" t="str">
        <f>IF(I116="Completed","0",IF($H116="","",$H116-'[2]Read Me'!$B$4))</f>
        <v>0</v>
      </c>
      <c r="M116" s="4" t="str">
        <f>IF($I116="Complete","Green",IF($H116="","Amber",IF($H116&lt;'[2]Read Me'!$B$4,"Red",IF($H116-'[2]Read Me'!$B$4&lt;=21,"Amber","Green"))))</f>
        <v>Red</v>
      </c>
      <c r="N116" s="3"/>
      <c r="O116" t="str">
        <f>IF($I116&lt;&gt;"Complete",IF(COUNTIFS($A$4:$A115,$A116,$B$4:$B115,$B116,$I$4:$I115,"&lt;&gt;Complete")=0,$A116&amp;"|"&amp;$B116,""),"")</f>
        <v/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 t="s">
        <v>708</v>
      </c>
      <c r="B117" s="2" t="s">
        <v>62</v>
      </c>
      <c r="C117" s="3" t="s">
        <v>708</v>
      </c>
      <c r="D117" s="3" t="s">
        <v>683</v>
      </c>
      <c r="E117" s="2"/>
      <c r="F117" s="2" t="s">
        <v>30</v>
      </c>
      <c r="G117" s="5">
        <v>45818</v>
      </c>
      <c r="H117" s="5">
        <v>45818</v>
      </c>
      <c r="I117" s="4" t="s">
        <v>31</v>
      </c>
      <c r="J117" s="6">
        <f t="shared" si="4"/>
        <v>0</v>
      </c>
      <c r="K117" s="4" t="str">
        <f t="shared" ca="1" si="5"/>
        <v>-</v>
      </c>
      <c r="L117" s="7" t="str">
        <f>IF(I117="Completed","0",IF($H117="","",$H117-'[2]Read Me'!$B$4))</f>
        <v>0</v>
      </c>
      <c r="M117" s="4" t="str">
        <f>IF($I117="Complete","Green",IF($H117="","Amber",IF($H117&lt;'[2]Read Me'!$B$4,"Red",IF($H117-'[2]Read Me'!$B$4&lt;=21,"Amber","Green"))))</f>
        <v>Red</v>
      </c>
      <c r="N117" s="3"/>
      <c r="O117" t="str">
        <f>IF($I117&lt;&gt;"Complete",IF(COUNTIFS($A$4:$A116,$A117,$B$4:$B116,$B117,$I$4:$I116,"&lt;&gt;Complete")=0,$A117&amp;"|"&amp;$B117,""),"")</f>
        <v/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 t="s">
        <v>708</v>
      </c>
      <c r="B118" s="2" t="s">
        <v>62</v>
      </c>
      <c r="C118" s="3" t="s">
        <v>708</v>
      </c>
      <c r="D118" s="3" t="s">
        <v>20</v>
      </c>
      <c r="E118" s="2" t="s">
        <v>667</v>
      </c>
      <c r="F118" s="2" t="s">
        <v>81</v>
      </c>
      <c r="G118" s="5">
        <v>45782</v>
      </c>
      <c r="H118" s="5">
        <v>45782</v>
      </c>
      <c r="I118" s="4" t="s">
        <v>31</v>
      </c>
      <c r="J118" s="6">
        <f t="shared" si="4"/>
        <v>0</v>
      </c>
      <c r="K118" s="4" t="str">
        <f t="shared" ca="1" si="5"/>
        <v>-</v>
      </c>
      <c r="L118" s="7" t="str">
        <f>IF(I118="Completed","0",IF($H118="","",$H118-'[2]Read Me'!$B$4))</f>
        <v>0</v>
      </c>
      <c r="M118" s="4" t="str">
        <f>IF($I118="Complete","Green",IF($H118="","Amber",IF($H118&lt;'[2]Read Me'!$B$4,"Red",IF($H118-'[2]Read Me'!$B$4&lt;=21,"Amber","Green"))))</f>
        <v>Red</v>
      </c>
      <c r="N118" s="3"/>
      <c r="O118" t="str">
        <f>IF($I118&lt;&gt;"Complete",IF(COUNTIFS($A$4:$A117,$A118,$B$4:$B117,$B118,$I$4:$I117,"&lt;&gt;Complete")=0,$A118&amp;"|"&amp;$B118,""),"")</f>
        <v/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 t="s">
        <v>708</v>
      </c>
      <c r="B119" s="2" t="s">
        <v>62</v>
      </c>
      <c r="C119" s="3" t="s">
        <v>708</v>
      </c>
      <c r="D119" s="3" t="s">
        <v>711</v>
      </c>
      <c r="E119" s="2" t="s">
        <v>664</v>
      </c>
      <c r="F119" s="2" t="s">
        <v>30</v>
      </c>
      <c r="G119" s="5">
        <v>45949</v>
      </c>
      <c r="H119" s="5">
        <v>46194</v>
      </c>
      <c r="I119" s="4" t="s">
        <v>31</v>
      </c>
      <c r="J119" s="6">
        <f t="shared" si="4"/>
        <v>245</v>
      </c>
      <c r="K119" s="4" t="str">
        <f t="shared" ca="1" si="5"/>
        <v>-</v>
      </c>
      <c r="L119" s="7" t="str">
        <f>IF(I119="Completed","0",IF($H119="","",$H119-'[2]Read Me'!$B$4))</f>
        <v>0</v>
      </c>
      <c r="M119" s="4" t="str">
        <f>IF($I119="Complete","Green",IF($H119="","Amber",IF($H119&lt;'[2]Read Me'!$B$4,"Red",IF($H119-'[2]Read Me'!$B$4&lt;=21,"Amber","Green"))))</f>
        <v>Amber</v>
      </c>
      <c r="N119" s="3"/>
      <c r="O119" t="str">
        <f>IF($I119&lt;&gt;"Complete",IF(COUNTIFS($A$4:$A118,$A119,$B$4:$B118,$B119,$I$4:$I118,"&lt;&gt;Complete")=0,$A119&amp;"|"&amp;$B119,""),"")</f>
        <v/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 t="s">
        <v>708</v>
      </c>
      <c r="B120" s="2" t="s">
        <v>62</v>
      </c>
      <c r="C120" s="3" t="s">
        <v>708</v>
      </c>
      <c r="D120" s="3" t="s">
        <v>712</v>
      </c>
      <c r="E120" s="2" t="s">
        <v>664</v>
      </c>
      <c r="F120" s="2" t="s">
        <v>30</v>
      </c>
      <c r="G120" s="5"/>
      <c r="H120" s="5">
        <v>46194</v>
      </c>
      <c r="I120" s="4" t="s">
        <v>31</v>
      </c>
      <c r="J120" s="6" t="str">
        <f t="shared" si="4"/>
        <v/>
      </c>
      <c r="K120" s="4" t="str">
        <f t="shared" ca="1" si="5"/>
        <v>-</v>
      </c>
      <c r="L120" s="7" t="str">
        <f>IF(I120="Completed","0",IF($H120="","",$H120-'[2]Read Me'!$B$4))</f>
        <v>0</v>
      </c>
      <c r="M120" s="4" t="str">
        <f>IF($I120="Complete","Green",IF($H120="","Amber",IF($H120&lt;'[2]Read Me'!$B$4,"Red",IF($H120-'[2]Read Me'!$B$4&lt;=21,"Amber","Green"))))</f>
        <v>Amber</v>
      </c>
      <c r="N120" s="3"/>
      <c r="O120" t="str">
        <f>IF($I120&lt;&gt;"Complete",IF(COUNTIFS($A$4:$A119,$A120,$B$4:$B119,$B120,$I$4:$I119,"&lt;&gt;Complete")=0,$A120&amp;"|"&amp;$B120,""),"")</f>
        <v/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 t="s">
        <v>708</v>
      </c>
      <c r="B121" s="2" t="s">
        <v>62</v>
      </c>
      <c r="C121" s="3" t="s">
        <v>708</v>
      </c>
      <c r="D121" s="3" t="s">
        <v>37</v>
      </c>
      <c r="E121" s="2" t="s">
        <v>664</v>
      </c>
      <c r="F121" s="2" t="s">
        <v>265</v>
      </c>
      <c r="G121" s="5">
        <v>45970</v>
      </c>
      <c r="H121" s="5">
        <v>46208</v>
      </c>
      <c r="I121" s="4" t="s">
        <v>46</v>
      </c>
      <c r="J121" s="6">
        <f t="shared" si="4"/>
        <v>238</v>
      </c>
      <c r="K121" s="4" t="str">
        <f t="shared" ca="1" si="5"/>
        <v>No</v>
      </c>
      <c r="L121" s="7">
        <f>IF(I121="Completed","0",IF($H121="","",$H121-'[2]Read Me'!$B$4))</f>
        <v>21</v>
      </c>
      <c r="M121" s="4" t="str">
        <f>IF($I121="Complete","Green",IF($H121="","Amber",IF($H121&lt;'[2]Read Me'!$B$4,"Red",IF($H121-'[2]Read Me'!$B$4&lt;=21,"Amber","Green"))))</f>
        <v>Amber</v>
      </c>
      <c r="N121" s="3"/>
      <c r="O121" t="str">
        <f>IF($I121&lt;&gt;"Complete",IF(COUNTIFS($A$4:$A120,$A121,$B$4:$B120,$B121,$I$4:$I120,"&lt;&gt;Complete")=0,$A121&amp;"|"&amp;$B121,""),"")</f>
        <v/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 t="s">
        <v>713</v>
      </c>
      <c r="B122" s="2" t="s">
        <v>62</v>
      </c>
      <c r="C122" s="3"/>
      <c r="D122" s="3"/>
      <c r="E122" s="2"/>
      <c r="F122" s="2"/>
      <c r="G122" s="5">
        <v>46066</v>
      </c>
      <c r="H122" s="5">
        <v>46254</v>
      </c>
      <c r="I122" s="4"/>
      <c r="J122" s="6">
        <f t="shared" si="4"/>
        <v>188</v>
      </c>
      <c r="K122" s="4" t="str">
        <f t="shared" ca="1" si="5"/>
        <v/>
      </c>
      <c r="L122" s="7">
        <f>IF(I122="Completed","0",IF($H122="","",$H122-'[2]Read Me'!$B$4))</f>
        <v>67</v>
      </c>
      <c r="M122" s="4" t="str">
        <f>IF($I122="Complete","Green",IF($H122="","Amber",IF($H122&lt;'[2]Read Me'!$B$4,"Red",IF($H122-'[2]Read Me'!$B$4&lt;=21,"Amber","Green"))))</f>
        <v>Green</v>
      </c>
      <c r="N122" s="3"/>
      <c r="O122" t="str">
        <f>IF($I122&lt;&gt;"Complete",IF(COUNTIFS($A$4:$A121,$A122,$B$4:$B121,$B122,$I$4:$I121,"&lt;&gt;Complete")=0,$A122&amp;"|"&amp;$B122,""),"")</f>
        <v>Type D Shimmers|Buildings</v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 t="s">
        <v>713</v>
      </c>
      <c r="B123" s="2" t="s">
        <v>62</v>
      </c>
      <c r="C123" s="3" t="s">
        <v>713</v>
      </c>
      <c r="D123" s="3" t="s">
        <v>18</v>
      </c>
      <c r="E123" s="2"/>
      <c r="F123" s="2" t="s">
        <v>30</v>
      </c>
      <c r="G123" s="5">
        <v>45928</v>
      </c>
      <c r="H123" s="5">
        <v>46013</v>
      </c>
      <c r="I123" s="4" t="s">
        <v>31</v>
      </c>
      <c r="J123" s="6">
        <f t="shared" si="4"/>
        <v>85</v>
      </c>
      <c r="K123" s="4" t="str">
        <f t="shared" ca="1" si="5"/>
        <v>-</v>
      </c>
      <c r="L123" s="7" t="str">
        <f>IF(I123="Completed","0",IF($H123="","",$H123-'[2]Read Me'!$B$4))</f>
        <v>0</v>
      </c>
      <c r="M123" s="4" t="str">
        <f>IF($I123="Complete","Green",IF($H123="","Amber",IF($H123&lt;'[2]Read Me'!$B$4,"Red",IF($H123-'[2]Read Me'!$B$4&lt;=21,"Amber","Green"))))</f>
        <v>Red</v>
      </c>
      <c r="N123" s="3"/>
      <c r="O123" t="str">
        <f>IF($I123&lt;&gt;"Complete",IF(COUNTIFS($A$4:$A122,$A123,$B$4:$B122,$B123,$I$4:$I122,"&lt;&gt;Complete")=0,$A123&amp;"|"&amp;$B123,""),"")</f>
        <v/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 t="s">
        <v>713</v>
      </c>
      <c r="B124" s="2" t="s">
        <v>62</v>
      </c>
      <c r="C124" s="3" t="s">
        <v>713</v>
      </c>
      <c r="D124" s="3" t="s">
        <v>32</v>
      </c>
      <c r="E124" s="2"/>
      <c r="F124" s="2" t="s">
        <v>265</v>
      </c>
      <c r="G124" s="5">
        <v>45939</v>
      </c>
      <c r="H124" s="5">
        <v>46022</v>
      </c>
      <c r="I124" s="4" t="s">
        <v>31</v>
      </c>
      <c r="J124" s="6">
        <f t="shared" si="4"/>
        <v>83</v>
      </c>
      <c r="K124" s="4" t="str">
        <f t="shared" ca="1" si="5"/>
        <v>-</v>
      </c>
      <c r="L124" s="7" t="str">
        <f>IF(I124="Completed","0",IF($H124="","",$H124-'[2]Read Me'!$B$4))</f>
        <v>0</v>
      </c>
      <c r="M124" s="4" t="str">
        <f>IF($I124="Complete","Green",IF($H124="","Amber",IF($H124&lt;'[2]Read Me'!$B$4,"Red",IF($H124-'[2]Read Me'!$B$4&lt;=21,"Amber","Green"))))</f>
        <v>Red</v>
      </c>
      <c r="N124" s="3"/>
      <c r="O124" t="str">
        <f>IF($I124&lt;&gt;"Complete",IF(COUNTIFS($A$4:$A123,$A124,$B$4:$B123,$B124,$I$4:$I123,"&lt;&gt;Complete")=0,$A124&amp;"|"&amp;$B124,""),"")</f>
        <v/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 t="s">
        <v>713</v>
      </c>
      <c r="B125" s="2" t="s">
        <v>62</v>
      </c>
      <c r="C125" s="3" t="s">
        <v>713</v>
      </c>
      <c r="D125" s="3" t="s">
        <v>19</v>
      </c>
      <c r="E125" s="2" t="s">
        <v>667</v>
      </c>
      <c r="F125" s="2" t="s">
        <v>81</v>
      </c>
      <c r="G125" s="5">
        <v>45943</v>
      </c>
      <c r="H125" s="5">
        <v>46195</v>
      </c>
      <c r="I125" s="4" t="s">
        <v>46</v>
      </c>
      <c r="J125" s="6">
        <f t="shared" si="4"/>
        <v>252</v>
      </c>
      <c r="K125" s="4" t="str">
        <f t="shared" ca="1" si="5"/>
        <v>Yes</v>
      </c>
      <c r="L125" s="7">
        <f>IF(I125="Completed","0",IF($H125="","",$H125-'[2]Read Me'!$B$4))</f>
        <v>8</v>
      </c>
      <c r="M125" s="4" t="str">
        <f>IF($I125="Complete","Green",IF($H125="","Amber",IF($H125&lt;'[2]Read Me'!$B$4,"Red",IF($H125-'[2]Read Me'!$B$4&lt;=21,"Amber","Green"))))</f>
        <v>Amber</v>
      </c>
      <c r="N125" s="3"/>
      <c r="O125" t="str">
        <f>IF($I125&lt;&gt;"Complete",IF(COUNTIFS($A$4:$A124,$A125,$B$4:$B124,$B125,$I$4:$I124,"&lt;&gt;Complete")=0,$A125&amp;"|"&amp;$B125,""),"")</f>
        <v/>
      </c>
      <c r="P125">
        <f ca="1">IF($K125="Yes",COUNTIFS($K$4:$K125,"Yes"),"")</f>
        <v>6</v>
      </c>
      <c r="Q125">
        <f t="shared" ca="1" si="6"/>
        <v>1</v>
      </c>
      <c r="R125">
        <f ca="1">IF($Q125=1,SUM($Q$4:$Q125),"")</f>
        <v>6</v>
      </c>
    </row>
    <row r="126" spans="1:18" ht="22.5" customHeight="1" x14ac:dyDescent="0.3">
      <c r="A126" s="2" t="s">
        <v>713</v>
      </c>
      <c r="B126" s="2" t="s">
        <v>62</v>
      </c>
      <c r="C126" s="3" t="s">
        <v>713</v>
      </c>
      <c r="D126" s="3" t="s">
        <v>14</v>
      </c>
      <c r="E126" s="2"/>
      <c r="F126" s="2" t="s">
        <v>30</v>
      </c>
      <c r="G126" s="5">
        <v>45970</v>
      </c>
      <c r="H126" s="5">
        <v>46061</v>
      </c>
      <c r="I126" s="4" t="s">
        <v>31</v>
      </c>
      <c r="J126" s="6">
        <f t="shared" si="4"/>
        <v>91</v>
      </c>
      <c r="K126" s="4" t="str">
        <f t="shared" ca="1" si="5"/>
        <v>-</v>
      </c>
      <c r="L126" s="7" t="str">
        <f>IF(I126="Completed","0",IF($H126="","",$H126-'[2]Read Me'!$B$4))</f>
        <v>0</v>
      </c>
      <c r="M126" s="4" t="str">
        <f>IF($I126="Complete","Green",IF($H126="","Amber",IF($H126&lt;'[2]Read Me'!$B$4,"Red",IF($H126-'[2]Read Me'!$B$4&lt;=21,"Amber","Green"))))</f>
        <v>Red</v>
      </c>
      <c r="N126" s="3"/>
      <c r="O126" t="str">
        <f>IF($I126&lt;&gt;"Complete",IF(COUNTIFS($A$4:$A125,$A126,$B$4:$B125,$B126,$I$4:$I125,"&lt;&gt;Complete")=0,$A126&amp;"|"&amp;$B126,""),"")</f>
        <v/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 t="s">
        <v>713</v>
      </c>
      <c r="B127" s="2" t="s">
        <v>62</v>
      </c>
      <c r="C127" s="3" t="s">
        <v>713</v>
      </c>
      <c r="D127" s="3" t="s">
        <v>34</v>
      </c>
      <c r="E127" s="2"/>
      <c r="F127" s="2" t="s">
        <v>265</v>
      </c>
      <c r="G127" s="5">
        <v>45985</v>
      </c>
      <c r="H127" s="5">
        <v>46071</v>
      </c>
      <c r="I127" s="4" t="s">
        <v>31</v>
      </c>
      <c r="J127" s="6">
        <f t="shared" si="4"/>
        <v>86</v>
      </c>
      <c r="K127" s="4" t="str">
        <f t="shared" ca="1" si="5"/>
        <v>-</v>
      </c>
      <c r="L127" s="7" t="str">
        <f>IF(I127="Completed","0",IF($H127="","",$H127-'[2]Read Me'!$B$4))</f>
        <v>0</v>
      </c>
      <c r="M127" s="4" t="str">
        <f>IF($I127="Complete","Green",IF($H127="","Amber",IF($H127&lt;'[2]Read Me'!$B$4,"Red",IF($H127-'[2]Read Me'!$B$4&lt;=21,"Amber","Green"))))</f>
        <v>Red</v>
      </c>
      <c r="N127" s="3"/>
      <c r="O127" t="str">
        <f>IF($I127&lt;&gt;"Complete",IF(COUNTIFS($A$4:$A126,$A127,$B$4:$B126,$B127,$I$4:$I126,"&lt;&gt;Complete")=0,$A127&amp;"|"&amp;$B127,""),"")</f>
        <v/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 t="s">
        <v>713</v>
      </c>
      <c r="B128" s="2" t="s">
        <v>62</v>
      </c>
      <c r="C128" s="3" t="s">
        <v>713</v>
      </c>
      <c r="D128" s="3" t="s">
        <v>714</v>
      </c>
      <c r="E128" s="2" t="s">
        <v>664</v>
      </c>
      <c r="F128" s="2" t="s">
        <v>30</v>
      </c>
      <c r="G128" s="5">
        <v>46014</v>
      </c>
      <c r="H128" s="5">
        <v>46205</v>
      </c>
      <c r="I128" s="4" t="s">
        <v>46</v>
      </c>
      <c r="J128" s="6">
        <f t="shared" si="4"/>
        <v>191</v>
      </c>
      <c r="K128" s="4" t="str">
        <f t="shared" ca="1" si="5"/>
        <v>No</v>
      </c>
      <c r="L128" s="7">
        <f>IF(I128="Completed","0",IF($H128="","",$H128-'[2]Read Me'!$B$4))</f>
        <v>18</v>
      </c>
      <c r="M128" s="4" t="str">
        <f>IF($I128="Complete","Green",IF($H128="","Amber",IF($H128&lt;'[2]Read Me'!$B$4,"Red",IF($H128-'[2]Read Me'!$B$4&lt;=21,"Amber","Green"))))</f>
        <v>Amber</v>
      </c>
      <c r="N128" s="3"/>
      <c r="O128" t="str">
        <f>IF($I128&lt;&gt;"Complete",IF(COUNTIFS($A$4:$A127,$A128,$B$4:$B127,$B128,$I$4:$I127,"&lt;&gt;Complete")=0,$A128&amp;"|"&amp;$B128,""),"")</f>
        <v/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 t="s">
        <v>713</v>
      </c>
      <c r="B129" s="2" t="s">
        <v>62</v>
      </c>
      <c r="C129" s="3" t="s">
        <v>713</v>
      </c>
      <c r="D129" s="3" t="s">
        <v>35</v>
      </c>
      <c r="E129" s="2" t="s">
        <v>664</v>
      </c>
      <c r="F129" s="2" t="s">
        <v>265</v>
      </c>
      <c r="G129" s="5">
        <v>46029</v>
      </c>
      <c r="H129" s="5">
        <v>46219</v>
      </c>
      <c r="I129" s="4" t="s">
        <v>17</v>
      </c>
      <c r="J129" s="6">
        <f t="shared" si="4"/>
        <v>190</v>
      </c>
      <c r="K129" s="4" t="str">
        <f t="shared" ca="1" si="5"/>
        <v>No</v>
      </c>
      <c r="L129" s="7">
        <f>IF(I129="Completed","0",IF($H129="","",$H129-'[2]Read Me'!$B$4))</f>
        <v>32</v>
      </c>
      <c r="M129" s="4" t="str">
        <f>IF($I129="Complete","Green",IF($H129="","Amber",IF($H129&lt;'[2]Read Me'!$B$4,"Red",IF($H129-'[2]Read Me'!$B$4&lt;=21,"Amber","Green"))))</f>
        <v>Green</v>
      </c>
      <c r="N129" s="3"/>
      <c r="O129" t="str">
        <f>IF($I129&lt;&gt;"Complete",IF(COUNTIFS($A$4:$A128,$A129,$B$4:$B128,$B129,$I$4:$I128,"&lt;&gt;Complete")=0,$A129&amp;"|"&amp;$B129,""),"")</f>
        <v/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 t="s">
        <v>713</v>
      </c>
      <c r="B130" s="2" t="s">
        <v>62</v>
      </c>
      <c r="C130" s="3" t="s">
        <v>713</v>
      </c>
      <c r="D130" s="3" t="s">
        <v>20</v>
      </c>
      <c r="E130" s="2" t="s">
        <v>667</v>
      </c>
      <c r="F130" s="2" t="s">
        <v>81</v>
      </c>
      <c r="G130" s="5">
        <v>46029</v>
      </c>
      <c r="H130" s="5">
        <v>46195</v>
      </c>
      <c r="I130" s="4" t="s">
        <v>17</v>
      </c>
      <c r="J130" s="6">
        <f t="shared" si="4"/>
        <v>166</v>
      </c>
      <c r="K130" s="4" t="str">
        <f t="shared" ca="1" si="5"/>
        <v>Yes</v>
      </c>
      <c r="L130" s="7">
        <f>IF(I130="Completed","0",IF($H130="","",$H130-'[2]Read Me'!$B$4))</f>
        <v>8</v>
      </c>
      <c r="M130" s="4" t="str">
        <f>IF($I130="Complete","Green",IF($H130="","Amber",IF($H130&lt;'[2]Read Me'!$B$4,"Red",IF($H130-'[2]Read Me'!$B$4&lt;=21,"Amber","Green"))))</f>
        <v>Amber</v>
      </c>
      <c r="N130" s="3"/>
      <c r="O130" t="str">
        <f>IF($I130&lt;&gt;"Complete",IF(COUNTIFS($A$4:$A129,$A130,$B$4:$B129,$B130,$I$4:$I129,"&lt;&gt;Complete")=0,$A130&amp;"|"&amp;$B130,""),"")</f>
        <v/>
      </c>
      <c r="P130">
        <f ca="1">IF($K130="Yes",COUNTIFS($K$4:$K130,"Yes"),"")</f>
        <v>7</v>
      </c>
      <c r="Q130">
        <f t="shared" ca="1" si="6"/>
        <v>1</v>
      </c>
      <c r="R130">
        <f ca="1">IF($Q130=1,SUM($Q$4:$Q130),"")</f>
        <v>7</v>
      </c>
    </row>
    <row r="131" spans="1:18" ht="22.5" customHeight="1" x14ac:dyDescent="0.3">
      <c r="A131" s="2" t="s">
        <v>713</v>
      </c>
      <c r="B131" s="2" t="s">
        <v>62</v>
      </c>
      <c r="C131" s="3" t="s">
        <v>713</v>
      </c>
      <c r="D131" s="3" t="s">
        <v>16</v>
      </c>
      <c r="E131" s="2" t="s">
        <v>664</v>
      </c>
      <c r="F131" s="2" t="s">
        <v>30</v>
      </c>
      <c r="G131" s="5">
        <v>46051</v>
      </c>
      <c r="H131" s="5">
        <v>46240</v>
      </c>
      <c r="I131" s="4" t="s">
        <v>17</v>
      </c>
      <c r="J131" s="6">
        <f t="shared" si="4"/>
        <v>189</v>
      </c>
      <c r="K131" s="4" t="str">
        <f t="shared" ca="1" si="5"/>
        <v>No</v>
      </c>
      <c r="L131" s="7">
        <f>IF(I131="Completed","0",IF($H131="","",$H131-'[2]Read Me'!$B$4))</f>
        <v>53</v>
      </c>
      <c r="M131" s="4" t="str">
        <f>IF($I131="Complete","Green",IF($H131="","Amber",IF($H131&lt;'[2]Read Me'!$B$4,"Red",IF($H131-'[2]Read Me'!$B$4&lt;=21,"Amber","Green"))))</f>
        <v>Green</v>
      </c>
      <c r="N131" s="3"/>
      <c r="O131" t="str">
        <f>IF($I131&lt;&gt;"Complete",IF(COUNTIFS($A$4:$A130,$A131,$B$4:$B130,$B131,$I$4:$I130,"&lt;&gt;Complete")=0,$A131&amp;"|"&amp;$B131,""),"")</f>
        <v/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 t="s">
        <v>713</v>
      </c>
      <c r="B132" s="2" t="s">
        <v>62</v>
      </c>
      <c r="C132" s="3" t="s">
        <v>713</v>
      </c>
      <c r="D132" s="3" t="s">
        <v>37</v>
      </c>
      <c r="E132" s="2" t="s">
        <v>664</v>
      </c>
      <c r="F132" s="2" t="s">
        <v>265</v>
      </c>
      <c r="G132" s="5">
        <v>46066</v>
      </c>
      <c r="H132" s="5">
        <v>46254</v>
      </c>
      <c r="I132" s="4" t="s">
        <v>17</v>
      </c>
      <c r="J132" s="6">
        <f t="shared" ref="J132:J195" si="7">IF(OR($G132="",$H132=""),"",$H132-$G132)</f>
        <v>188</v>
      </c>
      <c r="K132" s="4" t="str">
        <f t="shared" ref="K132:K195" ca="1" si="8">IF(C132="","",IF(H132="","",IF($I132="completed","-",IF($H132&gt;TODAY(),"No","Yes"))))</f>
        <v>No</v>
      </c>
      <c r="L132" s="7">
        <f>IF(I132="Completed","0",IF($H132="","",$H132-'[2]Read Me'!$B$4))</f>
        <v>67</v>
      </c>
      <c r="M132" s="4" t="str">
        <f>IF($I132="Complete","Green",IF($H132="","Amber",IF($H132&lt;'[2]Read Me'!$B$4,"Red",IF($H132-'[2]Read Me'!$B$4&lt;=21,"Amber","Green"))))</f>
        <v>Green</v>
      </c>
      <c r="N132" s="3"/>
      <c r="O132" t="str">
        <f>IF($I132&lt;&gt;"Complete",IF(COUNTIFS($A$4:$A131,$A132,$B$4:$B131,$B132,$I$4:$I131,"&lt;&gt;Complete")=0,$A132&amp;"|"&amp;$B132,""),"")</f>
        <v/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 t="s">
        <v>715</v>
      </c>
      <c r="B133" s="2" t="s">
        <v>49</v>
      </c>
      <c r="C133" s="3"/>
      <c r="D133" s="3"/>
      <c r="E133" s="2"/>
      <c r="F133" s="2"/>
      <c r="G133" s="5">
        <v>46181</v>
      </c>
      <c r="H133" s="5">
        <v>46441</v>
      </c>
      <c r="I133" s="4"/>
      <c r="J133" s="6">
        <f t="shared" si="7"/>
        <v>260</v>
      </c>
      <c r="K133" s="4" t="str">
        <f t="shared" ca="1" si="8"/>
        <v/>
      </c>
      <c r="L133" s="7">
        <f>IF(I133="Completed","0",IF($H133="","",$H133-'[2]Read Me'!$B$4))</f>
        <v>254</v>
      </c>
      <c r="M133" s="4" t="str">
        <f>IF($I133="Complete","Green",IF($H133="","Amber",IF($H133&lt;'[2]Read Me'!$B$4,"Red",IF($H133-'[2]Read Me'!$B$4&lt;=21,"Amber","Green"))))</f>
        <v>Green</v>
      </c>
      <c r="N133" s="3"/>
      <c r="O133" t="str">
        <f>IF($I133&lt;&gt;"Complete",IF(COUNTIFS($A$4:$A132,$A133,$B$4:$B132,$B133,$I$4:$I132,"&lt;&gt;Complete")=0,$A133&amp;"|"&amp;$B133,""),"")</f>
        <v>Authorities - Shimmers|Authorities</v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 t="s">
        <v>715</v>
      </c>
      <c r="B134" s="2" t="s">
        <v>49</v>
      </c>
      <c r="C134" s="3" t="s">
        <v>715</v>
      </c>
      <c r="D134" s="3" t="s">
        <v>705</v>
      </c>
      <c r="E134" s="2" t="s">
        <v>104</v>
      </c>
      <c r="F134" s="2"/>
      <c r="G134" s="5">
        <v>46055</v>
      </c>
      <c r="H134" s="5">
        <v>46315</v>
      </c>
      <c r="I134" s="4" t="s">
        <v>17</v>
      </c>
      <c r="J134" s="6">
        <f t="shared" si="7"/>
        <v>260</v>
      </c>
      <c r="K134" s="4" t="str">
        <f t="shared" ca="1" si="8"/>
        <v>No</v>
      </c>
      <c r="L134" s="7">
        <f>IF(I134="Completed","0",IF($H134="","",$H134-'[2]Read Me'!$B$4))</f>
        <v>128</v>
      </c>
      <c r="M134" s="4" t="str">
        <f>IF($I134="Complete","Green",IF($H134="","Amber",IF($H134&lt;'[2]Read Me'!$B$4,"Red",IF($H134-'[2]Read Me'!$B$4&lt;=21,"Amber","Green"))))</f>
        <v>Green</v>
      </c>
      <c r="N134" s="3"/>
      <c r="O134" t="str">
        <f>IF($I134&lt;&gt;"Complete",IF(COUNTIFS($A$4:$A133,$A134,$B$4:$B133,$B134,$I$4:$I133,"&lt;&gt;Complete")=0,$A134&amp;"|"&amp;$B134,""),"")</f>
        <v/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 t="s">
        <v>715</v>
      </c>
      <c r="B135" s="2" t="s">
        <v>49</v>
      </c>
      <c r="C135" s="3" t="s">
        <v>715</v>
      </c>
      <c r="D135" s="3" t="s">
        <v>706</v>
      </c>
      <c r="E135" s="2" t="s">
        <v>104</v>
      </c>
      <c r="F135" s="2"/>
      <c r="G135" s="5">
        <v>46097</v>
      </c>
      <c r="H135" s="5">
        <v>46357</v>
      </c>
      <c r="I135" s="4" t="s">
        <v>17</v>
      </c>
      <c r="J135" s="6">
        <f t="shared" si="7"/>
        <v>260</v>
      </c>
      <c r="K135" s="4" t="str">
        <f t="shared" ca="1" si="8"/>
        <v>No</v>
      </c>
      <c r="L135" s="7">
        <f>IF(I135="Completed","0",IF($H135="","",$H135-'[2]Read Me'!$B$4))</f>
        <v>170</v>
      </c>
      <c r="M135" s="4" t="str">
        <f>IF($I135="Complete","Green",IF($H135="","Amber",IF($H135&lt;'[2]Read Me'!$B$4,"Red",IF($H135-'[2]Read Me'!$B$4&lt;=21,"Amber","Green"))))</f>
        <v>Green</v>
      </c>
      <c r="N135" s="3"/>
      <c r="O135" t="str">
        <f>IF($I135&lt;&gt;"Complete",IF(COUNTIFS($A$4:$A134,$A135,$B$4:$B134,$B135,$I$4:$I134,"&lt;&gt;Complete")=0,$A135&amp;"|"&amp;$B135,""),"")</f>
        <v/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 t="s">
        <v>715</v>
      </c>
      <c r="B136" s="2" t="s">
        <v>49</v>
      </c>
      <c r="C136" s="3" t="s">
        <v>715</v>
      </c>
      <c r="D136" s="3" t="s">
        <v>707</v>
      </c>
      <c r="E136" s="2" t="s">
        <v>104</v>
      </c>
      <c r="F136" s="2"/>
      <c r="G136" s="5">
        <v>46139</v>
      </c>
      <c r="H136" s="5">
        <v>46399</v>
      </c>
      <c r="I136" s="4" t="s">
        <v>17</v>
      </c>
      <c r="J136" s="6">
        <f t="shared" si="7"/>
        <v>260</v>
      </c>
      <c r="K136" s="4" t="str">
        <f t="shared" ca="1" si="8"/>
        <v>No</v>
      </c>
      <c r="L136" s="7">
        <f>IF(I136="Completed","0",IF($H136="","",$H136-'[2]Read Me'!$B$4))</f>
        <v>212</v>
      </c>
      <c r="M136" s="4" t="str">
        <f>IF($I136="Complete","Green",IF($H136="","Amber",IF($H136&lt;'[2]Read Me'!$B$4,"Red",IF($H136-'[2]Read Me'!$B$4&lt;=21,"Amber","Green"))))</f>
        <v>Green</v>
      </c>
      <c r="N136" s="3"/>
      <c r="O136" t="str">
        <f>IF($I136&lt;&gt;"Complete",IF(COUNTIFS($A$4:$A135,$A136,$B$4:$B135,$B136,$I$4:$I135,"&lt;&gt;Complete")=0,$A136&amp;"|"&amp;$B136,""),"")</f>
        <v/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 t="s">
        <v>715</v>
      </c>
      <c r="B137" s="2" t="s">
        <v>49</v>
      </c>
      <c r="C137" s="3" t="s">
        <v>715</v>
      </c>
      <c r="D137" s="3" t="s">
        <v>691</v>
      </c>
      <c r="E137" s="2" t="s">
        <v>104</v>
      </c>
      <c r="F137" s="2"/>
      <c r="G137" s="5">
        <v>46181</v>
      </c>
      <c r="H137" s="5">
        <v>46441</v>
      </c>
      <c r="I137" s="4" t="s">
        <v>17</v>
      </c>
      <c r="J137" s="6">
        <f t="shared" si="7"/>
        <v>260</v>
      </c>
      <c r="K137" s="4" t="str">
        <f t="shared" ca="1" si="8"/>
        <v>No</v>
      </c>
      <c r="L137" s="7">
        <f>IF(I137="Completed","0",IF($H137="","",$H137-'[2]Read Me'!$B$4))</f>
        <v>254</v>
      </c>
      <c r="M137" s="4" t="str">
        <f>IF($I137="Complete","Green",IF($H137="","Amber",IF($H137&lt;'[2]Read Me'!$B$4,"Red",IF($H137-'[2]Read Me'!$B$4&lt;=21,"Amber","Green"))))</f>
        <v>Green</v>
      </c>
      <c r="N137" s="3"/>
      <c r="O137" t="str">
        <f>IF($I137&lt;&gt;"Complete",IF(COUNTIFS($A$4:$A136,$A137,$B$4:$B136,$B137,$I$4:$I136,"&lt;&gt;Complete")=0,$A137&amp;"|"&amp;$B137,""),"")</f>
        <v/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 t="s">
        <v>716</v>
      </c>
      <c r="B138" s="2" t="s">
        <v>62</v>
      </c>
      <c r="C138" s="3"/>
      <c r="D138" s="3"/>
      <c r="E138" s="2"/>
      <c r="F138" s="2"/>
      <c r="G138" s="5">
        <v>45985</v>
      </c>
      <c r="H138" s="5">
        <v>46190</v>
      </c>
      <c r="I138" s="4"/>
      <c r="J138" s="6">
        <f t="shared" si="7"/>
        <v>205</v>
      </c>
      <c r="K138" s="4" t="str">
        <f t="shared" ca="1" si="8"/>
        <v/>
      </c>
      <c r="L138" s="7">
        <f>IF(I138="Completed","0",IF($H138="","",$H138-'[2]Read Me'!$B$4))</f>
        <v>3</v>
      </c>
      <c r="M138" s="4" t="str">
        <f>IF($I138="Complete","Green",IF($H138="","Amber",IF($H138&lt;'[2]Read Me'!$B$4,"Red",IF($H138-'[2]Read Me'!$B$4&lt;=21,"Amber","Green"))))</f>
        <v>Amber</v>
      </c>
      <c r="N138" s="3"/>
      <c r="O138" t="str">
        <f>IF($I138&lt;&gt;"Complete",IF(COUNTIFS($A$4:$A137,$A138,$B$4:$B137,$B138,$I$4:$I137,"&lt;&gt;Complete")=0,$A138&amp;"|"&amp;$B138,""),"")</f>
        <v>Solos|Buildings</v>
      </c>
      <c r="P138" t="str">
        <f ca="1">IF($K138="Yes",COUNTIFS($K$4:$K138,"Yes"),"")</f>
        <v/>
      </c>
      <c r="Q138">
        <f t="shared" ca="1" si="9"/>
        <v>0</v>
      </c>
      <c r="R138" t="str">
        <f ca="1">IF($Q138=1,SUM($Q$4:$Q138),"")</f>
        <v/>
      </c>
    </row>
    <row r="139" spans="1:18" ht="22.5" customHeight="1" x14ac:dyDescent="0.3">
      <c r="A139" s="2" t="s">
        <v>716</v>
      </c>
      <c r="B139" s="2" t="s">
        <v>62</v>
      </c>
      <c r="C139" s="3" t="s">
        <v>716</v>
      </c>
      <c r="D139" s="3" t="s">
        <v>693</v>
      </c>
      <c r="E139" s="2"/>
      <c r="F139" s="2" t="s">
        <v>30</v>
      </c>
      <c r="G139" s="5"/>
      <c r="H139" s="5">
        <v>45720</v>
      </c>
      <c r="I139" s="4" t="s">
        <v>31</v>
      </c>
      <c r="J139" s="6" t="str">
        <f t="shared" si="7"/>
        <v/>
      </c>
      <c r="K139" s="4" t="str">
        <f t="shared" ca="1" si="8"/>
        <v>-</v>
      </c>
      <c r="L139" s="7" t="str">
        <f>IF(I139="Completed","0",IF($H139="","",$H139-'[2]Read Me'!$B$4))</f>
        <v>0</v>
      </c>
      <c r="M139" s="4" t="str">
        <f>IF($I139="Complete","Green",IF($H139="","Amber",IF($H139&lt;'[2]Read Me'!$B$4,"Red",IF($H139-'[2]Read Me'!$B$4&lt;=21,"Amber","Green"))))</f>
        <v>Red</v>
      </c>
      <c r="N139" s="3"/>
      <c r="O139" t="str">
        <f>IF($I139&lt;&gt;"Complete",IF(COUNTIFS($A$4:$A138,$A139,$B$4:$B138,$B139,$I$4:$I138,"&lt;&gt;Complete")=0,$A139&amp;"|"&amp;$B139,""),"")</f>
        <v/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 t="s">
        <v>716</v>
      </c>
      <c r="B140" s="2" t="s">
        <v>62</v>
      </c>
      <c r="C140" s="3" t="s">
        <v>716</v>
      </c>
      <c r="D140" s="3" t="s">
        <v>694</v>
      </c>
      <c r="E140" s="2"/>
      <c r="F140" s="2" t="s">
        <v>265</v>
      </c>
      <c r="G140" s="5"/>
      <c r="H140" s="5">
        <v>45750</v>
      </c>
      <c r="I140" s="4" t="s">
        <v>31</v>
      </c>
      <c r="J140" s="6" t="str">
        <f t="shared" si="7"/>
        <v/>
      </c>
      <c r="K140" s="4" t="str">
        <f t="shared" ca="1" si="8"/>
        <v>-</v>
      </c>
      <c r="L140" s="7" t="str">
        <f>IF(I140="Completed","0",IF($H140="","",$H140-'[2]Read Me'!$B$4))</f>
        <v>0</v>
      </c>
      <c r="M140" s="4" t="str">
        <f>IF($I140="Complete","Green",IF($H140="","Amber",IF($H140&lt;'[2]Read Me'!$B$4,"Red",IF($H140-'[2]Read Me'!$B$4&lt;=21,"Amber","Green"))))</f>
        <v>Red</v>
      </c>
      <c r="N140" s="3"/>
      <c r="O140" t="str">
        <f>IF($I140&lt;&gt;"Complete",IF(COUNTIFS($A$4:$A139,$A140,$B$4:$B139,$B140,$I$4:$I139,"&lt;&gt;Complete")=0,$A140&amp;"|"&amp;$B140,""),"")</f>
        <v/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 t="s">
        <v>716</v>
      </c>
      <c r="B141" s="2" t="s">
        <v>62</v>
      </c>
      <c r="C141" s="3" t="s">
        <v>716</v>
      </c>
      <c r="D141" s="3" t="s">
        <v>717</v>
      </c>
      <c r="E141" s="2"/>
      <c r="F141" s="2"/>
      <c r="G141" s="5"/>
      <c r="H141" s="5"/>
      <c r="I141" s="4" t="s">
        <v>31</v>
      </c>
      <c r="J141" s="6" t="str">
        <f t="shared" si="7"/>
        <v/>
      </c>
      <c r="K141" s="4" t="str">
        <f t="shared" ca="1" si="8"/>
        <v/>
      </c>
      <c r="L141" s="7" t="str">
        <f>IF(I141="Completed","0",IF($H141="","",$H141-'[2]Read Me'!$B$4))</f>
        <v>0</v>
      </c>
      <c r="M141" s="4" t="str">
        <f>IF($I141="Complete","Green",IF($H141="","Amber",IF($H141&lt;'[2]Read Me'!$B$4,"Red",IF($H141-'[2]Read Me'!$B$4&lt;=21,"Amber","Green"))))</f>
        <v>Amber</v>
      </c>
      <c r="N141" s="3"/>
      <c r="O141" t="str">
        <f>IF($I141&lt;&gt;"Complete",IF(COUNTIFS($A$4:$A140,$A141,$B$4:$B140,$B141,$I$4:$I140,"&lt;&gt;Complete")=0,$A141&amp;"|"&amp;$B141,""),"")</f>
        <v/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 t="s">
        <v>716</v>
      </c>
      <c r="B142" s="2" t="s">
        <v>62</v>
      </c>
      <c r="C142" s="3" t="s">
        <v>716</v>
      </c>
      <c r="D142" s="3" t="s">
        <v>718</v>
      </c>
      <c r="E142" s="2"/>
      <c r="F142" s="2"/>
      <c r="G142" s="5">
        <v>45672</v>
      </c>
      <c r="H142" s="5">
        <v>45781</v>
      </c>
      <c r="I142" s="4" t="s">
        <v>31</v>
      </c>
      <c r="J142" s="6">
        <f t="shared" si="7"/>
        <v>109</v>
      </c>
      <c r="K142" s="4" t="str">
        <f t="shared" ca="1" si="8"/>
        <v>-</v>
      </c>
      <c r="L142" s="7" t="str">
        <f>IF(I142="Completed","0",IF($H142="","",$H142-'[2]Read Me'!$B$4))</f>
        <v>0</v>
      </c>
      <c r="M142" s="4" t="str">
        <f>IF($I142="Complete","Green",IF($H142="","Amber",IF($H142&lt;'[2]Read Me'!$B$4,"Red",IF($H142-'[2]Read Me'!$B$4&lt;=21,"Amber","Green"))))</f>
        <v>Red</v>
      </c>
      <c r="N142" s="3"/>
      <c r="O142" t="str">
        <f>IF($I142&lt;&gt;"Complete",IF(COUNTIFS($A$4:$A141,$A142,$B$4:$B141,$B142,$I$4:$I141,"&lt;&gt;Complete")=0,$A142&amp;"|"&amp;$B142,""),"")</f>
        <v/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 t="s">
        <v>716</v>
      </c>
      <c r="B143" s="2" t="s">
        <v>62</v>
      </c>
      <c r="C143" s="3" t="s">
        <v>716</v>
      </c>
      <c r="D143" s="3" t="s">
        <v>47</v>
      </c>
      <c r="E143" s="2"/>
      <c r="F143" s="2" t="s">
        <v>265</v>
      </c>
      <c r="G143" s="5">
        <v>45686</v>
      </c>
      <c r="H143" s="5">
        <v>45795</v>
      </c>
      <c r="I143" s="4" t="s">
        <v>31</v>
      </c>
      <c r="J143" s="6">
        <f t="shared" si="7"/>
        <v>109</v>
      </c>
      <c r="K143" s="4" t="str">
        <f t="shared" ca="1" si="8"/>
        <v>-</v>
      </c>
      <c r="L143" s="7" t="str">
        <f>IF(I143="Completed","0",IF($H143="","",$H143-'[2]Read Me'!$B$4))</f>
        <v>0</v>
      </c>
      <c r="M143" s="4" t="str">
        <f>IF($I143="Complete","Green",IF($H143="","Amber",IF($H143&lt;'[2]Read Me'!$B$4,"Red",IF($H143-'[2]Read Me'!$B$4&lt;=21,"Amber","Green"))))</f>
        <v>Red</v>
      </c>
      <c r="N143" s="3"/>
      <c r="O143" t="str">
        <f>IF($I143&lt;&gt;"Complete",IF(COUNTIFS($A$4:$A142,$A143,$B$4:$B142,$B143,$I$4:$I142,"&lt;&gt;Complete")=0,$A143&amp;"|"&amp;$B143,""),"")</f>
        <v/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 t="s">
        <v>716</v>
      </c>
      <c r="B144" s="2" t="s">
        <v>62</v>
      </c>
      <c r="C144" s="3" t="s">
        <v>716</v>
      </c>
      <c r="D144" s="3" t="s">
        <v>132</v>
      </c>
      <c r="E144" s="2" t="s">
        <v>667</v>
      </c>
      <c r="F144" s="2" t="s">
        <v>81</v>
      </c>
      <c r="G144" s="5">
        <v>45686</v>
      </c>
      <c r="H144" s="5">
        <v>45795</v>
      </c>
      <c r="I144" s="4" t="s">
        <v>31</v>
      </c>
      <c r="J144" s="6">
        <f t="shared" si="7"/>
        <v>109</v>
      </c>
      <c r="K144" s="4" t="str">
        <f t="shared" ca="1" si="8"/>
        <v>-</v>
      </c>
      <c r="L144" s="7" t="str">
        <f>IF(I144="Completed","0",IF($H144="","",$H144-'[2]Read Me'!$B$4))</f>
        <v>0</v>
      </c>
      <c r="M144" s="4" t="str">
        <f>IF($I144="Complete","Green",IF($H144="","Amber",IF($H144&lt;'[2]Read Me'!$B$4,"Red",IF($H144-'[2]Read Me'!$B$4&lt;=21,"Amber","Green"))))</f>
        <v>Red</v>
      </c>
      <c r="N144" s="3"/>
      <c r="O144" t="str">
        <f>IF($I144&lt;&gt;"Complete",IF(COUNTIFS($A$4:$A143,$A144,$B$4:$B143,$B144,$I$4:$I143,"&lt;&gt;Complete")=0,$A144&amp;"|"&amp;$B144,""),"")</f>
        <v/>
      </c>
      <c r="P144" t="str">
        <f ca="1">IF($K144="Yes",COUNTIFS($K$4:$K144,"Yes"),"")</f>
        <v/>
      </c>
      <c r="Q144">
        <f t="shared" ca="1" si="9"/>
        <v>0</v>
      </c>
      <c r="R144" t="str">
        <f ca="1">IF($Q144=1,SUM($Q$4:$Q144),"")</f>
        <v/>
      </c>
    </row>
    <row r="145" spans="1:18" ht="22.5" customHeight="1" x14ac:dyDescent="0.3">
      <c r="A145" s="2" t="s">
        <v>716</v>
      </c>
      <c r="B145" s="2" t="s">
        <v>62</v>
      </c>
      <c r="C145" s="3" t="s">
        <v>716</v>
      </c>
      <c r="D145" s="3" t="s">
        <v>719</v>
      </c>
      <c r="E145" s="2"/>
      <c r="F145" s="2" t="s">
        <v>30</v>
      </c>
      <c r="G145" s="5">
        <v>45714</v>
      </c>
      <c r="H145" s="5">
        <v>45823</v>
      </c>
      <c r="I145" s="4" t="s">
        <v>31</v>
      </c>
      <c r="J145" s="6">
        <f t="shared" si="7"/>
        <v>109</v>
      </c>
      <c r="K145" s="4" t="str">
        <f t="shared" ca="1" si="8"/>
        <v>-</v>
      </c>
      <c r="L145" s="7" t="str">
        <f>IF(I145="Completed","0",IF($H145="","",$H145-'[2]Read Me'!$B$4))</f>
        <v>0</v>
      </c>
      <c r="M145" s="4" t="str">
        <f>IF($I145="Complete","Green",IF($H145="","Amber",IF($H145&lt;'[2]Read Me'!$B$4,"Red",IF($H145-'[2]Read Me'!$B$4&lt;=21,"Amber","Green"))))</f>
        <v>Red</v>
      </c>
      <c r="N145" s="3"/>
      <c r="O145" t="str">
        <f>IF($I145&lt;&gt;"Complete",IF(COUNTIFS($A$4:$A144,$A145,$B$4:$B144,$B145,$I$4:$I144,"&lt;&gt;Complete")=0,$A145&amp;"|"&amp;$B145,""),"")</f>
        <v/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 t="s">
        <v>716</v>
      </c>
      <c r="B146" s="2" t="s">
        <v>62</v>
      </c>
      <c r="C146" s="3" t="s">
        <v>716</v>
      </c>
      <c r="D146" s="3" t="s">
        <v>720</v>
      </c>
      <c r="E146" s="2"/>
      <c r="F146" s="2" t="s">
        <v>265</v>
      </c>
      <c r="G146" s="5">
        <v>45728</v>
      </c>
      <c r="H146" s="5">
        <v>45837</v>
      </c>
      <c r="I146" s="4" t="s">
        <v>31</v>
      </c>
      <c r="J146" s="6">
        <f t="shared" si="7"/>
        <v>109</v>
      </c>
      <c r="K146" s="4" t="str">
        <f t="shared" ca="1" si="8"/>
        <v>-</v>
      </c>
      <c r="L146" s="7" t="str">
        <f>IF(I146="Completed","0",IF($H146="","",$H146-'[2]Read Me'!$B$4))</f>
        <v>0</v>
      </c>
      <c r="M146" s="4" t="str">
        <f>IF($I146="Complete","Green",IF($H146="","Amber",IF($H146&lt;'[2]Read Me'!$B$4,"Red",IF($H146-'[2]Read Me'!$B$4&lt;=21,"Amber","Green"))))</f>
        <v>Red</v>
      </c>
      <c r="N146" s="3"/>
      <c r="O146" t="str">
        <f>IF($I146&lt;&gt;"Complete",IF(COUNTIFS($A$4:$A145,$A146,$B$4:$B145,$B146,$I$4:$I145,"&lt;&gt;Complete")=0,$A146&amp;"|"&amp;$B146,""),"")</f>
        <v/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 t="s">
        <v>716</v>
      </c>
      <c r="B147" s="2" t="s">
        <v>62</v>
      </c>
      <c r="C147" s="3" t="s">
        <v>716</v>
      </c>
      <c r="D147" s="3" t="s">
        <v>18</v>
      </c>
      <c r="E147" s="2"/>
      <c r="F147" s="2" t="s">
        <v>30</v>
      </c>
      <c r="G147" s="5">
        <v>45714</v>
      </c>
      <c r="H147" s="5">
        <v>45844</v>
      </c>
      <c r="I147" s="4" t="s">
        <v>31</v>
      </c>
      <c r="J147" s="6">
        <f t="shared" si="7"/>
        <v>130</v>
      </c>
      <c r="K147" s="4" t="str">
        <f t="shared" ca="1" si="8"/>
        <v>-</v>
      </c>
      <c r="L147" s="7" t="str">
        <f>IF(I147="Completed","0",IF($H147="","",$H147-'[2]Read Me'!$B$4))</f>
        <v>0</v>
      </c>
      <c r="M147" s="4" t="str">
        <f>IF($I147="Complete","Green",IF($H147="","Amber",IF($H147&lt;'[2]Read Me'!$B$4,"Red",IF($H147-'[2]Read Me'!$B$4&lt;=21,"Amber","Green"))))</f>
        <v>Red</v>
      </c>
      <c r="N147" s="3"/>
      <c r="O147" t="str">
        <f>IF($I147&lt;&gt;"Complete",IF(COUNTIFS($A$4:$A146,$A147,$B$4:$B146,$B147,$I$4:$I146,"&lt;&gt;Complete")=0,$A147&amp;"|"&amp;$B147,""),"")</f>
        <v/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 t="s">
        <v>716</v>
      </c>
      <c r="B148" s="2" t="s">
        <v>62</v>
      </c>
      <c r="C148" s="3" t="s">
        <v>716</v>
      </c>
      <c r="D148" s="3" t="s">
        <v>32</v>
      </c>
      <c r="E148" s="2"/>
      <c r="F148" s="2" t="s">
        <v>265</v>
      </c>
      <c r="G148" s="5">
        <v>45728</v>
      </c>
      <c r="H148" s="5">
        <v>45858</v>
      </c>
      <c r="I148" s="4" t="s">
        <v>31</v>
      </c>
      <c r="J148" s="6">
        <f t="shared" si="7"/>
        <v>130</v>
      </c>
      <c r="K148" s="4" t="str">
        <f t="shared" ca="1" si="8"/>
        <v>-</v>
      </c>
      <c r="L148" s="7" t="str">
        <f>IF(I148="Completed","0",IF($H148="","",$H148-'[2]Read Me'!$B$4))</f>
        <v>0</v>
      </c>
      <c r="M148" s="4" t="str">
        <f>IF($I148="Complete","Green",IF($H148="","Amber",IF($H148&lt;'[2]Read Me'!$B$4,"Red",IF($H148-'[2]Read Me'!$B$4&lt;=21,"Amber","Green"))))</f>
        <v>Red</v>
      </c>
      <c r="N148" s="3"/>
      <c r="O148" t="str">
        <f>IF($I148&lt;&gt;"Complete",IF(COUNTIFS($A$4:$A147,$A148,$B$4:$B147,$B148,$I$4:$I147,"&lt;&gt;Complete")=0,$A148&amp;"|"&amp;$B148,""),"")</f>
        <v/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 t="s">
        <v>716</v>
      </c>
      <c r="B149" s="2" t="s">
        <v>62</v>
      </c>
      <c r="C149" s="3" t="s">
        <v>716</v>
      </c>
      <c r="D149" s="3" t="s">
        <v>19</v>
      </c>
      <c r="E149" s="2" t="s">
        <v>667</v>
      </c>
      <c r="F149" s="2" t="s">
        <v>81</v>
      </c>
      <c r="G149" s="5">
        <v>45728</v>
      </c>
      <c r="H149" s="5">
        <v>45858</v>
      </c>
      <c r="I149" s="4" t="s">
        <v>31</v>
      </c>
      <c r="J149" s="6">
        <f t="shared" si="7"/>
        <v>130</v>
      </c>
      <c r="K149" s="4" t="str">
        <f t="shared" ca="1" si="8"/>
        <v>-</v>
      </c>
      <c r="L149" s="7" t="str">
        <f>IF(I149="Completed","0",IF($H149="","",$H149-'[2]Read Me'!$B$4))</f>
        <v>0</v>
      </c>
      <c r="M149" s="4" t="str">
        <f>IF($I149="Complete","Green",IF($H149="","Amber",IF($H149&lt;'[2]Read Me'!$B$4,"Red",IF($H149-'[2]Read Me'!$B$4&lt;=21,"Amber","Green"))))</f>
        <v>Red</v>
      </c>
      <c r="N149" s="3"/>
      <c r="O149" t="str">
        <f>IF($I149&lt;&gt;"Complete",IF(COUNTIFS($A$4:$A148,$A149,$B$4:$B148,$B149,$I$4:$I148,"&lt;&gt;Complete")=0,$A149&amp;"|"&amp;$B149,""),"")</f>
        <v/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 t="s">
        <v>716</v>
      </c>
      <c r="B150" s="2" t="s">
        <v>62</v>
      </c>
      <c r="C150" s="3" t="s">
        <v>716</v>
      </c>
      <c r="D150" s="3" t="s">
        <v>682</v>
      </c>
      <c r="E150" s="2"/>
      <c r="F150" s="2" t="s">
        <v>30</v>
      </c>
      <c r="G150" s="5">
        <v>45756</v>
      </c>
      <c r="H150" s="5">
        <v>45886</v>
      </c>
      <c r="I150" s="4" t="s">
        <v>31</v>
      </c>
      <c r="J150" s="6">
        <f t="shared" si="7"/>
        <v>130</v>
      </c>
      <c r="K150" s="4" t="str">
        <f t="shared" ca="1" si="8"/>
        <v>-</v>
      </c>
      <c r="L150" s="7" t="str">
        <f>IF(I150="Completed","0",IF($H150="","",$H150-'[2]Read Me'!$B$4))</f>
        <v>0</v>
      </c>
      <c r="M150" s="4" t="str">
        <f>IF($I150="Complete","Green",IF($H150="","Amber",IF($H150&lt;'[2]Read Me'!$B$4,"Red",IF($H150-'[2]Read Me'!$B$4&lt;=21,"Amber","Green"))))</f>
        <v>Red</v>
      </c>
      <c r="N150" s="3"/>
      <c r="O150" t="str">
        <f>IF($I150&lt;&gt;"Complete",IF(COUNTIFS($A$4:$A149,$A150,$B$4:$B149,$B150,$I$4:$I149,"&lt;&gt;Complete")=0,$A150&amp;"|"&amp;$B150,""),"")</f>
        <v/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 t="s">
        <v>716</v>
      </c>
      <c r="B151" s="2" t="s">
        <v>62</v>
      </c>
      <c r="C151" s="3" t="s">
        <v>716</v>
      </c>
      <c r="D151" s="3" t="s">
        <v>15</v>
      </c>
      <c r="E151" s="2"/>
      <c r="F151" s="2" t="s">
        <v>30</v>
      </c>
      <c r="G151" s="5">
        <v>45924</v>
      </c>
      <c r="H151" s="5">
        <v>45924</v>
      </c>
      <c r="I151" s="4" t="s">
        <v>31</v>
      </c>
      <c r="J151" s="6">
        <f t="shared" si="7"/>
        <v>0</v>
      </c>
      <c r="K151" s="4" t="str">
        <f t="shared" ca="1" si="8"/>
        <v>-</v>
      </c>
      <c r="L151" s="7" t="str">
        <f>IF(I151="Completed","0",IF($H151="","",$H151-'[2]Read Me'!$B$4))</f>
        <v>0</v>
      </c>
      <c r="M151" s="4" t="str">
        <f>IF($I151="Complete","Green",IF($H151="","Amber",IF($H151&lt;'[2]Read Me'!$B$4,"Red",IF($H151-'[2]Read Me'!$B$4&lt;=21,"Amber","Green"))))</f>
        <v>Red</v>
      </c>
      <c r="N151" s="3"/>
      <c r="O151" t="str">
        <f>IF($I151&lt;&gt;"Complete",IF(COUNTIFS($A$4:$A150,$A151,$B$4:$B150,$B151,$I$4:$I150,"&lt;&gt;Complete")=0,$A151&amp;"|"&amp;$B151,""),"")</f>
        <v/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 t="s">
        <v>716</v>
      </c>
      <c r="B152" s="2" t="s">
        <v>62</v>
      </c>
      <c r="C152" s="3" t="s">
        <v>716</v>
      </c>
      <c r="D152" s="3" t="s">
        <v>35</v>
      </c>
      <c r="E152" s="2"/>
      <c r="F152" s="2" t="s">
        <v>265</v>
      </c>
      <c r="G152" s="5">
        <v>45945</v>
      </c>
      <c r="H152" s="5">
        <v>45945</v>
      </c>
      <c r="I152" s="4" t="s">
        <v>31</v>
      </c>
      <c r="J152" s="6">
        <f t="shared" si="7"/>
        <v>0</v>
      </c>
      <c r="K152" s="4" t="str">
        <f t="shared" ca="1" si="8"/>
        <v>-</v>
      </c>
      <c r="L152" s="7" t="str">
        <f>IF(I152="Completed","0",IF($H152="","",$H152-'[2]Read Me'!$B$4))</f>
        <v>0</v>
      </c>
      <c r="M152" s="4" t="str">
        <f>IF($I152="Complete","Green",IF($H152="","Amber",IF($H152&lt;'[2]Read Me'!$B$4,"Red",IF($H152-'[2]Read Me'!$B$4&lt;=21,"Amber","Green"))))</f>
        <v>Red</v>
      </c>
      <c r="N152" s="3"/>
      <c r="O152" t="str">
        <f>IF($I152&lt;&gt;"Complete",IF(COUNTIFS($A$4:$A151,$A152,$B$4:$B151,$B152,$I$4:$I151,"&lt;&gt;Complete")=0,$A152&amp;"|"&amp;$B152,""),"")</f>
        <v/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 t="s">
        <v>716</v>
      </c>
      <c r="B153" s="2" t="s">
        <v>62</v>
      </c>
      <c r="C153" s="3" t="s">
        <v>716</v>
      </c>
      <c r="D153" s="3" t="s">
        <v>683</v>
      </c>
      <c r="E153" s="2"/>
      <c r="F153" s="2" t="s">
        <v>30</v>
      </c>
      <c r="G153" s="5">
        <v>45945</v>
      </c>
      <c r="H153" s="5">
        <v>45952</v>
      </c>
      <c r="I153" s="4" t="s">
        <v>31</v>
      </c>
      <c r="J153" s="6">
        <f t="shared" si="7"/>
        <v>7</v>
      </c>
      <c r="K153" s="4" t="str">
        <f t="shared" ca="1" si="8"/>
        <v>-</v>
      </c>
      <c r="L153" s="7" t="str">
        <f>IF(I153="Completed","0",IF($H153="","",$H153-'[2]Read Me'!$B$4))</f>
        <v>0</v>
      </c>
      <c r="M153" s="4" t="str">
        <f>IF($I153="Complete","Green",IF($H153="","Amber",IF($H153&lt;'[2]Read Me'!$B$4,"Red",IF($H153-'[2]Read Me'!$B$4&lt;=21,"Amber","Green"))))</f>
        <v>Red</v>
      </c>
      <c r="N153" s="3"/>
      <c r="O153" t="str">
        <f>IF($I153&lt;&gt;"Complete",IF(COUNTIFS($A$4:$A152,$A153,$B$4:$B152,$B153,$I$4:$I152,"&lt;&gt;Complete")=0,$A153&amp;"|"&amp;$B153,""),"")</f>
        <v/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 t="s">
        <v>716</v>
      </c>
      <c r="B154" s="2" t="s">
        <v>62</v>
      </c>
      <c r="C154" s="3" t="s">
        <v>716</v>
      </c>
      <c r="D154" s="3" t="s">
        <v>20</v>
      </c>
      <c r="E154" s="2" t="s">
        <v>667</v>
      </c>
      <c r="F154" s="2" t="s">
        <v>81</v>
      </c>
      <c r="G154" s="5">
        <v>45945</v>
      </c>
      <c r="H154" s="5">
        <v>45999</v>
      </c>
      <c r="I154" s="4" t="s">
        <v>31</v>
      </c>
      <c r="J154" s="6">
        <f t="shared" si="7"/>
        <v>54</v>
      </c>
      <c r="K154" s="4" t="str">
        <f t="shared" ca="1" si="8"/>
        <v>-</v>
      </c>
      <c r="L154" s="7" t="str">
        <f>IF(I154="Completed","0",IF($H154="","",$H154-'[2]Read Me'!$B$4))</f>
        <v>0</v>
      </c>
      <c r="M154" s="4" t="str">
        <f>IF($I154="Complete","Green",IF($H154="","Amber",IF($H154&lt;'[2]Read Me'!$B$4,"Red",IF($H154-'[2]Read Me'!$B$4&lt;=21,"Amber","Green"))))</f>
        <v>Red</v>
      </c>
      <c r="N154" s="3"/>
      <c r="O154" t="str">
        <f>IF($I154&lt;&gt;"Complete",IF(COUNTIFS($A$4:$A153,$A154,$B$4:$B153,$B154,$I$4:$I153,"&lt;&gt;Complete")=0,$A154&amp;"|"&amp;$B154,""),"")</f>
        <v/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 t="s">
        <v>716</v>
      </c>
      <c r="B155" s="2" t="s">
        <v>62</v>
      </c>
      <c r="C155" s="3" t="s">
        <v>716</v>
      </c>
      <c r="D155" s="3" t="s">
        <v>16</v>
      </c>
      <c r="E155" s="2"/>
      <c r="F155" s="2" t="s">
        <v>30</v>
      </c>
      <c r="G155" s="5">
        <v>45963</v>
      </c>
      <c r="H155" s="5">
        <v>46171</v>
      </c>
      <c r="I155" s="4" t="s">
        <v>31</v>
      </c>
      <c r="J155" s="6">
        <f t="shared" si="7"/>
        <v>208</v>
      </c>
      <c r="K155" s="4" t="str">
        <f t="shared" ca="1" si="8"/>
        <v>-</v>
      </c>
      <c r="L155" s="7" t="str">
        <f>IF(I155="Completed","0",IF($H155="","",$H155-'[2]Read Me'!$B$4))</f>
        <v>0</v>
      </c>
      <c r="M155" s="4" t="str">
        <f>IF($I155="Complete","Green",IF($H155="","Amber",IF($H155&lt;'[2]Read Me'!$B$4,"Red",IF($H155-'[2]Read Me'!$B$4&lt;=21,"Amber","Green"))))</f>
        <v>Red</v>
      </c>
      <c r="N155" s="3"/>
      <c r="O155" t="str">
        <f>IF($I155&lt;&gt;"Complete",IF(COUNTIFS($A$4:$A154,$A155,$B$4:$B154,$B155,$I$4:$I154,"&lt;&gt;Complete")=0,$A155&amp;"|"&amp;$B155,""),"")</f>
        <v/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 t="s">
        <v>716</v>
      </c>
      <c r="B156" s="2" t="s">
        <v>62</v>
      </c>
      <c r="C156" s="3" t="s">
        <v>716</v>
      </c>
      <c r="D156" s="3" t="s">
        <v>37</v>
      </c>
      <c r="E156" s="2" t="s">
        <v>664</v>
      </c>
      <c r="F156" s="2" t="s">
        <v>265</v>
      </c>
      <c r="G156" s="5">
        <v>45985</v>
      </c>
      <c r="H156" s="5">
        <v>46190</v>
      </c>
      <c r="I156" s="4" t="s">
        <v>31</v>
      </c>
      <c r="J156" s="6">
        <f t="shared" si="7"/>
        <v>205</v>
      </c>
      <c r="K156" s="4" t="str">
        <f t="shared" ca="1" si="8"/>
        <v>-</v>
      </c>
      <c r="L156" s="7" t="str">
        <f>IF(I156="Completed","0",IF($H156="","",$H156-'[2]Read Me'!$B$4))</f>
        <v>0</v>
      </c>
      <c r="M156" s="4" t="str">
        <f>IF($I156="Complete","Green",IF($H156="","Amber",IF($H156&lt;'[2]Read Me'!$B$4,"Red",IF($H156-'[2]Read Me'!$B$4&lt;=21,"Amber","Green"))))</f>
        <v>Amber</v>
      </c>
      <c r="N156" s="3"/>
      <c r="O156" t="str">
        <f>IF($I156&lt;&gt;"Complete",IF(COUNTIFS($A$4:$A155,$A156,$B$4:$B155,$B156,$I$4:$I155,"&lt;&gt;Complete")=0,$A156&amp;"|"&amp;$B156,""),"")</f>
        <v/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 t="s">
        <v>721</v>
      </c>
      <c r="B157" s="2" t="s">
        <v>49</v>
      </c>
      <c r="C157" s="3"/>
      <c r="D157" s="3"/>
      <c r="E157" s="2"/>
      <c r="F157" s="2"/>
      <c r="G157" s="5">
        <v>46181</v>
      </c>
      <c r="H157" s="5">
        <v>46441</v>
      </c>
      <c r="I157" s="4"/>
      <c r="J157" s="6">
        <f t="shared" si="7"/>
        <v>260</v>
      </c>
      <c r="K157" s="4" t="str">
        <f t="shared" ca="1" si="8"/>
        <v/>
      </c>
      <c r="L157" s="7">
        <f>IF(I157="Completed","0",IF($H157="","",$H157-'[2]Read Me'!$B$4))</f>
        <v>254</v>
      </c>
      <c r="M157" s="4" t="str">
        <f>IF($I157="Complete","Green",IF($H157="","Amber",IF($H157&lt;'[2]Read Me'!$B$4,"Red",IF($H157-'[2]Read Me'!$B$4&lt;=21,"Amber","Green"))))</f>
        <v>Green</v>
      </c>
      <c r="N157" s="3"/>
      <c r="O157" t="str">
        <f>IF($I157&lt;&gt;"Complete",IF(COUNTIFS($A$4:$A156,$A157,$B$4:$B156,$B157,$I$4:$I156,"&lt;&gt;Complete")=0,$A157&amp;"|"&amp;$B157,""),"")</f>
        <v>Authorities Solos|Authorities</v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 t="s">
        <v>721</v>
      </c>
      <c r="B158" s="2" t="s">
        <v>49</v>
      </c>
      <c r="C158" s="3" t="s">
        <v>721</v>
      </c>
      <c r="D158" s="3" t="s">
        <v>705</v>
      </c>
      <c r="E158" s="2" t="s">
        <v>104</v>
      </c>
      <c r="F158" s="2"/>
      <c r="G158" s="5">
        <v>46055</v>
      </c>
      <c r="H158" s="5">
        <v>46315</v>
      </c>
      <c r="I158" s="4" t="s">
        <v>17</v>
      </c>
      <c r="J158" s="6">
        <f t="shared" si="7"/>
        <v>260</v>
      </c>
      <c r="K158" s="4" t="str">
        <f t="shared" ca="1" si="8"/>
        <v>No</v>
      </c>
      <c r="L158" s="7">
        <f>IF(I158="Completed","0",IF($H158="","",$H158-'[2]Read Me'!$B$4))</f>
        <v>128</v>
      </c>
      <c r="M158" s="4" t="str">
        <f>IF($I158="Complete","Green",IF($H158="","Amber",IF($H158&lt;'[2]Read Me'!$B$4,"Red",IF($H158-'[2]Read Me'!$B$4&lt;=21,"Amber","Green"))))</f>
        <v>Green</v>
      </c>
      <c r="N158" s="3"/>
      <c r="O158" t="str">
        <f>IF($I158&lt;&gt;"Complete",IF(COUNTIFS($A$4:$A157,$A158,$B$4:$B157,$B158,$I$4:$I157,"&lt;&gt;Complete")=0,$A158&amp;"|"&amp;$B158,""),"")</f>
        <v/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 t="s">
        <v>721</v>
      </c>
      <c r="B159" s="2" t="s">
        <v>49</v>
      </c>
      <c r="C159" s="3" t="s">
        <v>721</v>
      </c>
      <c r="D159" s="3" t="s">
        <v>706</v>
      </c>
      <c r="E159" s="2" t="s">
        <v>104</v>
      </c>
      <c r="F159" s="2"/>
      <c r="G159" s="5">
        <v>46097</v>
      </c>
      <c r="H159" s="5">
        <v>46357</v>
      </c>
      <c r="I159" s="4" t="s">
        <v>17</v>
      </c>
      <c r="J159" s="6">
        <f t="shared" si="7"/>
        <v>260</v>
      </c>
      <c r="K159" s="4" t="str">
        <f t="shared" ca="1" si="8"/>
        <v>No</v>
      </c>
      <c r="L159" s="7">
        <f>IF(I159="Completed","0",IF($H159="","",$H159-'[2]Read Me'!$B$4))</f>
        <v>170</v>
      </c>
      <c r="M159" s="4" t="str">
        <f>IF($I159="Complete","Green",IF($H159="","Amber",IF($H159&lt;'[2]Read Me'!$B$4,"Red",IF($H159-'[2]Read Me'!$B$4&lt;=21,"Amber","Green"))))</f>
        <v>Green</v>
      </c>
      <c r="N159" s="3"/>
      <c r="O159" t="str">
        <f>IF($I159&lt;&gt;"Complete",IF(COUNTIFS($A$4:$A158,$A159,$B$4:$B158,$B159,$I$4:$I158,"&lt;&gt;Complete")=0,$A159&amp;"|"&amp;$B159,""),"")</f>
        <v/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 t="s">
        <v>721</v>
      </c>
      <c r="B160" s="2" t="s">
        <v>49</v>
      </c>
      <c r="C160" s="3" t="s">
        <v>721</v>
      </c>
      <c r="D160" s="3" t="s">
        <v>707</v>
      </c>
      <c r="E160" s="2" t="s">
        <v>104</v>
      </c>
      <c r="F160" s="2"/>
      <c r="G160" s="5">
        <v>46139</v>
      </c>
      <c r="H160" s="5">
        <v>46399</v>
      </c>
      <c r="I160" s="4" t="s">
        <v>17</v>
      </c>
      <c r="J160" s="6">
        <f t="shared" si="7"/>
        <v>260</v>
      </c>
      <c r="K160" s="4" t="str">
        <f t="shared" ca="1" si="8"/>
        <v>No</v>
      </c>
      <c r="L160" s="7">
        <f>IF(I160="Completed","0",IF($H160="","",$H160-'[2]Read Me'!$B$4))</f>
        <v>212</v>
      </c>
      <c r="M160" s="4" t="str">
        <f>IF($I160="Complete","Green",IF($H160="","Amber",IF($H160&lt;'[2]Read Me'!$B$4,"Red",IF($H160-'[2]Read Me'!$B$4&lt;=21,"Amber","Green"))))</f>
        <v>Green</v>
      </c>
      <c r="N160" s="3"/>
      <c r="O160" t="str">
        <f>IF($I160&lt;&gt;"Complete",IF(COUNTIFS($A$4:$A159,$A160,$B$4:$B159,$B160,$I$4:$I159,"&lt;&gt;Complete")=0,$A160&amp;"|"&amp;$B160,""),"")</f>
        <v/>
      </c>
      <c r="P160" t="str">
        <f ca="1">IF($K160="Yes",COUNTIFS($K$4:$K160,"Yes"),"")</f>
        <v/>
      </c>
      <c r="Q160">
        <f t="shared" ca="1" si="9"/>
        <v>0</v>
      </c>
      <c r="R160" t="str">
        <f ca="1">IF($Q160=1,SUM($Q$4:$Q160),"")</f>
        <v/>
      </c>
    </row>
    <row r="161" spans="1:18" ht="33.75" customHeight="1" x14ac:dyDescent="0.3">
      <c r="A161" s="2" t="s">
        <v>721</v>
      </c>
      <c r="B161" s="2" t="s">
        <v>49</v>
      </c>
      <c r="C161" s="3" t="s">
        <v>721</v>
      </c>
      <c r="D161" s="3" t="s">
        <v>691</v>
      </c>
      <c r="E161" s="2" t="s">
        <v>104</v>
      </c>
      <c r="F161" s="2"/>
      <c r="G161" s="5">
        <v>46181</v>
      </c>
      <c r="H161" s="5">
        <v>46441</v>
      </c>
      <c r="I161" s="4" t="s">
        <v>17</v>
      </c>
      <c r="J161" s="6">
        <f t="shared" si="7"/>
        <v>260</v>
      </c>
      <c r="K161" s="4" t="str">
        <f t="shared" ca="1" si="8"/>
        <v>No</v>
      </c>
      <c r="L161" s="7">
        <f>IF(I161="Completed","0",IF($H161="","",$H161-'[2]Read Me'!$B$4))</f>
        <v>254</v>
      </c>
      <c r="M161" s="4" t="str">
        <f>IF($I161="Complete","Green",IF($H161="","Amber",IF($H161&lt;'[2]Read Me'!$B$4,"Red",IF($H161-'[2]Read Me'!$B$4&lt;=21,"Amber","Green"))))</f>
        <v>Green</v>
      </c>
      <c r="N161" s="3"/>
      <c r="O161" t="str">
        <f>IF($I161&lt;&gt;"Complete",IF(COUNTIFS($A$4:$A160,$A161,$B$4:$B160,$B161,$I$4:$I160,"&lt;&gt;Complete")=0,$A161&amp;"|"&amp;$B161,""),"")</f>
        <v/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 t="s">
        <v>722</v>
      </c>
      <c r="B162" s="2" t="s">
        <v>62</v>
      </c>
      <c r="C162" s="3"/>
      <c r="D162" s="3"/>
      <c r="E162" s="2"/>
      <c r="F162" s="2"/>
      <c r="G162" s="5">
        <v>46350</v>
      </c>
      <c r="H162" s="5">
        <v>46391</v>
      </c>
      <c r="I162" s="4"/>
      <c r="J162" s="6">
        <f t="shared" si="7"/>
        <v>41</v>
      </c>
      <c r="K162" s="4" t="str">
        <f t="shared" ca="1" si="8"/>
        <v/>
      </c>
      <c r="L162" s="7">
        <f>IF(I162="Completed","0",IF($H162="","",$H162-'[2]Read Me'!$B$4))</f>
        <v>204</v>
      </c>
      <c r="M162" s="4" t="str">
        <f>IF($I162="Complete","Green",IF($H162="","Amber",IF($H162&lt;'[2]Read Me'!$B$4,"Red",IF($H162-'[2]Read Me'!$B$4&lt;=21,"Amber","Green"))))</f>
        <v>Green</v>
      </c>
      <c r="N162" s="3"/>
      <c r="O162" t="str">
        <f>IF($I162&lt;&gt;"Complete",IF(COUNTIFS($A$4:$A161,$A162,$B$4:$B161,$B162,$I$4:$I161,"&lt;&gt;Complete")=0,$A162&amp;"|"&amp;$B162,""),"")</f>
        <v>Cabannas|Buildings</v>
      </c>
      <c r="P162" t="str">
        <f ca="1">IF($K162="Yes",COUNTIFS($K$4:$K162,"Yes"),"")</f>
        <v/>
      </c>
      <c r="Q162">
        <f t="shared" ca="1" si="9"/>
        <v>0</v>
      </c>
      <c r="R162" t="str">
        <f ca="1">IF($Q162=1,SUM($Q$4:$Q162),"")</f>
        <v/>
      </c>
    </row>
    <row r="163" spans="1:18" ht="33.75" customHeight="1" x14ac:dyDescent="0.3">
      <c r="A163" s="2" t="s">
        <v>722</v>
      </c>
      <c r="B163" s="2" t="s">
        <v>62</v>
      </c>
      <c r="C163" s="3" t="s">
        <v>722</v>
      </c>
      <c r="D163" s="3" t="s">
        <v>149</v>
      </c>
      <c r="E163" s="2"/>
      <c r="F163" s="2"/>
      <c r="G163" s="5">
        <v>45886</v>
      </c>
      <c r="H163" s="5">
        <v>45886</v>
      </c>
      <c r="I163" s="4" t="s">
        <v>31</v>
      </c>
      <c r="J163" s="6">
        <f t="shared" si="7"/>
        <v>0</v>
      </c>
      <c r="K163" s="4" t="str">
        <f t="shared" ca="1" si="8"/>
        <v>-</v>
      </c>
      <c r="L163" s="7" t="str">
        <f>IF(I163="Completed","0",IF($H163="","",$H163-'[2]Read Me'!$B$4))</f>
        <v>0</v>
      </c>
      <c r="M163" s="4" t="str">
        <f>IF($I163="Complete","Green",IF($H163="","Amber",IF($H163&lt;'[2]Read Me'!$B$4,"Red",IF($H163-'[2]Read Me'!$B$4&lt;=21,"Amber","Green"))))</f>
        <v>Red</v>
      </c>
      <c r="N163" s="3"/>
      <c r="O163" t="str">
        <f>IF($I163&lt;&gt;"Complete",IF(COUNTIFS($A$4:$A162,$A163,$B$4:$B162,$B163,$I$4:$I162,"&lt;&gt;Complete")=0,$A163&amp;"|"&amp;$B163,""),"")</f>
        <v/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 t="s">
        <v>722</v>
      </c>
      <c r="B164" s="2" t="s">
        <v>62</v>
      </c>
      <c r="C164" s="3" t="s">
        <v>722</v>
      </c>
      <c r="D164" s="3" t="s">
        <v>150</v>
      </c>
      <c r="E164" s="2"/>
      <c r="F164" s="2"/>
      <c r="G164" s="5">
        <v>45911</v>
      </c>
      <c r="H164" s="5">
        <v>45911</v>
      </c>
      <c r="I164" s="4" t="s">
        <v>31</v>
      </c>
      <c r="J164" s="6">
        <f t="shared" si="7"/>
        <v>0</v>
      </c>
      <c r="K164" s="4" t="str">
        <f t="shared" ca="1" si="8"/>
        <v>-</v>
      </c>
      <c r="L164" s="7" t="str">
        <f>IF(I164="Completed","0",IF($H164="","",$H164-'[2]Read Me'!$B$4))</f>
        <v>0</v>
      </c>
      <c r="M164" s="4" t="str">
        <f>IF($I164="Complete","Green",IF($H164="","Amber",IF($H164&lt;'[2]Read Me'!$B$4,"Red",IF($H164-'[2]Read Me'!$B$4&lt;=21,"Amber","Green"))))</f>
        <v>Red</v>
      </c>
      <c r="N164" s="3"/>
      <c r="O164" t="str">
        <f>IF($I164&lt;&gt;"Complete",IF(COUNTIFS($A$4:$A163,$A164,$B$4:$B163,$B164,$I$4:$I163,"&lt;&gt;Complete")=0,$A164&amp;"|"&amp;$B164,""),"")</f>
        <v/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 t="s">
        <v>722</v>
      </c>
      <c r="B165" s="2" t="s">
        <v>62</v>
      </c>
      <c r="C165" s="3" t="s">
        <v>722</v>
      </c>
      <c r="D165" s="3" t="s">
        <v>723</v>
      </c>
      <c r="E165" s="2"/>
      <c r="F165" s="2"/>
      <c r="G165" s="5">
        <v>45925</v>
      </c>
      <c r="H165" s="5">
        <v>45925</v>
      </c>
      <c r="I165" s="4" t="s">
        <v>31</v>
      </c>
      <c r="J165" s="6">
        <f t="shared" si="7"/>
        <v>0</v>
      </c>
      <c r="K165" s="4" t="str">
        <f t="shared" ca="1" si="8"/>
        <v>-</v>
      </c>
      <c r="L165" s="7" t="str">
        <f>IF(I165="Completed","0",IF($H165="","",$H165-'[2]Read Me'!$B$4))</f>
        <v>0</v>
      </c>
      <c r="M165" s="4" t="str">
        <f>IF($I165="Complete","Green",IF($H165="","Amber",IF($H165&lt;'[2]Read Me'!$B$4,"Red",IF($H165-'[2]Read Me'!$B$4&lt;=21,"Amber","Green"))))</f>
        <v>Red</v>
      </c>
      <c r="N165" s="3"/>
      <c r="O165" t="str">
        <f>IF($I165&lt;&gt;"Complete",IF(COUNTIFS($A$4:$A164,$A165,$B$4:$B164,$B165,$I$4:$I164,"&lt;&gt;Complete")=0,$A165&amp;"|"&amp;$B165,""),"")</f>
        <v/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 t="s">
        <v>722</v>
      </c>
      <c r="B166" s="2" t="s">
        <v>62</v>
      </c>
      <c r="C166" s="3" t="s">
        <v>722</v>
      </c>
      <c r="D166" s="3" t="s">
        <v>724</v>
      </c>
      <c r="E166" s="2"/>
      <c r="F166" s="2"/>
      <c r="G166" s="5">
        <v>45964</v>
      </c>
      <c r="H166" s="5">
        <v>45964</v>
      </c>
      <c r="I166" s="4" t="s">
        <v>31</v>
      </c>
      <c r="J166" s="6">
        <f t="shared" si="7"/>
        <v>0</v>
      </c>
      <c r="K166" s="4" t="str">
        <f t="shared" ca="1" si="8"/>
        <v>-</v>
      </c>
      <c r="L166" s="7" t="str">
        <f>IF(I166="Completed","0",IF($H166="","",$H166-'[2]Read Me'!$B$4))</f>
        <v>0</v>
      </c>
      <c r="M166" s="4" t="str">
        <f>IF($I166="Complete","Green",IF($H166="","Amber",IF($H166&lt;'[2]Read Me'!$B$4,"Red",IF($H166-'[2]Read Me'!$B$4&lt;=21,"Amber","Green"))))</f>
        <v>Red</v>
      </c>
      <c r="N166" s="3"/>
      <c r="O166" t="str">
        <f>IF($I166&lt;&gt;"Complete",IF(COUNTIFS($A$4:$A165,$A166,$B$4:$B165,$B166,$I$4:$I165,"&lt;&gt;Complete")=0,$A166&amp;"|"&amp;$B166,""),"")</f>
        <v/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 t="s">
        <v>722</v>
      </c>
      <c r="B167" s="2" t="s">
        <v>62</v>
      </c>
      <c r="C167" s="3" t="s">
        <v>722</v>
      </c>
      <c r="D167" s="3" t="s">
        <v>725</v>
      </c>
      <c r="E167" s="2"/>
      <c r="F167" s="2"/>
      <c r="G167" s="5">
        <v>45971</v>
      </c>
      <c r="H167" s="5">
        <v>45971</v>
      </c>
      <c r="I167" s="4" t="s">
        <v>31</v>
      </c>
      <c r="J167" s="6">
        <f t="shared" si="7"/>
        <v>0</v>
      </c>
      <c r="K167" s="4" t="str">
        <f t="shared" ca="1" si="8"/>
        <v>-</v>
      </c>
      <c r="L167" s="7" t="str">
        <f>IF(I167="Completed","0",IF($H167="","",$H167-'[2]Read Me'!$B$4))</f>
        <v>0</v>
      </c>
      <c r="M167" s="4" t="str">
        <f>IF($I167="Complete","Green",IF($H167="","Amber",IF($H167&lt;'[2]Read Me'!$B$4,"Red",IF($H167-'[2]Read Me'!$B$4&lt;=21,"Amber","Green"))))</f>
        <v>Red</v>
      </c>
      <c r="N167" s="3"/>
      <c r="O167" t="str">
        <f>IF($I167&lt;&gt;"Complete",IF(COUNTIFS($A$4:$A166,$A167,$B$4:$B166,$B167,$I$4:$I166,"&lt;&gt;Complete")=0,$A167&amp;"|"&amp;$B167,""),"")</f>
        <v/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 t="s">
        <v>722</v>
      </c>
      <c r="B168" s="2" t="s">
        <v>62</v>
      </c>
      <c r="C168" s="3" t="s">
        <v>722</v>
      </c>
      <c r="D168" s="3" t="s">
        <v>726</v>
      </c>
      <c r="E168" s="2"/>
      <c r="F168" s="2"/>
      <c r="G168" s="5">
        <v>46002</v>
      </c>
      <c r="H168" s="5">
        <v>46008</v>
      </c>
      <c r="I168" s="4" t="s">
        <v>31</v>
      </c>
      <c r="J168" s="6">
        <f t="shared" si="7"/>
        <v>6</v>
      </c>
      <c r="K168" s="4" t="str">
        <f t="shared" ca="1" si="8"/>
        <v>-</v>
      </c>
      <c r="L168" s="7" t="str">
        <f>IF(I168="Completed","0",IF($H168="","",$H168-'[2]Read Me'!$B$4))</f>
        <v>0</v>
      </c>
      <c r="M168" s="4" t="str">
        <f>IF($I168="Complete","Green",IF($H168="","Amber",IF($H168&lt;'[2]Read Me'!$B$4,"Red",IF($H168-'[2]Read Me'!$B$4&lt;=21,"Amber","Green"))))</f>
        <v>Red</v>
      </c>
      <c r="N168" s="3"/>
      <c r="O168" t="str">
        <f>IF($I168&lt;&gt;"Complete",IF(COUNTIFS($A$4:$A167,$A168,$B$4:$B167,$B168,$I$4:$I167,"&lt;&gt;Complete")=0,$A168&amp;"|"&amp;$B168,""),"")</f>
        <v/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 t="s">
        <v>722</v>
      </c>
      <c r="B169" s="2" t="s">
        <v>62</v>
      </c>
      <c r="C169" s="3" t="s">
        <v>722</v>
      </c>
      <c r="D169" s="3" t="s">
        <v>235</v>
      </c>
      <c r="E169" s="2"/>
      <c r="F169" s="2"/>
      <c r="G169" s="5">
        <v>46009</v>
      </c>
      <c r="H169" s="5">
        <v>46015</v>
      </c>
      <c r="I169" s="4" t="s">
        <v>31</v>
      </c>
      <c r="J169" s="6">
        <f t="shared" si="7"/>
        <v>6</v>
      </c>
      <c r="K169" s="4" t="str">
        <f t="shared" ca="1" si="8"/>
        <v>-</v>
      </c>
      <c r="L169" s="7" t="str">
        <f>IF(I169="Completed","0",IF($H169="","",$H169-'[2]Read Me'!$B$4))</f>
        <v>0</v>
      </c>
      <c r="M169" s="4" t="str">
        <f>IF($I169="Complete","Green",IF($H169="","Amber",IF($H169&lt;'[2]Read Me'!$B$4,"Red",IF($H169-'[2]Read Me'!$B$4&lt;=21,"Amber","Green"))))</f>
        <v>Red</v>
      </c>
      <c r="N169" s="3"/>
      <c r="O169" t="str">
        <f>IF($I169&lt;&gt;"Complete",IF(COUNTIFS($A$4:$A168,$A169,$B$4:$B168,$B169,$I$4:$I168,"&lt;&gt;Complete")=0,$A169&amp;"|"&amp;$B169,""),"")</f>
        <v/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 t="s">
        <v>722</v>
      </c>
      <c r="B170" s="2" t="s">
        <v>62</v>
      </c>
      <c r="C170" s="3" t="s">
        <v>722</v>
      </c>
      <c r="D170" s="3" t="s">
        <v>727</v>
      </c>
      <c r="E170" s="2" t="s">
        <v>667</v>
      </c>
      <c r="F170" s="2" t="s">
        <v>81</v>
      </c>
      <c r="G170" s="5">
        <v>46016</v>
      </c>
      <c r="H170" s="5">
        <v>46058</v>
      </c>
      <c r="I170" s="4" t="s">
        <v>31</v>
      </c>
      <c r="J170" s="6">
        <f t="shared" si="7"/>
        <v>42</v>
      </c>
      <c r="K170" s="4" t="str">
        <f t="shared" ca="1" si="8"/>
        <v>-</v>
      </c>
      <c r="L170" s="7" t="str">
        <f>IF(I170="Completed","0",IF($H170="","",$H170-'[2]Read Me'!$B$4))</f>
        <v>0</v>
      </c>
      <c r="M170" s="4" t="str">
        <f>IF($I170="Complete","Green",IF($H170="","Amber",IF($H170&lt;'[2]Read Me'!$B$4,"Red",IF($H170-'[2]Read Me'!$B$4&lt;=21,"Amber","Green"))))</f>
        <v>Red</v>
      </c>
      <c r="N170" s="3"/>
      <c r="O170" t="str">
        <f>IF($I170&lt;&gt;"Complete",IF(COUNTIFS($A$4:$A169,$A170,$B$4:$B169,$B170,$I$4:$I169,"&lt;&gt;Complete")=0,$A170&amp;"|"&amp;$B170,""),"")</f>
        <v/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 t="s">
        <v>722</v>
      </c>
      <c r="B171" s="2" t="s">
        <v>62</v>
      </c>
      <c r="C171" s="3" t="s">
        <v>722</v>
      </c>
      <c r="D171" s="3" t="s">
        <v>97</v>
      </c>
      <c r="E171" s="2"/>
      <c r="F171" s="2"/>
      <c r="G171" s="5">
        <v>46047</v>
      </c>
      <c r="H171" s="5">
        <v>46050</v>
      </c>
      <c r="I171" s="4" t="s">
        <v>31</v>
      </c>
      <c r="J171" s="6">
        <f t="shared" si="7"/>
        <v>3</v>
      </c>
      <c r="K171" s="4" t="str">
        <f t="shared" ca="1" si="8"/>
        <v>-</v>
      </c>
      <c r="L171" s="7" t="str">
        <f>IF(I171="Completed","0",IF($H171="","",$H171-'[2]Read Me'!$B$4))</f>
        <v>0</v>
      </c>
      <c r="M171" s="4" t="str">
        <f>IF($I171="Complete","Green",IF($H171="","Amber",IF($H171&lt;'[2]Read Me'!$B$4,"Red",IF($H171-'[2]Read Me'!$B$4&lt;=21,"Amber","Green"))))</f>
        <v>Red</v>
      </c>
      <c r="N171" s="3"/>
      <c r="O171" t="str">
        <f>IF($I171&lt;&gt;"Complete",IF(COUNTIFS($A$4:$A170,$A171,$B$4:$B170,$B171,$I$4:$I170,"&lt;&gt;Complete")=0,$A171&amp;"|"&amp;$B171,""),"")</f>
        <v/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 t="s">
        <v>722</v>
      </c>
      <c r="B172" s="2" t="s">
        <v>62</v>
      </c>
      <c r="C172" s="3" t="s">
        <v>722</v>
      </c>
      <c r="D172" s="3" t="s">
        <v>70</v>
      </c>
      <c r="E172" s="2"/>
      <c r="F172" s="2"/>
      <c r="G172" s="5">
        <v>46054</v>
      </c>
      <c r="H172" s="5">
        <v>46057</v>
      </c>
      <c r="I172" s="4" t="s">
        <v>31</v>
      </c>
      <c r="J172" s="6">
        <f t="shared" si="7"/>
        <v>3</v>
      </c>
      <c r="K172" s="4" t="str">
        <f t="shared" ca="1" si="8"/>
        <v>-</v>
      </c>
      <c r="L172" s="7" t="str">
        <f>IF(I172="Completed","0",IF($H172="","",$H172-'[2]Read Me'!$B$4))</f>
        <v>0</v>
      </c>
      <c r="M172" s="4" t="str">
        <f>IF($I172="Complete","Green",IF($H172="","Amber",IF($H172&lt;'[2]Read Me'!$B$4,"Red",IF($H172-'[2]Read Me'!$B$4&lt;=21,"Amber","Green"))))</f>
        <v>Red</v>
      </c>
      <c r="N172" s="3"/>
      <c r="O172" t="str">
        <f>IF($I172&lt;&gt;"Complete",IF(COUNTIFS($A$4:$A171,$A172,$B$4:$B171,$B172,$I$4:$I171,"&lt;&gt;Complete")=0,$A172&amp;"|"&amp;$B172,""),"")</f>
        <v/>
      </c>
      <c r="P172" t="str">
        <f ca="1">IF($K172="Yes",COUNTIFS($K$4:$K172,"Yes"),"")</f>
        <v/>
      </c>
      <c r="Q172">
        <f t="shared" ca="1" si="9"/>
        <v>0</v>
      </c>
      <c r="R172" t="str">
        <f ca="1">IF($Q172=1,SUM($Q$4:$Q172),"")</f>
        <v/>
      </c>
    </row>
    <row r="173" spans="1:18" ht="33.75" customHeight="1" x14ac:dyDescent="0.3">
      <c r="A173" s="2" t="s">
        <v>722</v>
      </c>
      <c r="B173" s="2" t="s">
        <v>62</v>
      </c>
      <c r="C173" s="3" t="s">
        <v>722</v>
      </c>
      <c r="D173" s="3" t="s">
        <v>98</v>
      </c>
      <c r="E173" s="2"/>
      <c r="F173" s="2"/>
      <c r="G173" s="5">
        <v>46090</v>
      </c>
      <c r="H173" s="5">
        <v>46092</v>
      </c>
      <c r="I173" s="4" t="s">
        <v>31</v>
      </c>
      <c r="J173" s="6">
        <f t="shared" si="7"/>
        <v>2</v>
      </c>
      <c r="K173" s="4" t="str">
        <f t="shared" ca="1" si="8"/>
        <v>-</v>
      </c>
      <c r="L173" s="7" t="str">
        <f>IF(I173="Completed","0",IF($H173="","",$H173-'[2]Read Me'!$B$4))</f>
        <v>0</v>
      </c>
      <c r="M173" s="4" t="str">
        <f>IF($I173="Complete","Green",IF($H173="","Amber",IF($H173&lt;'[2]Read Me'!$B$4,"Red",IF($H173-'[2]Read Me'!$B$4&lt;=21,"Amber","Green"))))</f>
        <v>Red</v>
      </c>
      <c r="N173" s="3"/>
      <c r="O173" t="str">
        <f>IF($I173&lt;&gt;"Complete",IF(COUNTIFS($A$4:$A172,$A173,$B$4:$B172,$B173,$I$4:$I172,"&lt;&gt;Complete")=0,$A173&amp;"|"&amp;$B173,""),"")</f>
        <v/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 t="s">
        <v>722</v>
      </c>
      <c r="B174" s="2" t="s">
        <v>62</v>
      </c>
      <c r="C174" s="3" t="s">
        <v>722</v>
      </c>
      <c r="D174" s="3" t="s">
        <v>47</v>
      </c>
      <c r="E174" s="2"/>
      <c r="F174" s="2"/>
      <c r="G174" s="5">
        <v>46097</v>
      </c>
      <c r="H174" s="5">
        <v>46099</v>
      </c>
      <c r="I174" s="4" t="s">
        <v>31</v>
      </c>
      <c r="J174" s="6">
        <f t="shared" si="7"/>
        <v>2</v>
      </c>
      <c r="K174" s="4" t="str">
        <f t="shared" ca="1" si="8"/>
        <v>-</v>
      </c>
      <c r="L174" s="7" t="str">
        <f>IF(I174="Completed","0",IF($H174="","",$H174-'[2]Read Me'!$B$4))</f>
        <v>0</v>
      </c>
      <c r="M174" s="4" t="str">
        <f>IF($I174="Complete","Green",IF($H174="","Amber",IF($H174&lt;'[2]Read Me'!$B$4,"Red",IF($H174-'[2]Read Me'!$B$4&lt;=21,"Amber","Green"))))</f>
        <v>Red</v>
      </c>
      <c r="N174" s="3"/>
      <c r="O174" t="str">
        <f>IF($I174&lt;&gt;"Complete",IF(COUNTIFS($A$4:$A173,$A174,$B$4:$B173,$B174,$I$4:$I173,"&lt;&gt;Complete")=0,$A174&amp;"|"&amp;$B174,""),"")</f>
        <v/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 t="s">
        <v>722</v>
      </c>
      <c r="B175" s="2" t="s">
        <v>62</v>
      </c>
      <c r="C175" s="3" t="s">
        <v>722</v>
      </c>
      <c r="D175" s="3" t="s">
        <v>18</v>
      </c>
      <c r="E175" s="2" t="s">
        <v>728</v>
      </c>
      <c r="F175" s="2"/>
      <c r="G175" s="5">
        <v>46188</v>
      </c>
      <c r="H175" s="5">
        <v>46203</v>
      </c>
      <c r="I175" s="4" t="s">
        <v>46</v>
      </c>
      <c r="J175" s="6">
        <f t="shared" si="7"/>
        <v>15</v>
      </c>
      <c r="K175" s="4" t="str">
        <f t="shared" ca="1" si="8"/>
        <v>Yes</v>
      </c>
      <c r="L175" s="7">
        <f>IF(I175="Completed","0",IF($H175="","",$H175-'[2]Read Me'!$B$4))</f>
        <v>16</v>
      </c>
      <c r="M175" s="4" t="str">
        <f>IF($I175="Complete","Green",IF($H175="","Amber",IF($H175&lt;'[2]Read Me'!$B$4,"Red",IF($H175-'[2]Read Me'!$B$4&lt;=21,"Amber","Green"))))</f>
        <v>Amber</v>
      </c>
      <c r="N175" s="3"/>
      <c r="O175" t="str">
        <f>IF($I175&lt;&gt;"Complete",IF(COUNTIFS($A$4:$A174,$A175,$B$4:$B174,$B175,$I$4:$I174,"&lt;&gt;Complete")=0,$A175&amp;"|"&amp;$B175,""),"")</f>
        <v/>
      </c>
      <c r="P175">
        <f ca="1">IF($K175="Yes",COUNTIFS($K$4:$K175,"Yes"),"")</f>
        <v>8</v>
      </c>
      <c r="Q175">
        <f t="shared" ca="1" si="9"/>
        <v>1</v>
      </c>
      <c r="R175">
        <f ca="1">IF($Q175=1,SUM($Q$4:$Q175),"")</f>
        <v>8</v>
      </c>
    </row>
    <row r="176" spans="1:18" ht="22.5" customHeight="1" x14ac:dyDescent="0.3">
      <c r="A176" s="2" t="s">
        <v>722</v>
      </c>
      <c r="B176" s="2" t="s">
        <v>62</v>
      </c>
      <c r="C176" s="3" t="s">
        <v>722</v>
      </c>
      <c r="D176" s="3" t="s">
        <v>32</v>
      </c>
      <c r="E176" s="2" t="s">
        <v>728</v>
      </c>
      <c r="F176" s="2" t="s">
        <v>265</v>
      </c>
      <c r="G176" s="5">
        <v>46202</v>
      </c>
      <c r="H176" s="5">
        <v>46217</v>
      </c>
      <c r="I176" s="4" t="s">
        <v>17</v>
      </c>
      <c r="J176" s="6">
        <f t="shared" si="7"/>
        <v>15</v>
      </c>
      <c r="K176" s="4" t="str">
        <f t="shared" ca="1" si="8"/>
        <v>No</v>
      </c>
      <c r="L176" s="7">
        <f>IF(I176="Completed","0",IF($H176="","",$H176-'[2]Read Me'!$B$4))</f>
        <v>30</v>
      </c>
      <c r="M176" s="4" t="str">
        <f>IF($I176="Complete","Green",IF($H176="","Amber",IF($H176&lt;'[2]Read Me'!$B$4,"Red",IF($H176-'[2]Read Me'!$B$4&lt;=21,"Amber","Green"))))</f>
        <v>Green</v>
      </c>
      <c r="N176" s="3"/>
      <c r="O176" t="str">
        <f>IF($I176&lt;&gt;"Complete",IF(COUNTIFS($A$4:$A175,$A176,$B$4:$B175,$B176,$I$4:$I175,"&lt;&gt;Complete")=0,$A176&amp;"|"&amp;$B176,""),"")</f>
        <v/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 t="s">
        <v>722</v>
      </c>
      <c r="B177" s="2" t="s">
        <v>62</v>
      </c>
      <c r="C177" s="3" t="s">
        <v>722</v>
      </c>
      <c r="D177" s="3" t="s">
        <v>19</v>
      </c>
      <c r="E177" s="2" t="s">
        <v>667</v>
      </c>
      <c r="F177" s="2" t="s">
        <v>81</v>
      </c>
      <c r="G177" s="5">
        <v>46209</v>
      </c>
      <c r="H177" s="5">
        <v>46224</v>
      </c>
      <c r="I177" s="4" t="s">
        <v>17</v>
      </c>
      <c r="J177" s="6">
        <f t="shared" si="7"/>
        <v>15</v>
      </c>
      <c r="K177" s="4" t="str">
        <f t="shared" ca="1" si="8"/>
        <v>No</v>
      </c>
      <c r="L177" s="7">
        <f>IF(I177="Completed","0",IF($H177="","",$H177-'[2]Read Me'!$B$4))</f>
        <v>37</v>
      </c>
      <c r="M177" s="4" t="str">
        <f>IF($I177="Complete","Green",IF($H177="","Amber",IF($H177&lt;'[2]Read Me'!$B$4,"Red",IF($H177-'[2]Read Me'!$B$4&lt;=21,"Amber","Green"))))</f>
        <v>Green</v>
      </c>
      <c r="N177" s="3"/>
      <c r="O177" t="str">
        <f>IF($I177&lt;&gt;"Complete",IF(COUNTIFS($A$4:$A176,$A177,$B$4:$B176,$B177,$I$4:$I176,"&lt;&gt;Complete")=0,$A177&amp;"|"&amp;$B177,""),"")</f>
        <v/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 t="s">
        <v>722</v>
      </c>
      <c r="B178" s="2" t="s">
        <v>62</v>
      </c>
      <c r="C178" s="3" t="s">
        <v>722</v>
      </c>
      <c r="D178" s="3" t="s">
        <v>724</v>
      </c>
      <c r="E178" s="2" t="s">
        <v>729</v>
      </c>
      <c r="F178" s="2" t="s">
        <v>265</v>
      </c>
      <c r="G178" s="5">
        <v>46189</v>
      </c>
      <c r="H178" s="5">
        <v>46205</v>
      </c>
      <c r="I178" s="4" t="s">
        <v>46</v>
      </c>
      <c r="J178" s="6">
        <f t="shared" si="7"/>
        <v>16</v>
      </c>
      <c r="K178" s="4" t="str">
        <f t="shared" ca="1" si="8"/>
        <v>No</v>
      </c>
      <c r="L178" s="7">
        <f>IF(I178="Completed","0",IF($H178="","",$H178-'[2]Read Me'!$B$4))</f>
        <v>18</v>
      </c>
      <c r="M178" s="4" t="str">
        <f>IF($I178="Complete","Green",IF($H178="","Amber",IF($H178&lt;'[2]Read Me'!$B$4,"Red",IF($H178-'[2]Read Me'!$B$4&lt;=21,"Amber","Green"))))</f>
        <v>Amber</v>
      </c>
      <c r="N178" s="3"/>
      <c r="O178" t="str">
        <f>IF($I178&lt;&gt;"Complete",IF(COUNTIFS($A$4:$A177,$A178,$B$4:$B177,$B178,$I$4:$I177,"&lt;&gt;Complete")=0,$A178&amp;"|"&amp;$B178,""),"")</f>
        <v/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 t="s">
        <v>722</v>
      </c>
      <c r="B179" s="2" t="s">
        <v>62</v>
      </c>
      <c r="C179" s="3" t="s">
        <v>722</v>
      </c>
      <c r="D179" s="3" t="s">
        <v>730</v>
      </c>
      <c r="E179" s="2" t="s">
        <v>664</v>
      </c>
      <c r="F179" s="2"/>
      <c r="G179" s="5">
        <v>46196</v>
      </c>
      <c r="H179" s="5">
        <v>46216</v>
      </c>
      <c r="I179" s="4" t="s">
        <v>17</v>
      </c>
      <c r="J179" s="6">
        <f t="shared" si="7"/>
        <v>20</v>
      </c>
      <c r="K179" s="4" t="str">
        <f t="shared" ca="1" si="8"/>
        <v>No</v>
      </c>
      <c r="L179" s="7">
        <f>IF(I179="Completed","0",IF($H179="","",$H179-'[2]Read Me'!$B$4))</f>
        <v>29</v>
      </c>
      <c r="M179" s="4" t="str">
        <f>IF($I179="Complete","Green",IF($H179="","Amber",IF($H179&lt;'[2]Read Me'!$B$4,"Red",IF($H179-'[2]Read Me'!$B$4&lt;=21,"Amber","Green"))))</f>
        <v>Green</v>
      </c>
      <c r="N179" s="3"/>
      <c r="O179" t="str">
        <f>IF($I179&lt;&gt;"Complete",IF(COUNTIFS($A$4:$A178,$A179,$B$4:$B178,$B179,$I$4:$I178,"&lt;&gt;Complete")=0,$A179&amp;"|"&amp;$B179,""),"")</f>
        <v/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 t="s">
        <v>722</v>
      </c>
      <c r="B180" s="2" t="s">
        <v>62</v>
      </c>
      <c r="C180" s="3" t="s">
        <v>722</v>
      </c>
      <c r="D180" s="3" t="s">
        <v>638</v>
      </c>
      <c r="E180" s="2" t="s">
        <v>664</v>
      </c>
      <c r="F180" s="2"/>
      <c r="G180" s="5">
        <v>46203</v>
      </c>
      <c r="H180" s="5">
        <v>46223</v>
      </c>
      <c r="I180" s="4" t="s">
        <v>17</v>
      </c>
      <c r="J180" s="6">
        <f t="shared" si="7"/>
        <v>20</v>
      </c>
      <c r="K180" s="4" t="str">
        <f t="shared" ca="1" si="8"/>
        <v>No</v>
      </c>
      <c r="L180" s="7">
        <f>IF(I180="Completed","0",IF($H180="","",$H180-'[2]Read Me'!$B$4))</f>
        <v>36</v>
      </c>
      <c r="M180" s="4" t="str">
        <f>IF($I180="Complete","Green",IF($H180="","Amber",IF($H180&lt;'[2]Read Me'!$B$4,"Red",IF($H180-'[2]Read Me'!$B$4&lt;=21,"Amber","Green"))))</f>
        <v>Green</v>
      </c>
      <c r="N180" s="3"/>
      <c r="O180" t="str">
        <f>IF($I180&lt;&gt;"Complete",IF(COUNTIFS($A$4:$A179,$A180,$B$4:$B179,$B180,$I$4:$I179,"&lt;&gt;Complete")=0,$A180&amp;"|"&amp;$B180,""),"")</f>
        <v/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 t="s">
        <v>722</v>
      </c>
      <c r="B181" s="2" t="s">
        <v>62</v>
      </c>
      <c r="C181" s="3" t="s">
        <v>722</v>
      </c>
      <c r="D181" s="3" t="s">
        <v>18</v>
      </c>
      <c r="E181" s="2" t="s">
        <v>664</v>
      </c>
      <c r="F181" s="2"/>
      <c r="G181" s="5">
        <v>46224</v>
      </c>
      <c r="H181" s="5">
        <v>46251</v>
      </c>
      <c r="I181" s="4" t="s">
        <v>17</v>
      </c>
      <c r="J181" s="6">
        <f t="shared" si="7"/>
        <v>27</v>
      </c>
      <c r="K181" s="4" t="str">
        <f t="shared" ca="1" si="8"/>
        <v>No</v>
      </c>
      <c r="L181" s="7">
        <f>IF(I181="Completed","0",IF($H181="","",$H181-'[2]Read Me'!$B$4))</f>
        <v>64</v>
      </c>
      <c r="M181" s="4" t="str">
        <f>IF($I181="Complete","Green",IF($H181="","Amber",IF($H181&lt;'[2]Read Me'!$B$4,"Red",IF($H181-'[2]Read Me'!$B$4&lt;=21,"Amber","Green"))))</f>
        <v>Green</v>
      </c>
      <c r="N181" s="3"/>
      <c r="O181" t="str">
        <f>IF($I181&lt;&gt;"Complete",IF(COUNTIFS($A$4:$A180,$A181,$B$4:$B180,$B181,$I$4:$I180,"&lt;&gt;Complete")=0,$A181&amp;"|"&amp;$B181,""),"")</f>
        <v/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 t="s">
        <v>722</v>
      </c>
      <c r="B182" s="2" t="s">
        <v>62</v>
      </c>
      <c r="C182" s="3" t="s">
        <v>722</v>
      </c>
      <c r="D182" s="3" t="s">
        <v>32</v>
      </c>
      <c r="E182" s="2" t="s">
        <v>664</v>
      </c>
      <c r="F182" s="2"/>
      <c r="G182" s="5">
        <v>46238</v>
      </c>
      <c r="H182" s="5">
        <v>46265</v>
      </c>
      <c r="I182" s="4" t="s">
        <v>17</v>
      </c>
      <c r="J182" s="6">
        <f t="shared" si="7"/>
        <v>27</v>
      </c>
      <c r="K182" s="4" t="str">
        <f t="shared" ca="1" si="8"/>
        <v>No</v>
      </c>
      <c r="L182" s="7">
        <f>IF(I182="Completed","0",IF($H182="","",$H182-'[2]Read Me'!$B$4))</f>
        <v>78</v>
      </c>
      <c r="M182" s="4" t="str">
        <f>IF($I182="Complete","Green",IF($H182="","Amber",IF($H182&lt;'[2]Read Me'!$B$4,"Red",IF($H182-'[2]Read Me'!$B$4&lt;=21,"Amber","Green"))))</f>
        <v>Green</v>
      </c>
      <c r="N182" s="3"/>
      <c r="O182" t="str">
        <f>IF($I182&lt;&gt;"Complete",IF(COUNTIFS($A$4:$A181,$A182,$B$4:$B181,$B182,$I$4:$I181,"&lt;&gt;Complete")=0,$A182&amp;"|"&amp;$B182,""),"")</f>
        <v/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 t="s">
        <v>722</v>
      </c>
      <c r="B183" s="2" t="s">
        <v>62</v>
      </c>
      <c r="C183" s="3" t="s">
        <v>722</v>
      </c>
      <c r="D183" s="3" t="s">
        <v>731</v>
      </c>
      <c r="E183" s="2" t="s">
        <v>664</v>
      </c>
      <c r="F183" s="2"/>
      <c r="G183" s="5">
        <v>46245</v>
      </c>
      <c r="H183" s="5">
        <v>46279</v>
      </c>
      <c r="I183" s="4" t="s">
        <v>17</v>
      </c>
      <c r="J183" s="6">
        <f t="shared" si="7"/>
        <v>34</v>
      </c>
      <c r="K183" s="4" t="str">
        <f t="shared" ca="1" si="8"/>
        <v>No</v>
      </c>
      <c r="L183" s="7">
        <f>IF(I183="Completed","0",IF($H183="","",$H183-'[2]Read Me'!$B$4))</f>
        <v>92</v>
      </c>
      <c r="M183" s="4" t="str">
        <f>IF($I183="Complete","Green",IF($H183="","Amber",IF($H183&lt;'[2]Read Me'!$B$4,"Red",IF($H183-'[2]Read Me'!$B$4&lt;=21,"Amber","Green"))))</f>
        <v>Green</v>
      </c>
      <c r="N183" s="3"/>
      <c r="O183" t="str">
        <f>IF($I183&lt;&gt;"Complete",IF(COUNTIFS($A$4:$A182,$A183,$B$4:$B182,$B183,$I$4:$I182,"&lt;&gt;Complete")=0,$A183&amp;"|"&amp;$B183,""),"")</f>
        <v/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 t="s">
        <v>722</v>
      </c>
      <c r="B184" s="2" t="s">
        <v>62</v>
      </c>
      <c r="C184" s="3" t="s">
        <v>722</v>
      </c>
      <c r="D184" s="3" t="s">
        <v>732</v>
      </c>
      <c r="E184" s="2" t="s">
        <v>664</v>
      </c>
      <c r="F184" s="2"/>
      <c r="G184" s="5">
        <v>46252</v>
      </c>
      <c r="H184" s="5">
        <v>46286</v>
      </c>
      <c r="I184" s="4" t="s">
        <v>17</v>
      </c>
      <c r="J184" s="6">
        <f t="shared" si="7"/>
        <v>34</v>
      </c>
      <c r="K184" s="4" t="str">
        <f t="shared" ca="1" si="8"/>
        <v>No</v>
      </c>
      <c r="L184" s="7">
        <f>IF(I184="Completed","0",IF($H184="","",$H184-'[2]Read Me'!$B$4))</f>
        <v>99</v>
      </c>
      <c r="M184" s="4" t="str">
        <f>IF($I184="Complete","Green",IF($H184="","Amber",IF($H184&lt;'[2]Read Me'!$B$4,"Red",IF($H184-'[2]Read Me'!$B$4&lt;=21,"Amber","Green"))))</f>
        <v>Green</v>
      </c>
      <c r="N184" s="3"/>
      <c r="O184" t="str">
        <f>IF($I184&lt;&gt;"Complete",IF(COUNTIFS($A$4:$A183,$A184,$B$4:$B183,$B184,$I$4:$I183,"&lt;&gt;Complete")=0,$A184&amp;"|"&amp;$B184,""),"")</f>
        <v/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 t="s">
        <v>722</v>
      </c>
      <c r="B185" s="2" t="s">
        <v>62</v>
      </c>
      <c r="C185" s="3" t="s">
        <v>722</v>
      </c>
      <c r="D185" s="3" t="s">
        <v>733</v>
      </c>
      <c r="E185" s="2" t="s">
        <v>664</v>
      </c>
      <c r="F185" s="2"/>
      <c r="G185" s="5">
        <v>46259</v>
      </c>
      <c r="H185" s="5">
        <v>46300</v>
      </c>
      <c r="I185" s="4" t="s">
        <v>17</v>
      </c>
      <c r="J185" s="6">
        <f t="shared" si="7"/>
        <v>41</v>
      </c>
      <c r="K185" s="4" t="str">
        <f t="shared" ca="1" si="8"/>
        <v>No</v>
      </c>
      <c r="L185" s="7">
        <f>IF(I185="Completed","0",IF($H185="","",$H185-'[2]Read Me'!$B$4))</f>
        <v>113</v>
      </c>
      <c r="M185" s="4" t="str">
        <f>IF($I185="Complete","Green",IF($H185="","Amber",IF($H185&lt;'[2]Read Me'!$B$4,"Red",IF($H185-'[2]Read Me'!$B$4&lt;=21,"Amber","Green"))))</f>
        <v>Green</v>
      </c>
      <c r="N185" s="3"/>
      <c r="O185" t="str">
        <f>IF($I185&lt;&gt;"Complete",IF(COUNTIFS($A$4:$A184,$A185,$B$4:$B184,$B185,$I$4:$I184,"&lt;&gt;Complete")=0,$A185&amp;"|"&amp;$B185,""),"")</f>
        <v/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 t="s">
        <v>722</v>
      </c>
      <c r="B186" s="2" t="s">
        <v>62</v>
      </c>
      <c r="C186" s="3" t="s">
        <v>722</v>
      </c>
      <c r="D186" s="3" t="s">
        <v>734</v>
      </c>
      <c r="E186" s="2" t="s">
        <v>664</v>
      </c>
      <c r="F186" s="2"/>
      <c r="G186" s="5">
        <v>46273</v>
      </c>
      <c r="H186" s="5">
        <v>46314</v>
      </c>
      <c r="I186" s="4" t="s">
        <v>17</v>
      </c>
      <c r="J186" s="6">
        <f t="shared" si="7"/>
        <v>41</v>
      </c>
      <c r="K186" s="4" t="str">
        <f t="shared" ca="1" si="8"/>
        <v>No</v>
      </c>
      <c r="L186" s="7">
        <f>IF(I186="Completed","0",IF($H186="","",$H186-'[2]Read Me'!$B$4))</f>
        <v>127</v>
      </c>
      <c r="M186" s="4" t="str">
        <f>IF($I186="Complete","Green",IF($H186="","Amber",IF($H186&lt;'[2]Read Me'!$B$4,"Red",IF($H186-'[2]Read Me'!$B$4&lt;=21,"Amber","Green"))))</f>
        <v>Green</v>
      </c>
      <c r="N186" s="3"/>
      <c r="O186" t="str">
        <f>IF($I186&lt;&gt;"Complete",IF(COUNTIFS($A$4:$A185,$A186,$B$4:$B185,$B186,$I$4:$I185,"&lt;&gt;Complete")=0,$A186&amp;"|"&amp;$B186,""),"")</f>
        <v/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 t="s">
        <v>722</v>
      </c>
      <c r="B187" s="2" t="s">
        <v>62</v>
      </c>
      <c r="C187" s="3" t="s">
        <v>722</v>
      </c>
      <c r="D187" s="3" t="s">
        <v>735</v>
      </c>
      <c r="E187" s="2" t="s">
        <v>664</v>
      </c>
      <c r="F187" s="2"/>
      <c r="G187" s="5">
        <v>46287</v>
      </c>
      <c r="H187" s="5">
        <v>46328</v>
      </c>
      <c r="I187" s="4" t="s">
        <v>17</v>
      </c>
      <c r="J187" s="6">
        <f t="shared" si="7"/>
        <v>41</v>
      </c>
      <c r="K187" s="4" t="str">
        <f t="shared" ca="1" si="8"/>
        <v>No</v>
      </c>
      <c r="L187" s="7">
        <f>IF(I187="Completed","0",IF($H187="","",$H187-'[2]Read Me'!$B$4))</f>
        <v>141</v>
      </c>
      <c r="M187" s="4" t="str">
        <f>IF($I187="Complete","Green",IF($H187="","Amber",IF($H187&lt;'[2]Read Me'!$B$4,"Red",IF($H187-'[2]Read Me'!$B$4&lt;=21,"Amber","Green"))))</f>
        <v>Green</v>
      </c>
      <c r="N187" s="3"/>
      <c r="O187" t="str">
        <f>IF($I187&lt;&gt;"Complete",IF(COUNTIFS($A$4:$A186,$A187,$B$4:$B186,$B187,$I$4:$I186,"&lt;&gt;Complete")=0,$A187&amp;"|"&amp;$B187,""),"")</f>
        <v/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 t="s">
        <v>722</v>
      </c>
      <c r="B188" s="2" t="s">
        <v>62</v>
      </c>
      <c r="C188" s="3" t="s">
        <v>722</v>
      </c>
      <c r="D188" s="3" t="s">
        <v>736</v>
      </c>
      <c r="E188" s="2" t="s">
        <v>664</v>
      </c>
      <c r="F188" s="2"/>
      <c r="G188" s="5">
        <v>46294</v>
      </c>
      <c r="H188" s="5">
        <v>46335</v>
      </c>
      <c r="I188" s="4" t="s">
        <v>17</v>
      </c>
      <c r="J188" s="6">
        <f t="shared" si="7"/>
        <v>41</v>
      </c>
      <c r="K188" s="4" t="str">
        <f t="shared" ca="1" si="8"/>
        <v>No</v>
      </c>
      <c r="L188" s="7">
        <f>IF(I188="Completed","0",IF($H188="","",$H188-'[2]Read Me'!$B$4))</f>
        <v>148</v>
      </c>
      <c r="M188" s="4" t="str">
        <f>IF($I188="Complete","Green",IF($H188="","Amber",IF($H188&lt;'[2]Read Me'!$B$4,"Red",IF($H188-'[2]Read Me'!$B$4&lt;=21,"Amber","Green"))))</f>
        <v>Green</v>
      </c>
      <c r="N188" s="3"/>
      <c r="O188" t="str">
        <f>IF($I188&lt;&gt;"Complete",IF(COUNTIFS($A$4:$A187,$A188,$B$4:$B187,$B188,$I$4:$I187,"&lt;&gt;Complete")=0,$A188&amp;"|"&amp;$B188,""),"")</f>
        <v/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 t="s">
        <v>722</v>
      </c>
      <c r="B189" s="2" t="s">
        <v>62</v>
      </c>
      <c r="C189" s="3" t="s">
        <v>722</v>
      </c>
      <c r="D189" s="3" t="s">
        <v>737</v>
      </c>
      <c r="E189" s="2" t="s">
        <v>664</v>
      </c>
      <c r="F189" s="2"/>
      <c r="G189" s="5">
        <v>46308</v>
      </c>
      <c r="H189" s="5">
        <v>46349</v>
      </c>
      <c r="I189" s="4" t="s">
        <v>17</v>
      </c>
      <c r="J189" s="6">
        <f t="shared" si="7"/>
        <v>41</v>
      </c>
      <c r="K189" s="4" t="str">
        <f t="shared" ca="1" si="8"/>
        <v>No</v>
      </c>
      <c r="L189" s="7">
        <f>IF($H189="","",$H189-'[2]Read Me'!$B$4)</f>
        <v>162</v>
      </c>
      <c r="M189" s="4" t="str">
        <f>IF($I189="Complete","Green",IF($H189="","Amber",IF($H189&lt;'[2]Read Me'!$B$4,"Red",IF($H189-'[2]Read Me'!$B$4&lt;=21,"Amber","Green"))))</f>
        <v>Green</v>
      </c>
      <c r="N189" s="3"/>
      <c r="O189" t="str">
        <f>IF($I189&lt;&gt;"Complete",IF(COUNTIFS($A$4:$A188,$A189,$B$4:$B188,$B189,$I$4:$I188,"&lt;&gt;Complete")=0,$A189&amp;"|"&amp;$B189,""),"")</f>
        <v/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 t="s">
        <v>722</v>
      </c>
      <c r="B190" s="2" t="s">
        <v>62</v>
      </c>
      <c r="C190" s="3" t="s">
        <v>722</v>
      </c>
      <c r="D190" s="3" t="s">
        <v>738</v>
      </c>
      <c r="E190" s="2" t="s">
        <v>664</v>
      </c>
      <c r="F190" s="2"/>
      <c r="G190" s="5">
        <v>46322</v>
      </c>
      <c r="H190" s="5">
        <v>46363</v>
      </c>
      <c r="I190" s="4" t="s">
        <v>17</v>
      </c>
      <c r="J190" s="6">
        <f t="shared" si="7"/>
        <v>41</v>
      </c>
      <c r="K190" s="4" t="str">
        <f t="shared" ca="1" si="8"/>
        <v>No</v>
      </c>
      <c r="L190" s="7">
        <f>IF($H190="","",$H190-'[2]Read Me'!$B$4)</f>
        <v>176</v>
      </c>
      <c r="M190" s="4" t="str">
        <f>IF($I190="Complete","Green",IF($H190="","Amber",IF($H190&lt;'[2]Read Me'!$B$4,"Red",IF($H190-'[2]Read Me'!$B$4&lt;=21,"Amber","Green"))))</f>
        <v>Green</v>
      </c>
      <c r="N190" s="3"/>
      <c r="O190" t="str">
        <f>IF($I190&lt;&gt;"Complete",IF(COUNTIFS($A$4:$A189,$A190,$B$4:$B189,$B190,$I$4:$I189,"&lt;&gt;Complete")=0,$A190&amp;"|"&amp;$B190,""),"")</f>
        <v/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 t="s">
        <v>722</v>
      </c>
      <c r="B191" s="2" t="s">
        <v>62</v>
      </c>
      <c r="C191" s="3" t="s">
        <v>722</v>
      </c>
      <c r="D191" s="3" t="s">
        <v>20</v>
      </c>
      <c r="E191" s="2" t="s">
        <v>667</v>
      </c>
      <c r="F191" s="2" t="s">
        <v>81</v>
      </c>
      <c r="G191" s="5">
        <v>46329</v>
      </c>
      <c r="H191" s="5">
        <v>46370</v>
      </c>
      <c r="I191" s="4" t="s">
        <v>17</v>
      </c>
      <c r="J191" s="6">
        <f t="shared" si="7"/>
        <v>41</v>
      </c>
      <c r="K191" s="4" t="str">
        <f t="shared" ca="1" si="8"/>
        <v>No</v>
      </c>
      <c r="L191" s="7">
        <f>IF($H191="","",$H191-'[2]Read Me'!$B$4)</f>
        <v>183</v>
      </c>
      <c r="M191" s="4" t="str">
        <f>IF($I191="Complete","Green",IF($H191="","Amber",IF($H191&lt;'[2]Read Me'!$B$4,"Red",IF($H191-'[2]Read Me'!$B$4&lt;=21,"Amber","Green"))))</f>
        <v>Green</v>
      </c>
      <c r="N191" s="3"/>
      <c r="O191" t="str">
        <f>IF($I191&lt;&gt;"Complete",IF(COUNTIFS($A$4:$A190,$A191,$B$4:$B190,$B191,$I$4:$I190,"&lt;&gt;Complete")=0,$A191&amp;"|"&amp;$B191,""),"")</f>
        <v/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 t="s">
        <v>722</v>
      </c>
      <c r="B192" s="2" t="s">
        <v>62</v>
      </c>
      <c r="C192" s="3" t="s">
        <v>722</v>
      </c>
      <c r="D192" s="3" t="s">
        <v>83</v>
      </c>
      <c r="E192" s="2" t="s">
        <v>664</v>
      </c>
      <c r="F192" s="2"/>
      <c r="G192" s="5">
        <v>46336</v>
      </c>
      <c r="H192" s="5">
        <v>46377</v>
      </c>
      <c r="I192" s="4" t="s">
        <v>17</v>
      </c>
      <c r="J192" s="6">
        <f t="shared" si="7"/>
        <v>41</v>
      </c>
      <c r="K192" s="4" t="str">
        <f t="shared" ca="1" si="8"/>
        <v>No</v>
      </c>
      <c r="L192" s="7">
        <f>IF($H192="","",$H192-'[2]Read Me'!$B$4)</f>
        <v>190</v>
      </c>
      <c r="M192" s="4" t="str">
        <f>IF($I192="Complete","Green",IF($H192="","Amber",IF($H192&lt;'[2]Read Me'!$B$4,"Red",IF($H192-'[2]Read Me'!$B$4&lt;=21,"Amber","Green"))))</f>
        <v>Green</v>
      </c>
      <c r="N192" s="3"/>
      <c r="O192" t="str">
        <f>IF($I192&lt;&gt;"Complete",IF(COUNTIFS($A$4:$A191,$A192,$B$4:$B191,$B192,$I$4:$I191,"&lt;&gt;Complete")=0,$A192&amp;"|"&amp;$B192,""),"")</f>
        <v/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 t="s">
        <v>722</v>
      </c>
      <c r="B193" s="2" t="s">
        <v>62</v>
      </c>
      <c r="C193" s="3" t="s">
        <v>722</v>
      </c>
      <c r="D193" s="3" t="s">
        <v>16</v>
      </c>
      <c r="E193" s="2" t="s">
        <v>664</v>
      </c>
      <c r="F193" s="2"/>
      <c r="G193" s="5">
        <v>46336</v>
      </c>
      <c r="H193" s="5">
        <v>46377</v>
      </c>
      <c r="I193" s="4" t="s">
        <v>17</v>
      </c>
      <c r="J193" s="6">
        <f t="shared" si="7"/>
        <v>41</v>
      </c>
      <c r="K193" s="4" t="str">
        <f t="shared" ca="1" si="8"/>
        <v>No</v>
      </c>
      <c r="L193" s="7">
        <f>IF($H193="","",$H193-'[2]Read Me'!$B$4)</f>
        <v>190</v>
      </c>
      <c r="M193" s="4" t="str">
        <f>IF($I193="Complete","Green",IF($H193="","Amber",IF($H193&lt;'[2]Read Me'!$B$4,"Red",IF($H193-'[2]Read Me'!$B$4&lt;=21,"Amber","Green"))))</f>
        <v>Green</v>
      </c>
      <c r="N193" s="3"/>
      <c r="O193" t="str">
        <f>IF($I193&lt;&gt;"Complete",IF(COUNTIFS($A$4:$A192,$A193,$B$4:$B192,$B193,$I$4:$I192,"&lt;&gt;Complete")=0,$A193&amp;"|"&amp;$B193,""),"")</f>
        <v/>
      </c>
      <c r="P193" t="str">
        <f ca="1">IF($K193="Yes",COUNTIFS($K$4:$K193,"Yes"),"")</f>
        <v/>
      </c>
      <c r="Q193">
        <f t="shared" ca="1" si="9"/>
        <v>0</v>
      </c>
      <c r="R193" t="str">
        <f ca="1">IF($Q193=1,SUM($Q$4:$Q193),"")</f>
        <v/>
      </c>
    </row>
    <row r="194" spans="1:18" ht="33.75" customHeight="1" x14ac:dyDescent="0.3">
      <c r="A194" s="2" t="s">
        <v>722</v>
      </c>
      <c r="B194" s="2" t="s">
        <v>62</v>
      </c>
      <c r="C194" s="3" t="s">
        <v>722</v>
      </c>
      <c r="D194" s="3" t="s">
        <v>37</v>
      </c>
      <c r="E194" s="2" t="s">
        <v>664</v>
      </c>
      <c r="F194" s="2"/>
      <c r="G194" s="5">
        <v>46350</v>
      </c>
      <c r="H194" s="5">
        <v>46391</v>
      </c>
      <c r="I194" s="4" t="s">
        <v>17</v>
      </c>
      <c r="J194" s="6">
        <f t="shared" si="7"/>
        <v>41</v>
      </c>
      <c r="K194" s="4" t="str">
        <f t="shared" ca="1" si="8"/>
        <v>No</v>
      </c>
      <c r="L194" s="7">
        <f>IF($H194="","",$H194-'[2]Read Me'!$B$4)</f>
        <v>204</v>
      </c>
      <c r="M194" s="4" t="str">
        <f>IF($I194="Complete","Green",IF($H194="","Amber",IF($H194&lt;'[2]Read Me'!$B$4,"Red",IF($H194-'[2]Read Me'!$B$4&lt;=21,"Amber","Green"))))</f>
        <v>Green</v>
      </c>
      <c r="N194" s="3"/>
      <c r="O194" t="str">
        <f>IF($I194&lt;&gt;"Complete",IF(COUNTIFS($A$4:$A193,$A194,$B$4:$B193,$B194,$I$4:$I193,"&lt;&gt;Complete")=0,$A194&amp;"|"&amp;$B194,""),"")</f>
        <v/>
      </c>
      <c r="P194" t="str">
        <f ca="1">IF($K194="Yes",COUNTIFS($K$4:$K194,"Yes"),"")</f>
        <v/>
      </c>
      <c r="Q194">
        <f t="shared" ca="1" si="9"/>
        <v>0</v>
      </c>
      <c r="R194" t="str">
        <f ca="1">IF($Q194=1,SUM($Q$4:$Q194),"")</f>
        <v/>
      </c>
    </row>
    <row r="195" spans="1:18" ht="33.75" customHeight="1" x14ac:dyDescent="0.3">
      <c r="A195" s="2" t="s">
        <v>739</v>
      </c>
      <c r="B195" s="2" t="s">
        <v>49</v>
      </c>
      <c r="C195" s="3"/>
      <c r="D195" s="3"/>
      <c r="E195" s="2"/>
      <c r="F195" s="2"/>
      <c r="G195" s="5">
        <v>46462</v>
      </c>
      <c r="H195" s="5">
        <v>46441</v>
      </c>
      <c r="I195" s="4"/>
      <c r="J195" s="6">
        <f t="shared" si="7"/>
        <v>-21</v>
      </c>
      <c r="K195" s="4" t="str">
        <f t="shared" ca="1" si="8"/>
        <v/>
      </c>
      <c r="L195" s="7">
        <f>IF($H195="","",$H195-'[2]Read Me'!$B$4)</f>
        <v>254</v>
      </c>
      <c r="M195" s="4" t="str">
        <f>IF($I195="Complete","Green",IF($H195="","Amber",IF($H195&lt;'[2]Read Me'!$B$4,"Red",IF($H195-'[2]Read Me'!$B$4&lt;=21,"Amber","Green"))))</f>
        <v>Green</v>
      </c>
      <c r="N195" s="3"/>
      <c r="O195" t="str">
        <f>IF($I195&lt;&gt;"Complete",IF(COUNTIFS($A$4:$A194,$A195,$B$4:$B194,$B195,$I$4:$I194,"&lt;&gt;Complete")=0,$A195&amp;"|"&amp;$B195,""),"")</f>
        <v>Authorities -Cabannas|Authorities</v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 t="s">
        <v>739</v>
      </c>
      <c r="B196" s="2" t="s">
        <v>49</v>
      </c>
      <c r="C196" s="3" t="s">
        <v>739</v>
      </c>
      <c r="D196" s="3" t="s">
        <v>740</v>
      </c>
      <c r="E196" s="2" t="s">
        <v>104</v>
      </c>
      <c r="F196" s="2"/>
      <c r="G196" s="5">
        <v>46306</v>
      </c>
      <c r="H196" s="5">
        <v>46315</v>
      </c>
      <c r="I196" s="4" t="s">
        <v>17</v>
      </c>
      <c r="J196" s="6">
        <f t="shared" ref="J196:J259" si="10">IF(OR($G196="",$H196=""),"",$H196-$G196)</f>
        <v>9</v>
      </c>
      <c r="K196" s="4" t="str">
        <f t="shared" ref="K196:K243" ca="1" si="11">IF(C196="","",IF(H196="","",IF($I196="completed","-",IF($H196&gt;TODAY(),"No","Yes"))))</f>
        <v>No</v>
      </c>
      <c r="L196" s="7">
        <f>IF($H196="","",$H196-'[2]Read Me'!$B$4)</f>
        <v>128</v>
      </c>
      <c r="M196" s="4" t="str">
        <f>IF($I196="Complete","Green",IF($H196="","Amber",IF($H196&lt;'[2]Read Me'!$B$4,"Red",IF($H196-'[2]Read Me'!$B$4&lt;=21,"Amber","Green"))))</f>
        <v>Green</v>
      </c>
      <c r="N196" s="3"/>
      <c r="O196" t="str">
        <f>IF($I196&lt;&gt;"Complete",IF(COUNTIFS($A$4:$A195,$A196,$B$4:$B195,$B196,$I$4:$I195,"&lt;&gt;Complete")=0,$A196&amp;"|"&amp;$B196,""),"")</f>
        <v/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 t="s">
        <v>739</v>
      </c>
      <c r="B197" s="2" t="s">
        <v>49</v>
      </c>
      <c r="C197" s="3" t="s">
        <v>739</v>
      </c>
      <c r="D197" s="3" t="s">
        <v>741</v>
      </c>
      <c r="E197" s="2" t="s">
        <v>104</v>
      </c>
      <c r="F197" s="2"/>
      <c r="G197" s="5">
        <v>46392</v>
      </c>
      <c r="H197" s="5">
        <v>46371</v>
      </c>
      <c r="I197" s="4" t="s">
        <v>17</v>
      </c>
      <c r="J197" s="6">
        <f t="shared" si="10"/>
        <v>-21</v>
      </c>
      <c r="K197" s="4" t="str">
        <f t="shared" ca="1" si="11"/>
        <v>No</v>
      </c>
      <c r="L197" s="7">
        <f>IF($H197="","",$H197-'[2]Read Me'!$B$4)</f>
        <v>184</v>
      </c>
      <c r="M197" s="4" t="str">
        <f>IF($I197="Complete","Green",IF($H197="","Amber",IF($H197&lt;'[2]Read Me'!$B$4,"Red",IF($H197-'[2]Read Me'!$B$4&lt;=21,"Amber","Green"))))</f>
        <v>Green</v>
      </c>
      <c r="N197" s="3"/>
      <c r="O197" t="str">
        <f>IF($I197&lt;&gt;"Complete",IF(COUNTIFS($A$4:$A196,$A197,$B$4:$B196,$B197,$I$4:$I196,"&lt;&gt;Complete")=0,$A197&amp;"|"&amp;$B197,""),"")</f>
        <v/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 t="s">
        <v>739</v>
      </c>
      <c r="B198" s="2" t="s">
        <v>49</v>
      </c>
      <c r="C198" s="3" t="s">
        <v>739</v>
      </c>
      <c r="D198" s="3" t="s">
        <v>742</v>
      </c>
      <c r="E198" s="2" t="s">
        <v>104</v>
      </c>
      <c r="F198" s="2"/>
      <c r="G198" s="5">
        <v>46420</v>
      </c>
      <c r="H198" s="5">
        <v>46399</v>
      </c>
      <c r="I198" s="4" t="s">
        <v>17</v>
      </c>
      <c r="J198" s="6">
        <f t="shared" si="10"/>
        <v>-21</v>
      </c>
      <c r="K198" s="4" t="str">
        <f t="shared" ca="1" si="11"/>
        <v>No</v>
      </c>
      <c r="L198" s="7">
        <f>IF($H198="","",$H198-'[2]Read Me'!$B$4)</f>
        <v>212</v>
      </c>
      <c r="M198" s="4" t="str">
        <f>IF($I198="Complete","Green",IF($H198="","Amber",IF($H198&lt;'[2]Read Me'!$B$4,"Red",IF($H198-'[2]Read Me'!$B$4&lt;=21,"Amber","Green"))))</f>
        <v>Green</v>
      </c>
      <c r="N198" s="3"/>
      <c r="O198" t="str">
        <f>IF($I198&lt;&gt;"Complete",IF(COUNTIFS($A$4:$A197,$A198,$B$4:$B197,$B198,$I$4:$I197,"&lt;&gt;Complete")=0,$A198&amp;"|"&amp;$B198,""),"")</f>
        <v/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 t="s">
        <v>739</v>
      </c>
      <c r="B199" s="2" t="s">
        <v>49</v>
      </c>
      <c r="C199" s="3" t="s">
        <v>739</v>
      </c>
      <c r="D199" s="3" t="s">
        <v>743</v>
      </c>
      <c r="E199" s="2" t="s">
        <v>104</v>
      </c>
      <c r="F199" s="2"/>
      <c r="G199" s="5">
        <v>46462</v>
      </c>
      <c r="H199" s="5">
        <v>46441</v>
      </c>
      <c r="I199" s="4" t="s">
        <v>17</v>
      </c>
      <c r="J199" s="6">
        <f t="shared" si="10"/>
        <v>-21</v>
      </c>
      <c r="K199" s="4" t="str">
        <f t="shared" ca="1" si="11"/>
        <v>No</v>
      </c>
      <c r="L199" s="7">
        <f>IF($H199="","",$H199-'[2]Read Me'!$B$4)</f>
        <v>254</v>
      </c>
      <c r="M199" s="4" t="str">
        <f>IF($I199="Complete","Green",IF($H199="","Amber",IF($H199&lt;'[2]Read Me'!$B$4,"Red",IF($H199-'[2]Read Me'!$B$4&lt;=21,"Amber","Green"))))</f>
        <v>Green</v>
      </c>
      <c r="N199" s="3"/>
      <c r="O199" t="str">
        <f>IF($I199&lt;&gt;"Complete",IF(COUNTIFS($A$4:$A198,$A199,$B$4:$B198,$B199,$I$4:$I198,"&lt;&gt;Complete")=0,$A199&amp;"|"&amp;$B199,""),"")</f>
        <v/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 t="s">
        <v>744</v>
      </c>
      <c r="B200" s="2" t="s">
        <v>744</v>
      </c>
      <c r="C200" s="3"/>
      <c r="D200" s="3"/>
      <c r="E200" s="2"/>
      <c r="F200" s="2"/>
      <c r="G200" s="5">
        <v>46531</v>
      </c>
      <c r="H200" s="5">
        <v>46531</v>
      </c>
      <c r="I200" s="4"/>
      <c r="J200" s="6">
        <f t="shared" si="10"/>
        <v>0</v>
      </c>
      <c r="K200" s="4" t="str">
        <f t="shared" ca="1" si="11"/>
        <v/>
      </c>
      <c r="L200" s="7">
        <f>IF($H200="","",$H200-'[2]Read Me'!$B$4)</f>
        <v>344</v>
      </c>
      <c r="M200" s="4" t="str">
        <f>IF($I200="Complete","Green",IF($H200="","Amber",IF($H200&lt;'[2]Read Me'!$B$4,"Red",IF($H200-'[2]Read Me'!$B$4&lt;=21,"Amber","Green"))))</f>
        <v>Green</v>
      </c>
      <c r="N200" s="3"/>
      <c r="O200" t="str">
        <f>IF($I200&lt;&gt;"Complete",IF(COUNTIFS($A$4:$A199,$A200,$B$4:$B199,$B200,$I$4:$I199,"&lt;&gt;Complete")=0,$A200&amp;"|"&amp;$B200,""),"")</f>
        <v>Lagoon|Lagoon</v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/>
      <c r="B201" s="2"/>
      <c r="C201" s="3" t="s">
        <v>744</v>
      </c>
      <c r="D201" s="3" t="s">
        <v>745</v>
      </c>
      <c r="E201" s="2"/>
      <c r="F201" s="2"/>
      <c r="G201" s="5"/>
      <c r="H201" s="5"/>
      <c r="I201" s="4" t="s">
        <v>17</v>
      </c>
      <c r="J201" s="6" t="str">
        <f t="shared" si="10"/>
        <v/>
      </c>
      <c r="K201" s="4" t="str">
        <f t="shared" ca="1" si="11"/>
        <v/>
      </c>
      <c r="L201" s="7" t="str">
        <f>IF($H201="","",$H201-'[2]Read Me'!$B$4)</f>
        <v/>
      </c>
      <c r="M201" s="4" t="str">
        <f>IF($I201="Complete","Green",IF($H201="","Amber",IF($H201&lt;'[2]Read Me'!$B$4,"Red",IF($H201-'[2]Read Me'!$B$4&lt;=21,"Amber","Green"))))</f>
        <v>Amber</v>
      </c>
      <c r="N201" s="3"/>
      <c r="O201" t="str">
        <f>IF($I201&lt;&gt;"Complete",IF(COUNTIFS($A$4:$A200,$A201,$B$4:$B200,$B201,$I$4:$I200,"&lt;&gt;Complete")=0,$A201&amp;"|"&amp;$B201,""),"")</f>
        <v>|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/>
      <c r="B202" s="2"/>
      <c r="C202" s="3" t="s">
        <v>744</v>
      </c>
      <c r="D202" s="3" t="s">
        <v>600</v>
      </c>
      <c r="E202" s="2"/>
      <c r="F202" s="2"/>
      <c r="G202" s="5"/>
      <c r="H202" s="5"/>
      <c r="I202" s="4" t="s">
        <v>17</v>
      </c>
      <c r="J202" s="6" t="str">
        <f t="shared" si="10"/>
        <v/>
      </c>
      <c r="K202" s="4" t="str">
        <f t="shared" ca="1" si="11"/>
        <v/>
      </c>
      <c r="L202" s="7" t="str">
        <f>IF($H202="","",$H202-'[2]Read Me'!$B$4)</f>
        <v/>
      </c>
      <c r="M202" s="4" t="str">
        <f>IF($I202="Complete","Green",IF($H202="","Amber",IF($H202&lt;'[2]Read Me'!$B$4,"Red",IF($H202-'[2]Read Me'!$B$4&lt;=21,"Amber","Green"))))</f>
        <v>Amber</v>
      </c>
      <c r="N202" s="3"/>
      <c r="O202" t="str">
        <f>IF($I202&lt;&gt;"Complete",IF(COUNTIFS($A$4:$A201,$A202,$B$4:$B201,$B202,$I$4:$I201,"&lt;&gt;Complete")=0,$A202&amp;"|"&amp;$B202,""),"")</f>
        <v>|</v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 t="s">
        <v>744</v>
      </c>
      <c r="B203" s="2" t="s">
        <v>744</v>
      </c>
      <c r="C203" s="3" t="s">
        <v>744</v>
      </c>
      <c r="D203" s="3" t="s">
        <v>746</v>
      </c>
      <c r="E203" s="2" t="s">
        <v>215</v>
      </c>
      <c r="F203" s="2"/>
      <c r="G203" s="5">
        <v>46377</v>
      </c>
      <c r="H203" s="5">
        <v>46377</v>
      </c>
      <c r="I203" s="4" t="s">
        <v>17</v>
      </c>
      <c r="J203" s="6">
        <f t="shared" si="10"/>
        <v>0</v>
      </c>
      <c r="K203" s="4" t="str">
        <f t="shared" ca="1" si="11"/>
        <v>No</v>
      </c>
      <c r="L203" s="7">
        <f>IF($H203="","",$H203-'[2]Read Me'!$B$4)</f>
        <v>190</v>
      </c>
      <c r="M203" s="4" t="str">
        <f>IF($I203="Complete","Green",IF($H203="","Amber",IF($H203&lt;'[2]Read Me'!$B$4,"Red",IF($H203-'[2]Read Me'!$B$4&lt;=21,"Amber","Green"))))</f>
        <v>Green</v>
      </c>
      <c r="N203" s="3"/>
      <c r="O203" t="str">
        <f>IF($I203&lt;&gt;"Complete",IF(COUNTIFS($A$4:$A202,$A203,$B$4:$B202,$B203,$I$4:$I202,"&lt;&gt;Complete")=0,$A203&amp;"|"&amp;$B203,""),"")</f>
        <v/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 t="s">
        <v>744</v>
      </c>
      <c r="B204" s="2" t="s">
        <v>744</v>
      </c>
      <c r="C204" s="3" t="s">
        <v>744</v>
      </c>
      <c r="D204" s="3" t="s">
        <v>747</v>
      </c>
      <c r="E204" s="2" t="s">
        <v>215</v>
      </c>
      <c r="F204" s="2"/>
      <c r="G204" s="5">
        <v>46405</v>
      </c>
      <c r="H204" s="5">
        <v>46405</v>
      </c>
      <c r="I204" s="4" t="s">
        <v>17</v>
      </c>
      <c r="J204" s="6">
        <f t="shared" si="10"/>
        <v>0</v>
      </c>
      <c r="K204" s="4" t="str">
        <f t="shared" ca="1" si="11"/>
        <v>No</v>
      </c>
      <c r="L204" s="7">
        <f>IF($H204="","",$H204-'[2]Read Me'!$B$4)</f>
        <v>218</v>
      </c>
      <c r="M204" s="4" t="str">
        <f>IF($I204="Complete","Green",IF($H204="","Amber",IF($H204&lt;'[2]Read Me'!$B$4,"Red",IF($H204-'[2]Read Me'!$B$4&lt;=21,"Amber","Green"))))</f>
        <v>Green</v>
      </c>
      <c r="N204" s="3"/>
      <c r="O204" t="str">
        <f>IF($I204&lt;&gt;"Complete",IF(COUNTIFS($A$4:$A203,$A204,$B$4:$B203,$B204,$I$4:$I203,"&lt;&gt;Complete")=0,$A204&amp;"|"&amp;$B204,""),"")</f>
        <v/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 t="s">
        <v>744</v>
      </c>
      <c r="B205" s="2" t="s">
        <v>744</v>
      </c>
      <c r="C205" s="3" t="s">
        <v>744</v>
      </c>
      <c r="D205" s="3" t="s">
        <v>32</v>
      </c>
      <c r="E205" s="2" t="s">
        <v>215</v>
      </c>
      <c r="F205" s="2"/>
      <c r="G205" s="5">
        <v>46412</v>
      </c>
      <c r="H205" s="5">
        <v>46412</v>
      </c>
      <c r="I205" s="4" t="s">
        <v>17</v>
      </c>
      <c r="J205" s="6">
        <f t="shared" si="10"/>
        <v>0</v>
      </c>
      <c r="K205" s="4" t="str">
        <f t="shared" ca="1" si="11"/>
        <v>No</v>
      </c>
      <c r="L205" s="7">
        <f>IF($H205="","",$H205-'[2]Read Me'!$B$4)</f>
        <v>225</v>
      </c>
      <c r="M205" s="4" t="str">
        <f>IF($I205="Complete","Green",IF($H205="","Amber",IF($H205&lt;'[2]Read Me'!$B$4,"Red",IF($H205-'[2]Read Me'!$B$4&lt;=21,"Amber","Green"))))</f>
        <v>Green</v>
      </c>
      <c r="N205" s="3"/>
      <c r="O205" t="str">
        <f>IF($I205&lt;&gt;"Complete",IF(COUNTIFS($A$4:$A204,$A205,$B$4:$B204,$B205,$I$4:$I204,"&lt;&gt;Complete")=0,$A205&amp;"|"&amp;$B205,""),"")</f>
        <v/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 t="s">
        <v>744</v>
      </c>
      <c r="B206" s="2" t="s">
        <v>744</v>
      </c>
      <c r="C206" s="3" t="s">
        <v>744</v>
      </c>
      <c r="D206" s="3" t="s">
        <v>14</v>
      </c>
      <c r="E206" s="2" t="s">
        <v>215</v>
      </c>
      <c r="F206" s="2"/>
      <c r="G206" s="5">
        <v>46440</v>
      </c>
      <c r="H206" s="5">
        <v>46440</v>
      </c>
      <c r="I206" s="4" t="s">
        <v>17</v>
      </c>
      <c r="J206" s="6">
        <f t="shared" si="10"/>
        <v>0</v>
      </c>
      <c r="K206" s="4" t="str">
        <f t="shared" ca="1" si="11"/>
        <v>No</v>
      </c>
      <c r="L206" s="7">
        <f>IF($H206="","",$H206-'[2]Read Me'!$B$4)</f>
        <v>253</v>
      </c>
      <c r="M206" s="4" t="str">
        <f>IF($I206="Complete","Green",IF($H206="","Amber",IF($H206&lt;'[2]Read Me'!$B$4,"Red",IF($H206-'[2]Read Me'!$B$4&lt;=21,"Amber","Green"))))</f>
        <v>Green</v>
      </c>
      <c r="N206" s="3"/>
      <c r="O206" t="str">
        <f>IF($I206&lt;&gt;"Complete",IF(COUNTIFS($A$4:$A205,$A206,$B$4:$B205,$B206,$I$4:$I205,"&lt;&gt;Complete")=0,$A206&amp;"|"&amp;$B206,""),"")</f>
        <v/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 t="s">
        <v>744</v>
      </c>
      <c r="B207" s="2" t="s">
        <v>744</v>
      </c>
      <c r="C207" s="3" t="s">
        <v>744</v>
      </c>
      <c r="D207" s="3" t="s">
        <v>34</v>
      </c>
      <c r="E207" s="2" t="s">
        <v>215</v>
      </c>
      <c r="F207" s="2"/>
      <c r="G207" s="5">
        <v>46454</v>
      </c>
      <c r="H207" s="5">
        <v>46454</v>
      </c>
      <c r="I207" s="4" t="s">
        <v>17</v>
      </c>
      <c r="J207" s="6">
        <f t="shared" si="10"/>
        <v>0</v>
      </c>
      <c r="K207" s="4" t="str">
        <f t="shared" ca="1" si="11"/>
        <v>No</v>
      </c>
      <c r="L207" s="7">
        <f>IF($H207="","",$H207-'[2]Read Me'!$B$4)</f>
        <v>267</v>
      </c>
      <c r="M207" s="4" t="str">
        <f>IF($I207="Complete","Green",IF($H207="","Amber",IF($H207&lt;'[2]Read Me'!$B$4,"Red",IF($H207-'[2]Read Me'!$B$4&lt;=21,"Amber","Green"))))</f>
        <v>Green</v>
      </c>
      <c r="N207" s="3"/>
      <c r="O207" t="str">
        <f>IF($I207&lt;&gt;"Complete",IF(COUNTIFS($A$4:$A206,$A207,$B$4:$B206,$B207,$I$4:$I206,"&lt;&gt;Complete")=0,$A207&amp;"|"&amp;$B207,""),"")</f>
        <v/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 t="s">
        <v>744</v>
      </c>
      <c r="B208" s="2" t="s">
        <v>744</v>
      </c>
      <c r="C208" s="3" t="s">
        <v>744</v>
      </c>
      <c r="D208" s="3" t="s">
        <v>15</v>
      </c>
      <c r="E208" s="2" t="s">
        <v>215</v>
      </c>
      <c r="F208" s="2"/>
      <c r="G208" s="5">
        <v>46482</v>
      </c>
      <c r="H208" s="5">
        <v>46482</v>
      </c>
      <c r="I208" s="4" t="s">
        <v>17</v>
      </c>
      <c r="J208" s="6">
        <f t="shared" si="10"/>
        <v>0</v>
      </c>
      <c r="K208" s="4" t="str">
        <f t="shared" ca="1" si="11"/>
        <v>No</v>
      </c>
      <c r="L208" s="7">
        <f>IF($H208="","",$H208-'[2]Read Me'!$B$4)</f>
        <v>295</v>
      </c>
      <c r="M208" s="4" t="str">
        <f>IF($I208="Complete","Green",IF($H208="","Amber",IF($H208&lt;'[2]Read Me'!$B$4,"Red",IF($H208-'[2]Read Me'!$B$4&lt;=21,"Amber","Green"))))</f>
        <v>Green</v>
      </c>
      <c r="N208" s="3"/>
      <c r="O208" t="str">
        <f>IF($I208&lt;&gt;"Complete",IF(COUNTIFS($A$4:$A207,$A208,$B$4:$B207,$B208,$I$4:$I207,"&lt;&gt;Complete")=0,$A208&amp;"|"&amp;$B208,""),"")</f>
        <v/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 t="s">
        <v>744</v>
      </c>
      <c r="B209" s="2" t="s">
        <v>744</v>
      </c>
      <c r="C209" s="3" t="s">
        <v>744</v>
      </c>
      <c r="D209" s="3" t="s">
        <v>35</v>
      </c>
      <c r="E209" s="2" t="s">
        <v>215</v>
      </c>
      <c r="F209" s="2"/>
      <c r="G209" s="5">
        <v>46496</v>
      </c>
      <c r="H209" s="5">
        <v>46496</v>
      </c>
      <c r="I209" s="4" t="s">
        <v>17</v>
      </c>
      <c r="J209" s="6">
        <f t="shared" si="10"/>
        <v>0</v>
      </c>
      <c r="K209" s="4" t="str">
        <f t="shared" ca="1" si="11"/>
        <v>No</v>
      </c>
      <c r="L209" s="7">
        <f>IF($H209="","",$H209-'[2]Read Me'!$B$4)</f>
        <v>309</v>
      </c>
      <c r="M209" s="4" t="str">
        <f>IF($I209="Complete","Green",IF($H209="","Amber",IF($H209&lt;'[2]Read Me'!$B$4,"Red",IF($H209-'[2]Read Me'!$B$4&lt;=21,"Amber","Green"))))</f>
        <v>Green</v>
      </c>
      <c r="N209" s="3"/>
      <c r="O209" t="str">
        <f>IF($I209&lt;&gt;"Complete",IF(COUNTIFS($A$4:$A208,$A209,$B$4:$B208,$B209,$I$4:$I208,"&lt;&gt;Complete")=0,$A209&amp;"|"&amp;$B209,""),"")</f>
        <v/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 t="s">
        <v>744</v>
      </c>
      <c r="B210" s="2" t="s">
        <v>744</v>
      </c>
      <c r="C210" s="3" t="s">
        <v>744</v>
      </c>
      <c r="D210" s="3" t="s">
        <v>20</v>
      </c>
      <c r="E210" s="2" t="s">
        <v>667</v>
      </c>
      <c r="F210" s="2" t="s">
        <v>81</v>
      </c>
      <c r="G210" s="5">
        <v>46503</v>
      </c>
      <c r="H210" s="5">
        <v>46503</v>
      </c>
      <c r="I210" s="4" t="s">
        <v>17</v>
      </c>
      <c r="J210" s="6">
        <f t="shared" si="10"/>
        <v>0</v>
      </c>
      <c r="K210" s="4" t="str">
        <f t="shared" ca="1" si="11"/>
        <v>No</v>
      </c>
      <c r="L210" s="7">
        <f>IF($H210="","",$H210-'[2]Read Me'!$B$4)</f>
        <v>316</v>
      </c>
      <c r="M210" s="4" t="str">
        <f>IF($I210="Complete","Green",IF($H210="","Amber",IF($H210&lt;'[2]Read Me'!$B$4,"Red",IF($H210-'[2]Read Me'!$B$4&lt;=21,"Amber","Green"))))</f>
        <v>Green</v>
      </c>
      <c r="N210" s="3"/>
      <c r="O210" t="str">
        <f>IF($I210&lt;&gt;"Complete",IF(COUNTIFS($A$4:$A209,$A210,$B$4:$B209,$B210,$I$4:$I209,"&lt;&gt;Complete")=0,$A210&amp;"|"&amp;$B210,""),"")</f>
        <v/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 t="s">
        <v>744</v>
      </c>
      <c r="B211" s="2" t="s">
        <v>744</v>
      </c>
      <c r="C211" s="3" t="s">
        <v>744</v>
      </c>
      <c r="D211" s="3" t="s">
        <v>16</v>
      </c>
      <c r="E211" s="2" t="s">
        <v>215</v>
      </c>
      <c r="F211" s="2"/>
      <c r="G211" s="5">
        <v>46517</v>
      </c>
      <c r="H211" s="5">
        <v>46517</v>
      </c>
      <c r="I211" s="4" t="s">
        <v>17</v>
      </c>
      <c r="J211" s="6">
        <f t="shared" si="10"/>
        <v>0</v>
      </c>
      <c r="K211" s="4" t="str">
        <f t="shared" ca="1" si="11"/>
        <v>No</v>
      </c>
      <c r="L211" s="7">
        <f>IF($H211="","",$H211-'[2]Read Me'!$B$4)</f>
        <v>330</v>
      </c>
      <c r="M211" s="4" t="str">
        <f>IF($I211="Complete","Green",IF($H211="","Amber",IF($H211&lt;'[2]Read Me'!$B$4,"Red",IF($H211-'[2]Read Me'!$B$4&lt;=21,"Amber","Green"))))</f>
        <v>Green</v>
      </c>
      <c r="N211" s="3"/>
      <c r="O211" t="str">
        <f>IF($I211&lt;&gt;"Complete",IF(COUNTIFS($A$4:$A210,$A211,$B$4:$B210,$B211,$I$4:$I210,"&lt;&gt;Complete")=0,$A211&amp;"|"&amp;$B211,""),"")</f>
        <v/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 t="s">
        <v>744</v>
      </c>
      <c r="B212" s="2" t="s">
        <v>744</v>
      </c>
      <c r="C212" s="3" t="s">
        <v>744</v>
      </c>
      <c r="D212" s="3" t="s">
        <v>37</v>
      </c>
      <c r="E212" s="2" t="s">
        <v>215</v>
      </c>
      <c r="F212" s="2"/>
      <c r="G212" s="5">
        <v>46531</v>
      </c>
      <c r="H212" s="5">
        <v>46531</v>
      </c>
      <c r="I212" s="4" t="s">
        <v>17</v>
      </c>
      <c r="J212" s="6">
        <f t="shared" si="10"/>
        <v>0</v>
      </c>
      <c r="K212" s="4" t="str">
        <f t="shared" ca="1" si="11"/>
        <v>No</v>
      </c>
      <c r="L212" s="7">
        <f>IF($H212="","",$H212-'[2]Read Me'!$B$4)</f>
        <v>344</v>
      </c>
      <c r="M212" s="4" t="str">
        <f>IF($I212="Complete","Green",IF($H212="","Amber",IF($H212&lt;'[2]Read Me'!$B$4,"Red",IF($H212-'[2]Read Me'!$B$4&lt;=21,"Amber","Green"))))</f>
        <v>Green</v>
      </c>
      <c r="N212" s="3"/>
      <c r="O212" t="str">
        <f>IF($I212&lt;&gt;"Complete",IF(COUNTIFS($A$4:$A211,$A212,$B$4:$B211,$B212,$I$4:$I211,"&lt;&gt;Complete")=0,$A212&amp;"|"&amp;$B212,""),"")</f>
        <v/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 t="s">
        <v>320</v>
      </c>
      <c r="B213" s="2" t="s">
        <v>62</v>
      </c>
      <c r="C213" s="3"/>
      <c r="D213" s="3"/>
      <c r="E213" s="2"/>
      <c r="F213" s="2"/>
      <c r="G213" s="5">
        <v>46433</v>
      </c>
      <c r="H213" s="5">
        <v>46497</v>
      </c>
      <c r="I213" s="4"/>
      <c r="J213" s="6">
        <f t="shared" si="10"/>
        <v>64</v>
      </c>
      <c r="K213" s="4" t="str">
        <f t="shared" ca="1" si="11"/>
        <v/>
      </c>
      <c r="L213" s="7">
        <f>IF($H213="","",$H213-'[2]Read Me'!$B$4)</f>
        <v>310</v>
      </c>
      <c r="M213" s="4" t="str">
        <f>IF($I213="Complete","Green",IF($H213="","Amber",IF($H213&lt;'[2]Read Me'!$B$4,"Red",IF($H213-'[2]Read Me'!$B$4&lt;=21,"Amber","Green"))))</f>
        <v>Green</v>
      </c>
      <c r="N213" s="3"/>
      <c r="O213" t="str">
        <f>IF($I213&lt;&gt;"Complete",IF(COUNTIFS($A$4:$A212,$A213,$B$4:$B212,$B213,$I$4:$I212,"&lt;&gt;Complete")=0,$A213&amp;"|"&amp;$B213,""),"")</f>
        <v>Hotel|Buildings</v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 t="s">
        <v>320</v>
      </c>
      <c r="B214" s="2" t="s">
        <v>62</v>
      </c>
      <c r="C214" s="3" t="s">
        <v>320</v>
      </c>
      <c r="D214" s="3" t="s">
        <v>748</v>
      </c>
      <c r="E214" s="2" t="s">
        <v>749</v>
      </c>
      <c r="F214" s="2" t="s">
        <v>750</v>
      </c>
      <c r="G214" s="5">
        <v>46096</v>
      </c>
      <c r="H214" s="5">
        <v>46096</v>
      </c>
      <c r="I214" s="4" t="s">
        <v>31</v>
      </c>
      <c r="J214" s="6">
        <f t="shared" si="10"/>
        <v>0</v>
      </c>
      <c r="K214" s="4" t="str">
        <f t="shared" ca="1" si="11"/>
        <v>-</v>
      </c>
      <c r="L214" s="7">
        <f>IF($H214="","",$H214-'[2]Read Me'!$B$4)</f>
        <v>-91</v>
      </c>
      <c r="M214" s="4" t="str">
        <f>IF($I214="Complete","Green",IF($H214="","Amber",IF($H214&lt;'[2]Read Me'!$B$4,"Red",IF($H214-'[2]Read Me'!$B$4&lt;=21,"Amber","Green"))))</f>
        <v>Red</v>
      </c>
      <c r="N214" s="3"/>
      <c r="O214" t="str">
        <f>IF($I214&lt;&gt;"Complete",IF(COUNTIFS($A$4:$A213,$A214,$B$4:$B213,$B214,$I$4:$I213,"&lt;&gt;Complete")=0,$A214&amp;"|"&amp;$B214,""),"")</f>
        <v/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 t="s">
        <v>320</v>
      </c>
      <c r="B215" s="2" t="s">
        <v>62</v>
      </c>
      <c r="C215" s="3" t="s">
        <v>320</v>
      </c>
      <c r="D215" s="3" t="s">
        <v>349</v>
      </c>
      <c r="E215" s="2" t="s">
        <v>749</v>
      </c>
      <c r="F215" s="2" t="s">
        <v>750</v>
      </c>
      <c r="G215" s="5">
        <v>46096</v>
      </c>
      <c r="H215" s="5">
        <v>46096</v>
      </c>
      <c r="I215" s="4" t="s">
        <v>31</v>
      </c>
      <c r="J215" s="6">
        <f t="shared" si="10"/>
        <v>0</v>
      </c>
      <c r="K215" s="4" t="str">
        <f t="shared" ca="1" si="11"/>
        <v>-</v>
      </c>
      <c r="L215" s="7">
        <f>IF($H215="","",$H215-'[2]Read Me'!$B$4)</f>
        <v>-91</v>
      </c>
      <c r="M215" s="4" t="str">
        <f>IF($I215="Complete","Green",IF($H215="","Amber",IF($H215&lt;'[2]Read Me'!$B$4,"Red",IF($H215-'[2]Read Me'!$B$4&lt;=21,"Amber","Green"))))</f>
        <v>Red</v>
      </c>
      <c r="N215" s="3"/>
      <c r="O215" t="str">
        <f>IF($I215&lt;&gt;"Complete",IF(COUNTIFS($A$4:$A214,$A215,$B$4:$B214,$B215,$I$4:$I214,"&lt;&gt;Complete")=0,$A215&amp;"|"&amp;$B215,""),"")</f>
        <v/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 t="s">
        <v>320</v>
      </c>
      <c r="B216" s="2" t="s">
        <v>62</v>
      </c>
      <c r="C216" s="3" t="s">
        <v>320</v>
      </c>
      <c r="D216" s="3" t="s">
        <v>133</v>
      </c>
      <c r="E216" s="2"/>
      <c r="F216" s="2" t="s">
        <v>751</v>
      </c>
      <c r="G216" s="5">
        <v>46125</v>
      </c>
      <c r="H216" s="5">
        <v>46176</v>
      </c>
      <c r="I216" s="4" t="s">
        <v>31</v>
      </c>
      <c r="J216" s="6">
        <f t="shared" si="10"/>
        <v>51</v>
      </c>
      <c r="K216" s="4" t="str">
        <f t="shared" ca="1" si="11"/>
        <v>-</v>
      </c>
      <c r="L216" s="7">
        <f>IF($H216="","",$H216-'[2]Read Me'!$B$4)</f>
        <v>-11</v>
      </c>
      <c r="M216" s="4" t="str">
        <f>IF($I216="Complete","Green",IF($H216="","Amber",IF($H216&lt;'[2]Read Me'!$B$4,"Red",IF($H216-'[2]Read Me'!$B$4&lt;=21,"Amber","Green"))))</f>
        <v>Red</v>
      </c>
      <c r="N216" s="3"/>
      <c r="O216" t="str">
        <f>IF($I216&lt;&gt;"Complete",IF(COUNTIFS($A$4:$A215,$A216,$B$4:$B215,$B216,$I$4:$I215,"&lt;&gt;Complete")=0,$A216&amp;"|"&amp;$B216,""),"")</f>
        <v/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 t="s">
        <v>320</v>
      </c>
      <c r="B217" s="2" t="s">
        <v>62</v>
      </c>
      <c r="C217" s="3" t="s">
        <v>320</v>
      </c>
      <c r="D217" s="3" t="s">
        <v>342</v>
      </c>
      <c r="E217" s="2" t="s">
        <v>752</v>
      </c>
      <c r="F217" s="2" t="s">
        <v>265</v>
      </c>
      <c r="G217" s="5">
        <v>46139</v>
      </c>
      <c r="H217" s="5">
        <v>46203</v>
      </c>
      <c r="I217" s="4" t="s">
        <v>46</v>
      </c>
      <c r="J217" s="6">
        <f t="shared" si="10"/>
        <v>64</v>
      </c>
      <c r="K217" s="4" t="str">
        <f t="shared" ca="1" si="11"/>
        <v>Yes</v>
      </c>
      <c r="L217" s="7">
        <f>IF($H217="","",$H217-'[2]Read Me'!$B$4)</f>
        <v>16</v>
      </c>
      <c r="M217" s="4" t="str">
        <f>IF($I217="Complete","Green",IF($H217="","Amber",IF($H217&lt;'[2]Read Me'!$B$4,"Red",IF($H217-'[2]Read Me'!$B$4&lt;=21,"Amber","Green"))))</f>
        <v>Amber</v>
      </c>
      <c r="N217" s="3"/>
      <c r="O217" t="str">
        <f>IF($I217&lt;&gt;"Complete",IF(COUNTIFS($A$4:$A216,$A217,$B$4:$B216,$B217,$I$4:$I216,"&lt;&gt;Complete")=0,$A217&amp;"|"&amp;$B217,""),"")</f>
        <v/>
      </c>
      <c r="P217">
        <f ca="1">IF($K217="Yes",COUNTIFS($K$4:$K217,"Yes"),"")</f>
        <v>9</v>
      </c>
      <c r="Q217">
        <f t="shared" ca="1" si="12"/>
        <v>1</v>
      </c>
      <c r="R217">
        <f ca="1">IF($Q217=1,SUM($Q$4:$Q217),"")</f>
        <v>9</v>
      </c>
    </row>
    <row r="218" spans="1:18" ht="22.5" customHeight="1" x14ac:dyDescent="0.3">
      <c r="A218" s="2" t="s">
        <v>320</v>
      </c>
      <c r="B218" s="2" t="s">
        <v>62</v>
      </c>
      <c r="C218" s="3" t="s">
        <v>320</v>
      </c>
      <c r="D218" s="3" t="s">
        <v>134</v>
      </c>
      <c r="E218" s="2" t="s">
        <v>752</v>
      </c>
      <c r="F218" s="2" t="s">
        <v>265</v>
      </c>
      <c r="G218" s="5">
        <v>46139</v>
      </c>
      <c r="H218" s="5">
        <v>46190</v>
      </c>
      <c r="I218" s="4" t="s">
        <v>31</v>
      </c>
      <c r="J218" s="6">
        <f t="shared" si="10"/>
        <v>51</v>
      </c>
      <c r="K218" s="4" t="str">
        <f t="shared" ca="1" si="11"/>
        <v>-</v>
      </c>
      <c r="L218" s="7">
        <f>IF($H218="","",$H218-'[2]Read Me'!$B$4)</f>
        <v>3</v>
      </c>
      <c r="M218" s="4" t="str">
        <f>IF($I218="Complete","Green",IF($H218="","Amber",IF($H218&lt;'[2]Read Me'!$B$4,"Red",IF($H218-'[2]Read Me'!$B$4&lt;=21,"Amber","Green"))))</f>
        <v>Amber</v>
      </c>
      <c r="N218" s="3"/>
      <c r="O218" t="str">
        <f>IF($I218&lt;&gt;"Complete",IF(COUNTIFS($A$4:$A217,$A218,$B$4:$B217,$B218,$I$4:$I217,"&lt;&gt;Complete")=0,$A218&amp;"|"&amp;$B218,""),"")</f>
        <v/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 t="s">
        <v>320</v>
      </c>
      <c r="B219" s="2" t="s">
        <v>62</v>
      </c>
      <c r="C219" s="3" t="s">
        <v>320</v>
      </c>
      <c r="D219" s="3" t="s">
        <v>343</v>
      </c>
      <c r="E219" s="2" t="s">
        <v>752</v>
      </c>
      <c r="F219" s="2" t="s">
        <v>265</v>
      </c>
      <c r="G219" s="5">
        <v>46146</v>
      </c>
      <c r="H219" s="5">
        <v>46210</v>
      </c>
      <c r="I219" s="4" t="s">
        <v>46</v>
      </c>
      <c r="J219" s="6">
        <f t="shared" si="10"/>
        <v>64</v>
      </c>
      <c r="K219" s="4" t="str">
        <f t="shared" ca="1" si="11"/>
        <v>No</v>
      </c>
      <c r="L219" s="7">
        <f>IF($H219="","",$H219-'[2]Read Me'!$B$4)</f>
        <v>23</v>
      </c>
      <c r="M219" s="4" t="str">
        <f>IF($I219="Complete","Green",IF($H219="","Amber",IF($H219&lt;'[2]Read Me'!$B$4,"Red",IF($H219-'[2]Read Me'!$B$4&lt;=21,"Amber","Green"))))</f>
        <v>Green</v>
      </c>
      <c r="N219" s="3"/>
      <c r="O219" t="str">
        <f>IF($I219&lt;&gt;"Complete",IF(COUNTIFS($A$4:$A218,$A219,$B$4:$B218,$B219,$I$4:$I218,"&lt;&gt;Complete")=0,$A219&amp;"|"&amp;$B219,""),"")</f>
        <v/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 t="s">
        <v>320</v>
      </c>
      <c r="B220" s="2" t="s">
        <v>62</v>
      </c>
      <c r="C220" s="3" t="s">
        <v>320</v>
      </c>
      <c r="D220" s="3" t="s">
        <v>753</v>
      </c>
      <c r="E220" s="2" t="s">
        <v>667</v>
      </c>
      <c r="F220" s="2" t="s">
        <v>81</v>
      </c>
      <c r="G220" s="5">
        <v>46146</v>
      </c>
      <c r="H220" s="5">
        <v>46197</v>
      </c>
      <c r="I220" s="4" t="s">
        <v>17</v>
      </c>
      <c r="J220" s="6">
        <f t="shared" si="10"/>
        <v>51</v>
      </c>
      <c r="K220" s="4" t="str">
        <f t="shared" ca="1" si="11"/>
        <v>Yes</v>
      </c>
      <c r="L220" s="7">
        <f>IF($H220="","",$H220-'[2]Read Me'!$B$4)</f>
        <v>10</v>
      </c>
      <c r="M220" s="4" t="str">
        <f>IF($I220="Complete","Green",IF($H220="","Amber",IF($H220&lt;'[2]Read Me'!$B$4,"Red",IF($H220-'[2]Read Me'!$B$4&lt;=21,"Amber","Green"))))</f>
        <v>Amber</v>
      </c>
      <c r="N220" s="3"/>
      <c r="O220" t="str">
        <f>IF($I220&lt;&gt;"Complete",IF(COUNTIFS($A$4:$A219,$A220,$B$4:$B219,$B220,$I$4:$I219,"&lt;&gt;Complete")=0,$A220&amp;"|"&amp;$B220,""),"")</f>
        <v/>
      </c>
      <c r="P220">
        <f ca="1">IF($K220="Yes",COUNTIFS($K$4:$K220,"Yes"),"")</f>
        <v>10</v>
      </c>
      <c r="Q220">
        <f t="shared" ca="1" si="12"/>
        <v>1</v>
      </c>
      <c r="R220">
        <f ca="1">IF($Q220=1,SUM($Q$4:$Q220),"")</f>
        <v>10</v>
      </c>
    </row>
    <row r="221" spans="1:18" ht="22.5" customHeight="1" x14ac:dyDescent="0.3">
      <c r="A221" s="2" t="s">
        <v>320</v>
      </c>
      <c r="B221" s="2" t="s">
        <v>62</v>
      </c>
      <c r="C221" s="3" t="s">
        <v>320</v>
      </c>
      <c r="D221" s="3" t="s">
        <v>18</v>
      </c>
      <c r="E221" s="2" t="s">
        <v>752</v>
      </c>
      <c r="F221" s="2" t="s">
        <v>751</v>
      </c>
      <c r="G221" s="5">
        <v>46174</v>
      </c>
      <c r="H221" s="5">
        <v>46238</v>
      </c>
      <c r="I221" s="4" t="s">
        <v>17</v>
      </c>
      <c r="J221" s="6">
        <f t="shared" si="10"/>
        <v>64</v>
      </c>
      <c r="K221" s="4" t="str">
        <f t="shared" ca="1" si="11"/>
        <v>No</v>
      </c>
      <c r="L221" s="7">
        <f>IF($H221="","",$H221-'[2]Read Me'!$B$4)</f>
        <v>51</v>
      </c>
      <c r="M221" s="4" t="str">
        <f>IF($I221="Complete","Green",IF($H221="","Amber",IF($H221&lt;'[2]Read Me'!$B$4,"Red",IF($H221-'[2]Read Me'!$B$4&lt;=21,"Amber","Green"))))</f>
        <v>Green</v>
      </c>
      <c r="N221" s="3"/>
      <c r="O221" t="str">
        <f>IF($I221&lt;&gt;"Complete",IF(COUNTIFS($A$4:$A220,$A221,$B$4:$B220,$B221,$I$4:$I220,"&lt;&gt;Complete")=0,$A221&amp;"|"&amp;$B221,""),"")</f>
        <v/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 t="s">
        <v>320</v>
      </c>
      <c r="B222" s="2" t="s">
        <v>62</v>
      </c>
      <c r="C222" s="3" t="s">
        <v>320</v>
      </c>
      <c r="D222" s="3" t="s">
        <v>342</v>
      </c>
      <c r="E222" s="2" t="s">
        <v>752</v>
      </c>
      <c r="F222" s="2" t="s">
        <v>265</v>
      </c>
      <c r="G222" s="5">
        <v>46188</v>
      </c>
      <c r="H222" s="5">
        <v>46252</v>
      </c>
      <c r="I222" s="4" t="s">
        <v>17</v>
      </c>
      <c r="J222" s="6">
        <f t="shared" si="10"/>
        <v>64</v>
      </c>
      <c r="K222" s="4" t="str">
        <f t="shared" ca="1" si="11"/>
        <v>No</v>
      </c>
      <c r="L222" s="7">
        <f>IF($H222="","",$H222-'[2]Read Me'!$B$4)</f>
        <v>65</v>
      </c>
      <c r="M222" s="4" t="str">
        <f>IF($I222="Complete","Green",IF($H222="","Amber",IF($H222&lt;'[2]Read Me'!$B$4,"Red",IF($H222-'[2]Read Me'!$B$4&lt;=21,"Amber","Green"))))</f>
        <v>Green</v>
      </c>
      <c r="N222" s="3"/>
      <c r="O222" t="str">
        <f>IF($I222&lt;&gt;"Complete",IF(COUNTIFS($A$4:$A221,$A222,$B$4:$B221,$B222,$I$4:$I221,"&lt;&gt;Complete")=0,$A222&amp;"|"&amp;$B222,""),"")</f>
        <v/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 t="s">
        <v>320</v>
      </c>
      <c r="B223" s="2" t="s">
        <v>62</v>
      </c>
      <c r="C223" s="3" t="s">
        <v>320</v>
      </c>
      <c r="D223" s="3" t="s">
        <v>32</v>
      </c>
      <c r="E223" s="2" t="s">
        <v>752</v>
      </c>
      <c r="F223" s="2" t="s">
        <v>265</v>
      </c>
      <c r="G223" s="5">
        <v>46188</v>
      </c>
      <c r="H223" s="5">
        <v>46252</v>
      </c>
      <c r="I223" s="4" t="s">
        <v>17</v>
      </c>
      <c r="J223" s="6">
        <f t="shared" si="10"/>
        <v>64</v>
      </c>
      <c r="K223" s="4" t="str">
        <f t="shared" ca="1" si="11"/>
        <v>No</v>
      </c>
      <c r="L223" s="7">
        <f>IF($H223="","",$H223-'[2]Read Me'!$B$4)</f>
        <v>65</v>
      </c>
      <c r="M223" s="4" t="str">
        <f>IF($I223="Complete","Green",IF($H223="","Amber",IF($H223&lt;'[2]Read Me'!$B$4,"Red",IF($H223-'[2]Read Me'!$B$4&lt;=21,"Amber","Green"))))</f>
        <v>Green</v>
      </c>
      <c r="N223" s="3"/>
      <c r="O223" t="str">
        <f>IF($I223&lt;&gt;"Complete",IF(COUNTIFS($A$4:$A222,$A223,$B$4:$B222,$B223,$I$4:$I222,"&lt;&gt;Complete")=0,$A223&amp;"|"&amp;$B223,""),"")</f>
        <v/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 t="s">
        <v>320</v>
      </c>
      <c r="B224" s="2" t="s">
        <v>62</v>
      </c>
      <c r="C224" s="3" t="s">
        <v>320</v>
      </c>
      <c r="D224" s="3" t="s">
        <v>343</v>
      </c>
      <c r="E224" s="2" t="s">
        <v>752</v>
      </c>
      <c r="F224" s="2" t="s">
        <v>265</v>
      </c>
      <c r="G224" s="5">
        <v>46195</v>
      </c>
      <c r="H224" s="5">
        <v>46259</v>
      </c>
      <c r="I224" s="4" t="s">
        <v>17</v>
      </c>
      <c r="J224" s="6">
        <f t="shared" si="10"/>
        <v>64</v>
      </c>
      <c r="K224" s="4" t="str">
        <f t="shared" ca="1" si="11"/>
        <v>No</v>
      </c>
      <c r="L224" s="7">
        <f>IF($H224="","",$H224-'[2]Read Me'!$B$4)</f>
        <v>72</v>
      </c>
      <c r="M224" s="4" t="str">
        <f>IF($I224="Complete","Green",IF($H224="","Amber",IF($H224&lt;'[2]Read Me'!$B$4,"Red",IF($H224-'[2]Read Me'!$B$4&lt;=21,"Amber","Green"))))</f>
        <v>Green</v>
      </c>
      <c r="N224" s="3"/>
      <c r="O224" t="str">
        <f>IF($I224&lt;&gt;"Complete",IF(COUNTIFS($A$4:$A223,$A224,$B$4:$B223,$B224,$I$4:$I223,"&lt;&gt;Complete")=0,$A224&amp;"|"&amp;$B224,""),"")</f>
        <v/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 t="s">
        <v>320</v>
      </c>
      <c r="B225" s="2" t="s">
        <v>62</v>
      </c>
      <c r="C225" s="3" t="s">
        <v>320</v>
      </c>
      <c r="D225" s="3" t="s">
        <v>19</v>
      </c>
      <c r="E225" s="2" t="s">
        <v>667</v>
      </c>
      <c r="F225" s="2" t="s">
        <v>81</v>
      </c>
      <c r="G225" s="5">
        <v>46202</v>
      </c>
      <c r="H225" s="5">
        <v>46266</v>
      </c>
      <c r="I225" s="4" t="s">
        <v>17</v>
      </c>
      <c r="J225" s="6">
        <f t="shared" si="10"/>
        <v>64</v>
      </c>
      <c r="K225" s="4" t="str">
        <f t="shared" ca="1" si="11"/>
        <v>No</v>
      </c>
      <c r="L225" s="7">
        <f>IF($H225="","",$H225-'[2]Read Me'!$B$4)</f>
        <v>79</v>
      </c>
      <c r="M225" s="4" t="str">
        <f>IF($I225="Complete","Green",IF($H225="","Amber",IF($H225&lt;'[2]Read Me'!$B$4,"Red",IF($H225-'[2]Read Me'!$B$4&lt;=21,"Amber","Green"))))</f>
        <v>Green</v>
      </c>
      <c r="N225" s="3"/>
      <c r="O225" t="str">
        <f>IF($I225&lt;&gt;"Complete",IF(COUNTIFS($A$4:$A224,$A225,$B$4:$B224,$B225,$I$4:$I224,"&lt;&gt;Complete")=0,$A225&amp;"|"&amp;$B225,""),"")</f>
        <v/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 t="s">
        <v>320</v>
      </c>
      <c r="B226" s="2" t="s">
        <v>62</v>
      </c>
      <c r="C226" s="3" t="s">
        <v>320</v>
      </c>
      <c r="D226" s="3" t="s">
        <v>271</v>
      </c>
      <c r="E226" s="2" t="s">
        <v>752</v>
      </c>
      <c r="F226" s="2" t="s">
        <v>265</v>
      </c>
      <c r="G226" s="5">
        <v>46160</v>
      </c>
      <c r="H226" s="5">
        <v>46224</v>
      </c>
      <c r="I226" s="4" t="s">
        <v>17</v>
      </c>
      <c r="J226" s="6">
        <f t="shared" si="10"/>
        <v>64</v>
      </c>
      <c r="K226" s="4" t="str">
        <f t="shared" ca="1" si="11"/>
        <v>No</v>
      </c>
      <c r="L226" s="7">
        <f>IF($H226="","",$H226-'[2]Read Me'!$B$4)</f>
        <v>37</v>
      </c>
      <c r="M226" s="4" t="str">
        <f>IF($I226="Complete","Green",IF($H226="","Amber",IF($H226&lt;'[2]Read Me'!$B$4,"Red",IF($H226-'[2]Read Me'!$B$4&lt;=21,"Amber","Green"))))</f>
        <v>Green</v>
      </c>
      <c r="N226" s="3"/>
      <c r="O226" t="str">
        <f>IF($I226&lt;&gt;"Complete",IF(COUNTIFS($A$4:$A225,$A226,$B$4:$B225,$B226,$I$4:$I225,"&lt;&gt;Complete")=0,$A226&amp;"|"&amp;$B226,""),"")</f>
        <v/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 t="s">
        <v>320</v>
      </c>
      <c r="B227" s="2" t="s">
        <v>62</v>
      </c>
      <c r="C227" s="3" t="s">
        <v>320</v>
      </c>
      <c r="D227" s="3" t="s">
        <v>754</v>
      </c>
      <c r="E227" s="2" t="s">
        <v>752</v>
      </c>
      <c r="F227" s="2" t="s">
        <v>265</v>
      </c>
      <c r="G227" s="5">
        <v>46174</v>
      </c>
      <c r="H227" s="5">
        <v>46238</v>
      </c>
      <c r="I227" s="4" t="s">
        <v>17</v>
      </c>
      <c r="J227" s="6">
        <f t="shared" si="10"/>
        <v>64</v>
      </c>
      <c r="K227" s="4" t="str">
        <f t="shared" ca="1" si="11"/>
        <v>No</v>
      </c>
      <c r="L227" s="7">
        <f>IF($H227="","",$H227-'[2]Read Me'!$B$4)</f>
        <v>51</v>
      </c>
      <c r="M227" s="4" t="str">
        <f>IF($I227="Complete","Green",IF($H227="","Amber",IF($H227&lt;'[2]Read Me'!$B$4,"Red",IF($H227-'[2]Read Me'!$B$4&lt;=21,"Amber","Green"))))</f>
        <v>Green</v>
      </c>
      <c r="N227" s="3"/>
      <c r="O227" t="str">
        <f>IF($I227&lt;&gt;"Complete",IF(COUNTIFS($A$4:$A226,$A227,$B$4:$B226,$B227,$I$4:$I226,"&lt;&gt;Complete")=0,$A227&amp;"|"&amp;$B227,""),"")</f>
        <v/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 t="s">
        <v>320</v>
      </c>
      <c r="B228" s="2" t="s">
        <v>62</v>
      </c>
      <c r="C228" s="3" t="s">
        <v>320</v>
      </c>
      <c r="D228" s="3" t="s">
        <v>345</v>
      </c>
      <c r="E228" s="2" t="s">
        <v>752</v>
      </c>
      <c r="F228" s="2" t="s">
        <v>265</v>
      </c>
      <c r="G228" s="5">
        <v>46223</v>
      </c>
      <c r="H228" s="5">
        <v>46287</v>
      </c>
      <c r="I228" s="4" t="s">
        <v>17</v>
      </c>
      <c r="J228" s="6">
        <f t="shared" si="10"/>
        <v>64</v>
      </c>
      <c r="K228" s="4" t="str">
        <f t="shared" ca="1" si="11"/>
        <v>No</v>
      </c>
      <c r="L228" s="7">
        <f>IF($H228="","",$H228-'[2]Read Me'!$B$4)</f>
        <v>100</v>
      </c>
      <c r="M228" s="4" t="str">
        <f>IF($I228="Complete","Green",IF($H228="","Amber",IF($H228&lt;'[2]Read Me'!$B$4,"Red",IF($H228-'[2]Read Me'!$B$4&lt;=21,"Amber","Green"))))</f>
        <v>Green</v>
      </c>
      <c r="N228" s="3"/>
      <c r="O228" t="str">
        <f>IF($I228&lt;&gt;"Complete",IF(COUNTIFS($A$4:$A227,$A228,$B$4:$B227,$B228,$I$4:$I227,"&lt;&gt;Complete")=0,$A228&amp;"|"&amp;$B228,""),"")</f>
        <v/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 t="s">
        <v>320</v>
      </c>
      <c r="B229" s="2" t="s">
        <v>62</v>
      </c>
      <c r="C229" s="3" t="s">
        <v>320</v>
      </c>
      <c r="D229" s="3" t="s">
        <v>755</v>
      </c>
      <c r="E229" s="2" t="s">
        <v>752</v>
      </c>
      <c r="F229" s="2" t="s">
        <v>265</v>
      </c>
      <c r="G229" s="5">
        <v>46237</v>
      </c>
      <c r="H229" s="5">
        <v>46301</v>
      </c>
      <c r="I229" s="4" t="s">
        <v>17</v>
      </c>
      <c r="J229" s="6">
        <f t="shared" si="10"/>
        <v>64</v>
      </c>
      <c r="K229" s="4" t="str">
        <f t="shared" ca="1" si="11"/>
        <v>No</v>
      </c>
      <c r="L229" s="7">
        <f>IF($H229="","",$H229-'[2]Read Me'!$B$4)</f>
        <v>114</v>
      </c>
      <c r="M229" s="4" t="str">
        <f>IF($I229="Complete","Green",IF($H229="","Amber",IF($H229&lt;'[2]Read Me'!$B$4,"Red",IF($H229-'[2]Read Me'!$B$4&lt;=21,"Amber","Green"))))</f>
        <v>Green</v>
      </c>
      <c r="N229" s="3"/>
      <c r="O229" t="str">
        <f>IF($I229&lt;&gt;"Complete",IF(COUNTIFS($A$4:$A228,$A229,$B$4:$B228,$B229,$I$4:$I228,"&lt;&gt;Complete")=0,$A229&amp;"|"&amp;$B229,""),"")</f>
        <v/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 t="s">
        <v>320</v>
      </c>
      <c r="B230" s="2" t="s">
        <v>62</v>
      </c>
      <c r="C230" s="3" t="s">
        <v>320</v>
      </c>
      <c r="D230" s="3" t="s">
        <v>14</v>
      </c>
      <c r="E230" s="2" t="s">
        <v>752</v>
      </c>
      <c r="F230" s="2" t="s">
        <v>751</v>
      </c>
      <c r="G230" s="5">
        <v>46272</v>
      </c>
      <c r="H230" s="5">
        <v>46336</v>
      </c>
      <c r="I230" s="4" t="s">
        <v>17</v>
      </c>
      <c r="J230" s="6">
        <f t="shared" si="10"/>
        <v>64</v>
      </c>
      <c r="K230" s="4" t="str">
        <f t="shared" ca="1" si="11"/>
        <v>No</v>
      </c>
      <c r="L230" s="7">
        <f>IF($H230="","",$H230-'[2]Read Me'!$B$4)</f>
        <v>149</v>
      </c>
      <c r="M230" s="4" t="str">
        <f>IF($I230="Complete","Green",IF($H230="","Amber",IF($H230&lt;'[2]Read Me'!$B$4,"Red",IF($H230-'[2]Read Me'!$B$4&lt;=21,"Amber","Green"))))</f>
        <v>Green</v>
      </c>
      <c r="N230" s="3"/>
      <c r="O230" t="str">
        <f>IF($I230&lt;&gt;"Complete",IF(COUNTIFS($A$4:$A229,$A230,$B$4:$B229,$B230,$I$4:$I229,"&lt;&gt;Complete")=0,$A230&amp;"|"&amp;$B230,""),"")</f>
        <v/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 t="s">
        <v>320</v>
      </c>
      <c r="B231" s="2" t="s">
        <v>62</v>
      </c>
      <c r="C231" s="3" t="s">
        <v>320</v>
      </c>
      <c r="D231" s="3" t="s">
        <v>342</v>
      </c>
      <c r="E231" s="2" t="s">
        <v>752</v>
      </c>
      <c r="F231" s="2" t="s">
        <v>265</v>
      </c>
      <c r="G231" s="5">
        <v>46286</v>
      </c>
      <c r="H231" s="5">
        <v>46350</v>
      </c>
      <c r="I231" s="4" t="s">
        <v>17</v>
      </c>
      <c r="J231" s="6">
        <f t="shared" si="10"/>
        <v>64</v>
      </c>
      <c r="K231" s="4" t="str">
        <f t="shared" ca="1" si="11"/>
        <v>No</v>
      </c>
      <c r="L231" s="7">
        <f>IF($H231="","",$H231-'[2]Read Me'!$B$4)</f>
        <v>163</v>
      </c>
      <c r="M231" s="4" t="str">
        <f>IF($I231="Complete","Green",IF($H231="","Amber",IF($H231&lt;'[2]Read Me'!$B$4,"Red",IF($H231-'[2]Read Me'!$B$4&lt;=21,"Amber","Green"))))</f>
        <v>Green</v>
      </c>
      <c r="N231" s="3"/>
      <c r="O231" t="str">
        <f>IF($I231&lt;&gt;"Complete",IF(COUNTIFS($A$4:$A230,$A231,$B$4:$B230,$B231,$I$4:$I230,"&lt;&gt;Complete")=0,$A231&amp;"|"&amp;$B231,""),"")</f>
        <v/>
      </c>
      <c r="P231" t="str">
        <f ca="1">IF($K231="Yes",COUNTIFS($K$4:$K231,"Yes"),"")</f>
        <v/>
      </c>
      <c r="Q231">
        <f t="shared" ca="1" si="12"/>
        <v>0</v>
      </c>
      <c r="R231" t="str">
        <f ca="1">IF($Q231=1,SUM($Q$4:$Q231),"")</f>
        <v/>
      </c>
    </row>
    <row r="232" spans="1:18" ht="22.5" customHeight="1" x14ac:dyDescent="0.3">
      <c r="A232" s="2" t="s">
        <v>320</v>
      </c>
      <c r="B232" s="2" t="s">
        <v>62</v>
      </c>
      <c r="C232" s="3" t="s">
        <v>320</v>
      </c>
      <c r="D232" s="3" t="s">
        <v>34</v>
      </c>
      <c r="E232" s="2" t="s">
        <v>752</v>
      </c>
      <c r="F232" s="2" t="s">
        <v>265</v>
      </c>
      <c r="G232" s="5">
        <v>46286</v>
      </c>
      <c r="H232" s="5">
        <v>46350</v>
      </c>
      <c r="I232" s="4" t="s">
        <v>17</v>
      </c>
      <c r="J232" s="6">
        <f t="shared" si="10"/>
        <v>64</v>
      </c>
      <c r="K232" s="4" t="str">
        <f t="shared" ca="1" si="11"/>
        <v>No</v>
      </c>
      <c r="L232" s="7">
        <f>IF($H232="","",$H232-'[2]Read Me'!$B$4)</f>
        <v>163</v>
      </c>
      <c r="M232" s="4" t="str">
        <f>IF($I232="Complete","Green",IF($H232="","Amber",IF($H232&lt;'[2]Read Me'!$B$4,"Red",IF($H232-'[2]Read Me'!$B$4&lt;=21,"Amber","Green"))))</f>
        <v>Green</v>
      </c>
      <c r="N232" s="3"/>
      <c r="O232" t="str">
        <f>IF($I232&lt;&gt;"Complete",IF(COUNTIFS($A$4:$A231,$A232,$B$4:$B231,$B232,$I$4:$I231,"&lt;&gt;Complete")=0,$A232&amp;"|"&amp;$B232,""),"")</f>
        <v/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 t="s">
        <v>320</v>
      </c>
      <c r="B233" s="2" t="s">
        <v>62</v>
      </c>
      <c r="C233" s="3" t="s">
        <v>320</v>
      </c>
      <c r="D233" s="3" t="s">
        <v>343</v>
      </c>
      <c r="E233" s="2" t="s">
        <v>752</v>
      </c>
      <c r="F233" s="2" t="s">
        <v>265</v>
      </c>
      <c r="G233" s="5">
        <v>46293</v>
      </c>
      <c r="H233" s="5">
        <v>46357</v>
      </c>
      <c r="I233" s="4" t="s">
        <v>17</v>
      </c>
      <c r="J233" s="6">
        <f t="shared" si="10"/>
        <v>64</v>
      </c>
      <c r="K233" s="4" t="str">
        <f t="shared" ca="1" si="11"/>
        <v>No</v>
      </c>
      <c r="L233" s="7">
        <f>IF($H233="","",$H233-'[2]Read Me'!$B$4)</f>
        <v>170</v>
      </c>
      <c r="M233" s="4" t="str">
        <f>IF($I233="Complete","Green",IF($H233="","Amber",IF($H233&lt;'[2]Read Me'!$B$4,"Red",IF($H233-'[2]Read Me'!$B$4&lt;=21,"Amber","Green"))))</f>
        <v>Green</v>
      </c>
      <c r="N233" s="3"/>
      <c r="O233" t="str">
        <f>IF($I233&lt;&gt;"Complete",IF(COUNTIFS($A$4:$A232,$A233,$B$4:$B232,$B233,$I$4:$I232,"&lt;&gt;Complete")=0,$A233&amp;"|"&amp;$B233,""),"")</f>
        <v/>
      </c>
      <c r="P233" t="str">
        <f ca="1">IF($K233="Yes",COUNTIFS($K$4:$K233,"Yes"),"")</f>
        <v/>
      </c>
      <c r="Q233">
        <f t="shared" ca="1" si="12"/>
        <v>0</v>
      </c>
      <c r="R233" t="str">
        <f ca="1">IF($Q233=1,SUM($Q$4:$Q233),"")</f>
        <v/>
      </c>
    </row>
    <row r="234" spans="1:18" ht="22.5" customHeight="1" x14ac:dyDescent="0.3">
      <c r="A234" s="2" t="s">
        <v>320</v>
      </c>
      <c r="B234" s="2" t="s">
        <v>62</v>
      </c>
      <c r="C234" s="3" t="s">
        <v>320</v>
      </c>
      <c r="D234" s="3" t="s">
        <v>756</v>
      </c>
      <c r="E234" s="2" t="s">
        <v>752</v>
      </c>
      <c r="F234" s="2" t="s">
        <v>751</v>
      </c>
      <c r="G234" s="5">
        <v>46356</v>
      </c>
      <c r="H234" s="5">
        <v>46420</v>
      </c>
      <c r="I234" s="4" t="s">
        <v>17</v>
      </c>
      <c r="J234" s="6">
        <f t="shared" si="10"/>
        <v>64</v>
      </c>
      <c r="K234" s="4" t="str">
        <f t="shared" ca="1" si="11"/>
        <v>No</v>
      </c>
      <c r="L234" s="7">
        <f>IF($H234="","",$H234-'[2]Read Me'!$B$4)</f>
        <v>233</v>
      </c>
      <c r="M234" s="4" t="str">
        <f>IF($I234="Complete","Green",IF($H234="","Amber",IF($H234&lt;'[2]Read Me'!$B$4,"Red",IF($H234-'[2]Read Me'!$B$4&lt;=21,"Amber","Green"))))</f>
        <v>Green</v>
      </c>
      <c r="N234" s="3"/>
      <c r="O234" t="str">
        <f>IF($I234&lt;&gt;"Complete",IF(COUNTIFS($A$4:$A233,$A234,$B$4:$B233,$B234,$I$4:$I233,"&lt;&gt;Complete")=0,$A234&amp;"|"&amp;$B234,""),"")</f>
        <v/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 t="s">
        <v>320</v>
      </c>
      <c r="B235" s="2" t="s">
        <v>62</v>
      </c>
      <c r="C235" s="3" t="s">
        <v>320</v>
      </c>
      <c r="D235" s="3" t="s">
        <v>83</v>
      </c>
      <c r="E235" s="2" t="s">
        <v>752</v>
      </c>
      <c r="F235" s="2" t="s">
        <v>265</v>
      </c>
      <c r="G235" s="5">
        <v>46384</v>
      </c>
      <c r="H235" s="5">
        <v>46448</v>
      </c>
      <c r="I235" s="4" t="s">
        <v>17</v>
      </c>
      <c r="J235" s="6">
        <f t="shared" si="10"/>
        <v>64</v>
      </c>
      <c r="K235" s="4" t="str">
        <f t="shared" ca="1" si="11"/>
        <v>No</v>
      </c>
      <c r="L235" s="7">
        <f>IF($H235="","",$H235-'[2]Read Me'!$B$4)</f>
        <v>261</v>
      </c>
      <c r="M235" s="4" t="str">
        <f>IF($I235="Complete","Green",IF($H235="","Amber",IF($H235&lt;'[2]Read Me'!$B$4,"Red",IF($H235-'[2]Read Me'!$B$4&lt;=21,"Amber","Green"))))</f>
        <v>Green</v>
      </c>
      <c r="N235" s="3"/>
      <c r="O235" t="str">
        <f>IF($I235&lt;&gt;"Complete",IF(COUNTIFS($A$4:$A234,$A235,$B$4:$B234,$B235,$I$4:$I234,"&lt;&gt;Complete")=0,$A235&amp;"|"&amp;$B235,""),"")</f>
        <v/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 t="s">
        <v>320</v>
      </c>
      <c r="B236" s="2" t="s">
        <v>62</v>
      </c>
      <c r="C236" s="3" t="s">
        <v>320</v>
      </c>
      <c r="D236" s="3" t="s">
        <v>342</v>
      </c>
      <c r="E236" s="2" t="s">
        <v>752</v>
      </c>
      <c r="F236" s="2" t="s">
        <v>265</v>
      </c>
      <c r="G236" s="5">
        <v>46370</v>
      </c>
      <c r="H236" s="5">
        <v>46434</v>
      </c>
      <c r="I236" s="4" t="s">
        <v>17</v>
      </c>
      <c r="J236" s="6">
        <f t="shared" si="10"/>
        <v>64</v>
      </c>
      <c r="K236" s="4" t="str">
        <f t="shared" ca="1" si="11"/>
        <v>No</v>
      </c>
      <c r="L236" s="7">
        <f>IF($H236="","",$H236-'[2]Read Me'!$B$4)</f>
        <v>247</v>
      </c>
      <c r="M236" s="4" t="str">
        <f>IF($I236="Complete","Green",IF($H236="","Amber",IF($H236&lt;'[2]Read Me'!$B$4,"Red",IF($H236-'[2]Read Me'!$B$4&lt;=21,"Amber","Green"))))</f>
        <v>Green</v>
      </c>
      <c r="N236" s="3"/>
      <c r="O236" t="str">
        <f>IF($I236&lt;&gt;"Complete",IF(COUNTIFS($A$4:$A235,$A236,$B$4:$B235,$B236,$I$4:$I235,"&lt;&gt;Complete")=0,$A236&amp;"|"&amp;$B236,""),"")</f>
        <v/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 t="s">
        <v>320</v>
      </c>
      <c r="B237" s="2" t="s">
        <v>62</v>
      </c>
      <c r="C237" s="3" t="s">
        <v>320</v>
      </c>
      <c r="D237" s="3" t="s">
        <v>35</v>
      </c>
      <c r="E237" s="2" t="s">
        <v>752</v>
      </c>
      <c r="F237" s="2" t="s">
        <v>265</v>
      </c>
      <c r="G237" s="5">
        <v>46370</v>
      </c>
      <c r="H237" s="5">
        <v>46434</v>
      </c>
      <c r="I237" s="4" t="s">
        <v>17</v>
      </c>
      <c r="J237" s="6">
        <f t="shared" si="10"/>
        <v>64</v>
      </c>
      <c r="K237" s="4" t="str">
        <f t="shared" ca="1" si="11"/>
        <v>No</v>
      </c>
      <c r="L237" s="7">
        <f>IF($H237="","",$H237-'[2]Read Me'!$B$4)</f>
        <v>247</v>
      </c>
      <c r="M237" s="4" t="str">
        <f>IF($I237="Complete","Green",IF($H237="","Amber",IF($H237&lt;'[2]Read Me'!$B$4,"Red",IF($H237-'[2]Read Me'!$B$4&lt;=21,"Amber","Green"))))</f>
        <v>Green</v>
      </c>
      <c r="N237" s="3"/>
      <c r="O237" t="str">
        <f>IF($I237&lt;&gt;"Complete",IF(COUNTIFS($A$4:$A236,$A237,$B$4:$B236,$B237,$I$4:$I236,"&lt;&gt;Complete")=0,$A237&amp;"|"&amp;$B237,""),"")</f>
        <v/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 t="s">
        <v>320</v>
      </c>
      <c r="B238" s="2" t="s">
        <v>62</v>
      </c>
      <c r="C238" s="3" t="s">
        <v>320</v>
      </c>
      <c r="D238" s="3" t="s">
        <v>343</v>
      </c>
      <c r="E238" s="2" t="s">
        <v>752</v>
      </c>
      <c r="F238" s="2" t="s">
        <v>265</v>
      </c>
      <c r="G238" s="5">
        <v>46377</v>
      </c>
      <c r="H238" s="5">
        <v>46441</v>
      </c>
      <c r="I238" s="4" t="s">
        <v>17</v>
      </c>
      <c r="J238" s="6">
        <f t="shared" si="10"/>
        <v>64</v>
      </c>
      <c r="K238" s="4" t="str">
        <f t="shared" ca="1" si="11"/>
        <v>No</v>
      </c>
      <c r="L238" s="7">
        <f>IF($H238="","",$H238-'[2]Read Me'!$B$4)</f>
        <v>254</v>
      </c>
      <c r="M238" s="4" t="str">
        <f>IF($I238="Complete","Green",IF($H238="","Amber",IF($H238&lt;'[2]Read Me'!$B$4,"Red",IF($H238-'[2]Read Me'!$B$4&lt;=21,"Amber","Green"))))</f>
        <v>Green</v>
      </c>
      <c r="N238" s="3"/>
      <c r="O238" t="str">
        <f>IF($I238&lt;&gt;"Complete",IF(COUNTIFS($A$4:$A237,$A238,$B$4:$B237,$B238,$I$4:$I237,"&lt;&gt;Complete")=0,$A238&amp;"|"&amp;$B238,""),"")</f>
        <v/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 t="s">
        <v>320</v>
      </c>
      <c r="B239" s="2" t="s">
        <v>62</v>
      </c>
      <c r="C239" s="3" t="s">
        <v>320</v>
      </c>
      <c r="D239" s="3" t="s">
        <v>354</v>
      </c>
      <c r="E239" s="2" t="s">
        <v>752</v>
      </c>
      <c r="F239" s="2" t="s">
        <v>265</v>
      </c>
      <c r="G239" s="5">
        <v>46377</v>
      </c>
      <c r="H239" s="5">
        <v>46441</v>
      </c>
      <c r="I239" s="4" t="s">
        <v>17</v>
      </c>
      <c r="J239" s="6">
        <f t="shared" si="10"/>
        <v>64</v>
      </c>
      <c r="K239" s="4" t="str">
        <f t="shared" ca="1" si="11"/>
        <v>No</v>
      </c>
      <c r="L239" s="7">
        <f>IF($H239="","",$H239-'[2]Read Me'!$B$4)</f>
        <v>254</v>
      </c>
      <c r="M239" s="4" t="str">
        <f>IF($I239="Complete","Green",IF($H239="","Amber",IF($H239&lt;'[2]Read Me'!$B$4,"Red",IF($H239-'[2]Read Me'!$B$4&lt;=21,"Amber","Green"))))</f>
        <v>Green</v>
      </c>
      <c r="N239" s="3"/>
      <c r="O239" t="str">
        <f>IF($I239&lt;&gt;"Complete",IF(COUNTIFS($A$4:$A238,$A239,$B$4:$B238,$B239,$I$4:$I238,"&lt;&gt;Complete")=0,$A239&amp;"|"&amp;$B239,""),"")</f>
        <v/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 t="s">
        <v>320</v>
      </c>
      <c r="B240" s="2" t="s">
        <v>62</v>
      </c>
      <c r="C240" s="3" t="s">
        <v>320</v>
      </c>
      <c r="D240" s="3" t="s">
        <v>676</v>
      </c>
      <c r="E240" s="2"/>
      <c r="F240" s="2" t="s">
        <v>265</v>
      </c>
      <c r="G240" s="5">
        <v>46377</v>
      </c>
      <c r="H240" s="5">
        <v>46441</v>
      </c>
      <c r="I240" s="4" t="s">
        <v>17</v>
      </c>
      <c r="J240" s="6">
        <f t="shared" si="10"/>
        <v>64</v>
      </c>
      <c r="K240" s="4" t="str">
        <f t="shared" ca="1" si="11"/>
        <v>No</v>
      </c>
      <c r="L240" s="7">
        <f>IF($H240="","",$H240-'[2]Read Me'!$B$4)</f>
        <v>254</v>
      </c>
      <c r="M240" s="4" t="str">
        <f>IF($I240="Complete","Green",IF($H240="","Amber",IF($H240&lt;'[2]Read Me'!$B$4,"Red",IF($H240-'[2]Read Me'!$B$4&lt;=21,"Amber","Green"))))</f>
        <v>Green</v>
      </c>
      <c r="N240" s="3"/>
      <c r="O240" t="str">
        <f>IF($I240&lt;&gt;"Complete",IF(COUNTIFS($A$4:$A239,$A240,$B$4:$B239,$B240,$I$4:$I239,"&lt;&gt;Complete")=0,$A240&amp;"|"&amp;$B240,""),"")</f>
        <v/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 t="s">
        <v>320</v>
      </c>
      <c r="B241" s="2" t="s">
        <v>62</v>
      </c>
      <c r="C241" s="3" t="s">
        <v>320</v>
      </c>
      <c r="D241" s="3" t="s">
        <v>183</v>
      </c>
      <c r="E241" s="2"/>
      <c r="F241" s="2" t="s">
        <v>265</v>
      </c>
      <c r="G241" s="5">
        <v>46384</v>
      </c>
      <c r="H241" s="5">
        <v>46448</v>
      </c>
      <c r="I241" s="4" t="s">
        <v>17</v>
      </c>
      <c r="J241" s="6">
        <f t="shared" si="10"/>
        <v>64</v>
      </c>
      <c r="K241" s="4" t="str">
        <f t="shared" ca="1" si="11"/>
        <v>No</v>
      </c>
      <c r="L241" s="7">
        <f>IF($H241="","",$H241-'[2]Read Me'!$B$4)</f>
        <v>261</v>
      </c>
      <c r="M241" s="4" t="str">
        <f>IF($I241="Complete","Green",IF($H241="","Amber",IF($H241&lt;'[2]Read Me'!$B$4,"Red",IF($H241-'[2]Read Me'!$B$4&lt;=21,"Amber","Green"))))</f>
        <v>Green</v>
      </c>
      <c r="N241" s="3"/>
      <c r="O241" t="str">
        <f>IF($I241&lt;&gt;"Complete",IF(COUNTIFS($A$4:$A240,$A241,$B$4:$B240,$B241,$I$4:$I240,"&lt;&gt;Complete")=0,$A241&amp;"|"&amp;$B241,""),"")</f>
        <v/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 t="s">
        <v>320</v>
      </c>
      <c r="B242" s="2" t="s">
        <v>62</v>
      </c>
      <c r="C242" s="3" t="s">
        <v>320</v>
      </c>
      <c r="D242" s="3" t="s">
        <v>16</v>
      </c>
      <c r="E242" s="2"/>
      <c r="F242" s="2" t="s">
        <v>751</v>
      </c>
      <c r="G242" s="5">
        <v>46419</v>
      </c>
      <c r="H242" s="5">
        <v>46483</v>
      </c>
      <c r="I242" s="4" t="s">
        <v>17</v>
      </c>
      <c r="J242" s="6">
        <f t="shared" si="10"/>
        <v>64</v>
      </c>
      <c r="K242" s="4" t="str">
        <f t="shared" ca="1" si="11"/>
        <v>No</v>
      </c>
      <c r="L242" s="7">
        <f>IF($H242="","",$H242-'[2]Read Me'!$B$4)</f>
        <v>296</v>
      </c>
      <c r="M242" s="4" t="str">
        <f>IF($I242="Complete","Green",IF($H242="","Amber",IF($H242&lt;'[2]Read Me'!$B$4,"Red",IF($H242-'[2]Read Me'!$B$4&lt;=21,"Amber","Green"))))</f>
        <v>Green</v>
      </c>
      <c r="N242" s="3"/>
      <c r="O242" t="str">
        <f>IF($I242&lt;&gt;"Complete",IF(COUNTIFS($A$4:$A241,$A242,$B$4:$B241,$B242,$I$4:$I241,"&lt;&gt;Complete")=0,$A242&amp;"|"&amp;$B242,""),"")</f>
        <v/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 t="s">
        <v>320</v>
      </c>
      <c r="B243" s="2" t="s">
        <v>62</v>
      </c>
      <c r="C243" s="3" t="s">
        <v>320</v>
      </c>
      <c r="D243" s="3" t="s">
        <v>37</v>
      </c>
      <c r="E243" s="2"/>
      <c r="F243" s="2" t="s">
        <v>265</v>
      </c>
      <c r="G243" s="5">
        <v>46433</v>
      </c>
      <c r="H243" s="5">
        <v>46497</v>
      </c>
      <c r="I243" s="4" t="s">
        <v>17</v>
      </c>
      <c r="J243" s="6">
        <f t="shared" si="10"/>
        <v>64</v>
      </c>
      <c r="K243" s="4" t="str">
        <f t="shared" ca="1" si="11"/>
        <v>No</v>
      </c>
      <c r="L243" s="7">
        <f>IF($H243="","",$H243-'[2]Read Me'!$B$4)</f>
        <v>310</v>
      </c>
      <c r="M243" s="4" t="str">
        <f>IF($I243="Complete","Green",IF($H243="","Amber",IF($H243&lt;'[2]Read Me'!$B$4,"Red",IF($H243-'[2]Read Me'!$B$4&lt;=21,"Amber","Green"))))</f>
        <v>Green</v>
      </c>
      <c r="N243" s="3"/>
      <c r="O243" t="str">
        <f>IF($I243&lt;&gt;"Complete",IF(COUNTIFS($A$4:$A242,$A243,$B$4:$B242,$B243,$I$4:$I242,"&lt;&gt;Complete")=0,$A243&amp;"|"&amp;$B243,""),"")</f>
        <v/>
      </c>
      <c r="P243" t="str">
        <f ca="1">IF($K243="Yes",COUNTIFS($K$4:$K243,"Yes"),"")</f>
        <v/>
      </c>
      <c r="Q243">
        <f t="shared" ca="1" si="12"/>
        <v>0</v>
      </c>
      <c r="R243" t="str">
        <f ca="1">IF($Q243=1,SUM($Q$4:$Q243),"")</f>
        <v/>
      </c>
    </row>
    <row r="244" spans="1:18" ht="22.5" customHeight="1" x14ac:dyDescent="0.3">
      <c r="A244" s="2" t="s">
        <v>757</v>
      </c>
      <c r="B244" s="2" t="s">
        <v>140</v>
      </c>
      <c r="C244" s="3"/>
      <c r="D244" s="3"/>
      <c r="E244" s="2"/>
      <c r="F244" s="2"/>
      <c r="G244" s="5">
        <v>46230</v>
      </c>
      <c r="H244" s="5">
        <v>46294</v>
      </c>
      <c r="I244" s="4"/>
      <c r="J244" s="6">
        <f t="shared" si="10"/>
        <v>64</v>
      </c>
      <c r="K244" s="4" t="str">
        <f t="shared" ref="K244:K264" ca="1" si="13">IF($H244="","",IF($H244&gt;TODAY(),"No","Yes"))</f>
        <v>No</v>
      </c>
      <c r="L244" s="7">
        <f>IF($H244="","",$H244-'[2]Read Me'!$B$4)</f>
        <v>107</v>
      </c>
      <c r="M244" s="4" t="str">
        <f>IF($I244="Complete","Green",IF($H244="","Amber",IF($H244&lt;'[2]Read Me'!$B$4,"Red",IF($H244-'[2]Read Me'!$B$4&lt;=21,"Amber","Green"))))</f>
        <v>Green</v>
      </c>
      <c r="N244" s="3"/>
      <c r="O244" t="str">
        <f>IF($I244&lt;&gt;"Complete",IF(COUNTIFS($A$4:$A243,$A244,$B$4:$B243,$B244,$I$4:$I243,"&lt;&gt;Complete")=0,$A244&amp;"|"&amp;$B244,""),"")</f>
        <v>Masterplan - Hotel|Masterplan</v>
      </c>
      <c r="P244" t="str">
        <f ca="1">IF($K244="Yes",COUNTIFS($K$4:$K244,"Yes"),"")</f>
        <v/>
      </c>
      <c r="Q244">
        <f t="shared" ca="1" si="12"/>
        <v>0</v>
      </c>
      <c r="R244" t="str">
        <f ca="1">IF($Q244=1,SUM($Q$4:$Q244),"")</f>
        <v/>
      </c>
    </row>
    <row r="245" spans="1:18" ht="22.5" customHeight="1" x14ac:dyDescent="0.3">
      <c r="A245" s="2" t="s">
        <v>757</v>
      </c>
      <c r="B245" s="2" t="s">
        <v>140</v>
      </c>
      <c r="C245" s="3" t="s">
        <v>757</v>
      </c>
      <c r="D245" s="3" t="s">
        <v>15</v>
      </c>
      <c r="E245" s="2"/>
      <c r="F245" s="2"/>
      <c r="G245" s="5">
        <v>46188</v>
      </c>
      <c r="H245" s="5">
        <v>46252</v>
      </c>
      <c r="I245" s="4" t="s">
        <v>17</v>
      </c>
      <c r="J245" s="6">
        <f t="shared" si="10"/>
        <v>64</v>
      </c>
      <c r="K245" s="4" t="str">
        <f t="shared" ca="1" si="13"/>
        <v>No</v>
      </c>
      <c r="L245" s="7">
        <f>IF($H245="","",$H245-'[2]Read Me'!$B$4)</f>
        <v>65</v>
      </c>
      <c r="M245" s="4" t="str">
        <f>IF($I245="Complete","Green",IF($H245="","Amber",IF($H245&lt;'[2]Read Me'!$B$4,"Red",IF($H245-'[2]Read Me'!$B$4&lt;=21,"Amber","Green"))))</f>
        <v>Green</v>
      </c>
      <c r="N245" s="3"/>
      <c r="O245" t="str">
        <f>IF($I245&lt;&gt;"Complete",IF(COUNTIFS($A$4:$A244,$A245,$B$4:$B244,$B245,$I$4:$I244,"&lt;&gt;Complete")=0,$A245&amp;"|"&amp;$B245,""),"")</f>
        <v/>
      </c>
      <c r="P245" t="str">
        <f ca="1">IF($K245="Yes",COUNTIFS($K$4:$K245,"Yes"),"")</f>
        <v/>
      </c>
      <c r="Q245">
        <f t="shared" ca="1" si="12"/>
        <v>0</v>
      </c>
      <c r="R245" t="str">
        <f ca="1">IF($Q245=1,SUM($Q$4:$Q245),"")</f>
        <v/>
      </c>
    </row>
    <row r="246" spans="1:18" ht="22.5" customHeight="1" x14ac:dyDescent="0.3">
      <c r="A246" s="2" t="s">
        <v>757</v>
      </c>
      <c r="B246" s="2" t="s">
        <v>140</v>
      </c>
      <c r="C246" s="3" t="s">
        <v>757</v>
      </c>
      <c r="D246" s="3" t="s">
        <v>271</v>
      </c>
      <c r="E246" s="2"/>
      <c r="F246" s="2"/>
      <c r="G246" s="5">
        <v>46216</v>
      </c>
      <c r="H246" s="5">
        <v>46280</v>
      </c>
      <c r="I246" s="4" t="s">
        <v>17</v>
      </c>
      <c r="J246" s="6">
        <f t="shared" si="10"/>
        <v>64</v>
      </c>
      <c r="K246" s="4" t="str">
        <f t="shared" ca="1" si="13"/>
        <v>No</v>
      </c>
      <c r="L246" s="7">
        <f>IF($H246="","",$H246-'[2]Read Me'!$B$4)</f>
        <v>93</v>
      </c>
      <c r="M246" s="4" t="str">
        <f>IF($I246="Complete","Green",IF($H246="","Amber",IF($H246&lt;'[2]Read Me'!$B$4,"Red",IF($H246-'[2]Read Me'!$B$4&lt;=21,"Amber","Green"))))</f>
        <v>Green</v>
      </c>
      <c r="N246" s="3"/>
      <c r="O246" t="str">
        <f>IF($I246&lt;&gt;"Complete",IF(COUNTIFS($A$4:$A245,$A246,$B$4:$B245,$B246,$I$4:$I245,"&lt;&gt;Complete")=0,$A246&amp;"|"&amp;$B246,""),"")</f>
        <v/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 t="s">
        <v>757</v>
      </c>
      <c r="B247" s="2" t="s">
        <v>140</v>
      </c>
      <c r="C247" s="3" t="s">
        <v>757</v>
      </c>
      <c r="D247" s="3" t="s">
        <v>35</v>
      </c>
      <c r="E247" s="2"/>
      <c r="F247" s="2"/>
      <c r="G247" s="5">
        <v>46230</v>
      </c>
      <c r="H247" s="5">
        <v>46294</v>
      </c>
      <c r="I247" s="4" t="s">
        <v>17</v>
      </c>
      <c r="J247" s="6">
        <f t="shared" si="10"/>
        <v>64</v>
      </c>
      <c r="K247" s="4" t="str">
        <f t="shared" ca="1" si="13"/>
        <v>No</v>
      </c>
      <c r="L247" s="7">
        <f>IF($H247="","",$H247-'[2]Read Me'!$B$4)</f>
        <v>107</v>
      </c>
      <c r="M247" s="4" t="str">
        <f>IF($I247="Complete","Green",IF($H247="","Amber",IF($H247&lt;'[2]Read Me'!$B$4,"Red",IF($H247-'[2]Read Me'!$B$4&lt;=21,"Amber","Green"))))</f>
        <v>Green</v>
      </c>
      <c r="N247" s="3"/>
      <c r="O247" t="str">
        <f>IF($I247&lt;&gt;"Complete",IF(COUNTIFS($A$4:$A246,$A247,$B$4:$B246,$B247,$I$4:$I246,"&lt;&gt;Complete")=0,$A247&amp;"|"&amp;$B247,""),"")</f>
        <v/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 t="s">
        <v>758</v>
      </c>
      <c r="B248" s="2" t="s">
        <v>21</v>
      </c>
      <c r="C248" s="3"/>
      <c r="D248" s="3"/>
      <c r="E248" s="2"/>
      <c r="F248" s="2"/>
      <c r="G248" s="5">
        <v>46320</v>
      </c>
      <c r="H248" s="5">
        <v>46407</v>
      </c>
      <c r="I248" s="4"/>
      <c r="J248" s="6">
        <f t="shared" si="10"/>
        <v>87</v>
      </c>
      <c r="K248" s="4" t="str">
        <f t="shared" ca="1" si="13"/>
        <v>No</v>
      </c>
      <c r="L248" s="7">
        <f>IF($H248="","",$H248-'[2]Read Me'!$B$4)</f>
        <v>220</v>
      </c>
      <c r="M248" s="4" t="str">
        <f>IF($I248="Complete","Green",IF($H248="","Amber",IF($H248&lt;'[2]Read Me'!$B$4,"Red",IF($H248-'[2]Read Me'!$B$4&lt;=21,"Amber","Green"))))</f>
        <v>Green</v>
      </c>
      <c r="N248" s="3"/>
      <c r="O248" t="str">
        <f>IF($I248&lt;&gt;"Complete",IF(COUNTIFS($A$4:$A247,$A248,$B$4:$B247,$B248,$I$4:$I247,"&lt;&gt;Complete")=0,$A248&amp;"|"&amp;$B248,""),"")</f>
        <v>Landscape - Hotel|Landscape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 t="s">
        <v>758</v>
      </c>
      <c r="B249" s="2" t="s">
        <v>21</v>
      </c>
      <c r="C249" s="3" t="s">
        <v>758</v>
      </c>
      <c r="D249" s="3" t="s">
        <v>759</v>
      </c>
      <c r="E249" s="2" t="s">
        <v>760</v>
      </c>
      <c r="F249" s="2" t="s">
        <v>277</v>
      </c>
      <c r="G249" s="5">
        <v>46117</v>
      </c>
      <c r="H249" s="5">
        <v>46204</v>
      </c>
      <c r="I249" s="4" t="s">
        <v>46</v>
      </c>
      <c r="J249" s="6">
        <f t="shared" si="10"/>
        <v>87</v>
      </c>
      <c r="K249" s="4" t="str">
        <f t="shared" ca="1" si="13"/>
        <v>Yes</v>
      </c>
      <c r="L249" s="7">
        <f>IF($H249="","",$H249-'[2]Read Me'!$B$4)</f>
        <v>17</v>
      </c>
      <c r="M249" s="4" t="str">
        <f>IF($I249="Complete","Green",IF($H249="","Amber",IF($H249&lt;'[2]Read Me'!$B$4,"Red",IF($H249-'[2]Read Me'!$B$4&lt;=21,"Amber","Green"))))</f>
        <v>Amber</v>
      </c>
      <c r="N249" s="3"/>
      <c r="O249" t="str">
        <f>IF($I249&lt;&gt;"Complete",IF(COUNTIFS($A$4:$A248,$A249,$B$4:$B248,$B249,$I$4:$I248,"&lt;&gt;Complete")=0,$A249&amp;"|"&amp;$B249,""),"")</f>
        <v/>
      </c>
      <c r="P249">
        <f ca="1">IF($K249="Yes",COUNTIFS($K$4:$K249,"Yes"),"")</f>
        <v>11</v>
      </c>
      <c r="Q249">
        <f t="shared" ca="1" si="12"/>
        <v>1</v>
      </c>
      <c r="R249">
        <f ca="1">IF($Q249=1,SUM($Q$4:$Q249),"")</f>
        <v>11</v>
      </c>
    </row>
    <row r="250" spans="1:18" ht="22.5" customHeight="1" x14ac:dyDescent="0.3">
      <c r="A250" s="2" t="s">
        <v>758</v>
      </c>
      <c r="B250" s="2" t="s">
        <v>21</v>
      </c>
      <c r="C250" s="3" t="s">
        <v>758</v>
      </c>
      <c r="D250" s="3" t="s">
        <v>726</v>
      </c>
      <c r="E250" s="2" t="s">
        <v>760</v>
      </c>
      <c r="F250" s="2" t="s">
        <v>277</v>
      </c>
      <c r="G250" s="5">
        <v>46138</v>
      </c>
      <c r="H250" s="5">
        <v>46225</v>
      </c>
      <c r="I250" s="4" t="s">
        <v>17</v>
      </c>
      <c r="J250" s="6">
        <f t="shared" si="10"/>
        <v>87</v>
      </c>
      <c r="K250" s="4" t="str">
        <f t="shared" ca="1" si="13"/>
        <v>No</v>
      </c>
      <c r="L250" s="7">
        <f>IF($H250="","",$H250-'[2]Read Me'!$B$4)</f>
        <v>38</v>
      </c>
      <c r="M250" s="4" t="str">
        <f>IF($I250="Complete","Green",IF($H250="","Amber",IF($H250&lt;'[2]Read Me'!$B$4,"Red",IF($H250-'[2]Read Me'!$B$4&lt;=21,"Amber","Green"))))</f>
        <v>Green</v>
      </c>
      <c r="N250" s="8"/>
      <c r="O250" t="str">
        <f>IF($I250&lt;&gt;"Complete",IF(COUNTIFS($A$4:$A249,$A250,$B$4:$B249,$B250,$I$4:$I249,"&lt;&gt;Complete")=0,$A250&amp;"|"&amp;$B250,""),"")</f>
        <v/>
      </c>
      <c r="P250" t="str">
        <f ca="1">IF($K250="Yes",COUNTIFS($K$4:$K250,"Yes"),"")</f>
        <v/>
      </c>
      <c r="Q250">
        <f t="shared" ca="1" si="12"/>
        <v>0</v>
      </c>
      <c r="R250" t="str">
        <f ca="1">IF($Q250=1,SUM($Q$4:$Q250),"")</f>
        <v/>
      </c>
    </row>
    <row r="251" spans="1:18" ht="22.5" customHeight="1" x14ac:dyDescent="0.3">
      <c r="A251" s="2" t="s">
        <v>758</v>
      </c>
      <c r="B251" s="2" t="s">
        <v>21</v>
      </c>
      <c r="C251" s="3" t="s">
        <v>758</v>
      </c>
      <c r="D251" s="3" t="s">
        <v>235</v>
      </c>
      <c r="E251" s="2" t="s">
        <v>760</v>
      </c>
      <c r="F251" s="2" t="s">
        <v>265</v>
      </c>
      <c r="G251" s="5">
        <v>46145</v>
      </c>
      <c r="H251" s="5">
        <v>46232</v>
      </c>
      <c r="I251" s="4" t="s">
        <v>17</v>
      </c>
      <c r="J251" s="6">
        <f t="shared" si="10"/>
        <v>87</v>
      </c>
      <c r="K251" s="4" t="str">
        <f t="shared" ca="1" si="13"/>
        <v>No</v>
      </c>
      <c r="L251" s="7">
        <f>IF($H251="","",$H251-'[2]Read Me'!$B$4)</f>
        <v>45</v>
      </c>
      <c r="M251" s="4" t="str">
        <f>IF($I251="Complete","Green",IF($H251="","Amber",IF($H251&lt;'[2]Read Me'!$B$4,"Red",IF($H251-'[2]Read Me'!$B$4&lt;=21,"Amber","Green"))))</f>
        <v>Green</v>
      </c>
      <c r="N251" s="3"/>
      <c r="O251" t="str">
        <f>IF($I251&lt;&gt;"Complete",IF(COUNTIFS($A$4:$A250,$A251,$B$4:$B250,$B251,$I$4:$I250,"&lt;&gt;Complete")=0,$A251&amp;"|"&amp;$B251,""),"")</f>
        <v/>
      </c>
      <c r="P251" t="str">
        <f ca="1">IF($K251="Yes",COUNTIFS($K$4:$K251,"Yes"),"")</f>
        <v/>
      </c>
      <c r="Q251">
        <f t="shared" ca="1" si="12"/>
        <v>0</v>
      </c>
      <c r="R251" t="str">
        <f ca="1">IF($Q251=1,SUM($Q$4:$Q251),"")</f>
        <v/>
      </c>
    </row>
    <row r="252" spans="1:18" ht="22.5" customHeight="1" x14ac:dyDescent="0.3">
      <c r="A252" s="2" t="s">
        <v>758</v>
      </c>
      <c r="B252" s="2" t="s">
        <v>21</v>
      </c>
      <c r="C252" s="3" t="s">
        <v>758</v>
      </c>
      <c r="D252" s="3" t="s">
        <v>98</v>
      </c>
      <c r="E252" s="2" t="s">
        <v>760</v>
      </c>
      <c r="F252" s="2" t="s">
        <v>277</v>
      </c>
      <c r="G252" s="5">
        <v>46166</v>
      </c>
      <c r="H252" s="5">
        <v>46253</v>
      </c>
      <c r="I252" s="4" t="s">
        <v>17</v>
      </c>
      <c r="J252" s="6">
        <f t="shared" si="10"/>
        <v>87</v>
      </c>
      <c r="K252" s="4" t="str">
        <f t="shared" ca="1" si="13"/>
        <v>No</v>
      </c>
      <c r="L252" s="7">
        <f>IF($H252="","",$H252-'[2]Read Me'!$B$4)</f>
        <v>66</v>
      </c>
      <c r="M252" s="4" t="str">
        <f>IF($I252="Complete","Green",IF($H252="","Amber",IF($H252&lt;'[2]Read Me'!$B$4,"Red",IF($H252-'[2]Read Me'!$B$4&lt;=21,"Amber","Green"))))</f>
        <v>Green</v>
      </c>
      <c r="N252" s="3"/>
      <c r="O252" t="str">
        <f>IF($I252&lt;&gt;"Complete",IF(COUNTIFS($A$4:$A251,$A252,$B$4:$B251,$B252,$I$4:$I251,"&lt;&gt;Complete")=0,$A252&amp;"|"&amp;$B252,""),"")</f>
        <v/>
      </c>
      <c r="P252" t="str">
        <f ca="1">IF($K252="Yes",COUNTIFS($K$4:$K252,"Yes"),"")</f>
        <v/>
      </c>
      <c r="Q252">
        <f t="shared" ca="1" si="12"/>
        <v>0</v>
      </c>
      <c r="R252" t="str">
        <f ca="1">IF($Q252=1,SUM($Q$4:$Q252),"")</f>
        <v/>
      </c>
    </row>
    <row r="253" spans="1:18" ht="22.5" customHeight="1" x14ac:dyDescent="0.3">
      <c r="A253" s="2" t="s">
        <v>758</v>
      </c>
      <c r="B253" s="2" t="s">
        <v>21</v>
      </c>
      <c r="C253" s="3" t="s">
        <v>758</v>
      </c>
      <c r="D253" s="3" t="s">
        <v>47</v>
      </c>
      <c r="E253" s="2" t="s">
        <v>760</v>
      </c>
      <c r="F253" s="2" t="s">
        <v>265</v>
      </c>
      <c r="G253" s="5">
        <v>46180</v>
      </c>
      <c r="H253" s="5">
        <v>46267</v>
      </c>
      <c r="I253" s="4" t="s">
        <v>17</v>
      </c>
      <c r="J253" s="6">
        <f t="shared" si="10"/>
        <v>87</v>
      </c>
      <c r="K253" s="4" t="str">
        <f t="shared" ca="1" si="13"/>
        <v>No</v>
      </c>
      <c r="L253" s="7">
        <f>IF($H253="","",$H253-'[2]Read Me'!$B$4)</f>
        <v>80</v>
      </c>
      <c r="M253" s="4" t="str">
        <f>IF($I253="Complete","Green",IF($H253="","Amber",IF($H253&lt;'[2]Read Me'!$B$4,"Red",IF($H253-'[2]Read Me'!$B$4&lt;=21,"Amber","Green"))))</f>
        <v>Green</v>
      </c>
      <c r="N253" s="3"/>
      <c r="O253" t="str">
        <f>IF($I253&lt;&gt;"Complete",IF(COUNTIFS($A$4:$A252,$A253,$B$4:$B252,$B253,$I$4:$I252,"&lt;&gt;Complete")=0,$A253&amp;"|"&amp;$B253,""),"")</f>
        <v/>
      </c>
      <c r="P253" t="str">
        <f ca="1">IF($K253="Yes",COUNTIFS($K$4:$K253,"Yes"),"")</f>
        <v/>
      </c>
      <c r="Q253">
        <f t="shared" ca="1" si="12"/>
        <v>0</v>
      </c>
      <c r="R253" t="str">
        <f ca="1">IF($Q253=1,SUM($Q$4:$Q253),"")</f>
        <v/>
      </c>
    </row>
    <row r="254" spans="1:18" ht="22.5" customHeight="1" x14ac:dyDescent="0.3">
      <c r="A254" s="2" t="s">
        <v>758</v>
      </c>
      <c r="B254" s="2" t="s">
        <v>21</v>
      </c>
      <c r="C254" s="3" t="s">
        <v>758</v>
      </c>
      <c r="D254" s="3" t="s">
        <v>133</v>
      </c>
      <c r="E254" s="2" t="s">
        <v>760</v>
      </c>
      <c r="F254" s="2" t="s">
        <v>277</v>
      </c>
      <c r="G254" s="5">
        <v>46208</v>
      </c>
      <c r="H254" s="5">
        <v>46295</v>
      </c>
      <c r="I254" s="4" t="s">
        <v>17</v>
      </c>
      <c r="J254" s="6">
        <f t="shared" si="10"/>
        <v>87</v>
      </c>
      <c r="K254" s="4" t="str">
        <f t="shared" ca="1" si="13"/>
        <v>No</v>
      </c>
      <c r="L254" s="7">
        <f>IF($H254="","",$H254-'[2]Read Me'!$B$4)</f>
        <v>108</v>
      </c>
      <c r="M254" s="4" t="str">
        <f>IF($I254="Complete","Green",IF($H254="","Amber",IF($H254&lt;'[2]Read Me'!$B$4,"Red",IF($H254-'[2]Read Me'!$B$4&lt;=21,"Amber","Green"))))</f>
        <v>Green</v>
      </c>
      <c r="N254" s="3"/>
      <c r="O254" t="str">
        <f>IF($I254&lt;&gt;"Complete",IF(COUNTIFS($A$4:$A253,$A254,$B$4:$B253,$B254,$I$4:$I253,"&lt;&gt;Complete")=0,$A254&amp;"|"&amp;$B254,""),"")</f>
        <v/>
      </c>
      <c r="P254" t="str">
        <f ca="1">IF($K254="Yes",COUNTIFS($K$4:$K254,"Yes"),"")</f>
        <v/>
      </c>
      <c r="Q254">
        <f t="shared" ca="1" si="12"/>
        <v>0</v>
      </c>
      <c r="R254" t="str">
        <f ca="1">IF($Q254=1,SUM($Q$4:$Q254),"")</f>
        <v/>
      </c>
    </row>
    <row r="255" spans="1:18" ht="22.5" customHeight="1" x14ac:dyDescent="0.3">
      <c r="A255" s="2" t="s">
        <v>758</v>
      </c>
      <c r="B255" s="2" t="s">
        <v>21</v>
      </c>
      <c r="C255" s="3" t="s">
        <v>758</v>
      </c>
      <c r="D255" s="3" t="s">
        <v>134</v>
      </c>
      <c r="E255" s="2" t="s">
        <v>760</v>
      </c>
      <c r="F255" s="2" t="s">
        <v>265</v>
      </c>
      <c r="G255" s="5">
        <v>46222</v>
      </c>
      <c r="H255" s="5">
        <v>46309</v>
      </c>
      <c r="I255" s="4" t="s">
        <v>17</v>
      </c>
      <c r="J255" s="6">
        <f t="shared" si="10"/>
        <v>87</v>
      </c>
      <c r="K255" s="4" t="str">
        <f t="shared" ca="1" si="13"/>
        <v>No</v>
      </c>
      <c r="L255" s="7">
        <f>IF($H255="","",$H255-'[2]Read Me'!$B$4)</f>
        <v>122</v>
      </c>
      <c r="M255" s="4" t="str">
        <f>IF($I255="Complete","Green",IF($H255="","Amber",IF($H255&lt;'[2]Read Me'!$B$4,"Red",IF($H255-'[2]Read Me'!$B$4&lt;=21,"Amber","Green"))))</f>
        <v>Green</v>
      </c>
      <c r="N255" s="3"/>
      <c r="O255" t="str">
        <f>IF($I255&lt;&gt;"Complete",IF(COUNTIFS($A$4:$A254,$A255,$B$4:$B254,$B255,$I$4:$I254,"&lt;&gt;Complete")=0,$A255&amp;"|"&amp;$B255,""),"")</f>
        <v/>
      </c>
      <c r="P255" t="str">
        <f ca="1">IF($K255="Yes",COUNTIFS($K$4:$K255,"Yes"),"")</f>
        <v/>
      </c>
      <c r="Q255">
        <f t="shared" ca="1" si="12"/>
        <v>0</v>
      </c>
      <c r="R255" t="str">
        <f ca="1">IF($Q255=1,SUM($Q$4:$Q255),"")</f>
        <v/>
      </c>
    </row>
    <row r="256" spans="1:18" ht="22.5" customHeight="1" x14ac:dyDescent="0.3">
      <c r="A256" s="2" t="s">
        <v>758</v>
      </c>
      <c r="B256" s="2" t="s">
        <v>21</v>
      </c>
      <c r="C256" s="3" t="s">
        <v>758</v>
      </c>
      <c r="D256" s="3" t="s">
        <v>18</v>
      </c>
      <c r="E256" s="2" t="s">
        <v>760</v>
      </c>
      <c r="F256" s="2" t="s">
        <v>277</v>
      </c>
      <c r="G256" s="5">
        <v>46250</v>
      </c>
      <c r="H256" s="5">
        <v>46337</v>
      </c>
      <c r="I256" s="4" t="s">
        <v>17</v>
      </c>
      <c r="J256" s="6">
        <f t="shared" si="10"/>
        <v>87</v>
      </c>
      <c r="K256" s="4" t="str">
        <f t="shared" ca="1" si="13"/>
        <v>No</v>
      </c>
      <c r="L256" s="7">
        <f>IF($H256="","",$H256-'[2]Read Me'!$B$4)</f>
        <v>150</v>
      </c>
      <c r="M256" s="4" t="str">
        <f>IF($I256="Complete","Green",IF($H256="","Amber",IF($H256&lt;'[2]Read Me'!$B$4,"Red",IF($H256-'[2]Read Me'!$B$4&lt;=21,"Amber","Green"))))</f>
        <v>Green</v>
      </c>
      <c r="N256" s="3"/>
      <c r="O256" t="str">
        <f>IF($I256&lt;&gt;"Complete",IF(COUNTIFS($A$4:$A255,$A256,$B$4:$B255,$B256,$I$4:$I255,"&lt;&gt;Complete")=0,$A256&amp;"|"&amp;$B256,""),"")</f>
        <v/>
      </c>
      <c r="P256" t="str">
        <f ca="1">IF($K256="Yes",COUNTIFS($K$4:$K256,"Yes"),"")</f>
        <v/>
      </c>
      <c r="Q256">
        <f t="shared" ca="1" si="12"/>
        <v>0</v>
      </c>
      <c r="R256" t="str">
        <f ca="1">IF($Q256=1,SUM($Q$4:$Q256),"")</f>
        <v/>
      </c>
    </row>
    <row r="257" spans="1:18" ht="22.5" customHeight="1" x14ac:dyDescent="0.3">
      <c r="A257" s="2" t="s">
        <v>758</v>
      </c>
      <c r="B257" s="2" t="s">
        <v>21</v>
      </c>
      <c r="C257" s="3" t="s">
        <v>758</v>
      </c>
      <c r="D257" s="3" t="s">
        <v>32</v>
      </c>
      <c r="E257" s="2" t="s">
        <v>760</v>
      </c>
      <c r="F257" s="2" t="s">
        <v>265</v>
      </c>
      <c r="G257" s="5">
        <v>46264</v>
      </c>
      <c r="H257" s="5">
        <v>46351</v>
      </c>
      <c r="I257" s="4" t="s">
        <v>17</v>
      </c>
      <c r="J257" s="6">
        <f t="shared" si="10"/>
        <v>87</v>
      </c>
      <c r="K257" s="4" t="str">
        <f t="shared" ca="1" si="13"/>
        <v>No</v>
      </c>
      <c r="L257" s="7">
        <f>IF($H257="","",$H257-'[2]Read Me'!$B$4)</f>
        <v>164</v>
      </c>
      <c r="M257" s="4" t="str">
        <f>IF($I257="Complete","Green",IF($H257="","Amber",IF($H257&lt;'[2]Read Me'!$B$4,"Red",IF($H257-'[2]Read Me'!$B$4&lt;=21,"Amber","Green"))))</f>
        <v>Green</v>
      </c>
      <c r="N257" s="3"/>
      <c r="O257" t="str">
        <f>IF($I257&lt;&gt;"Complete",IF(COUNTIFS($A$4:$A256,$A257,$B$4:$B256,$B257,$I$4:$I256,"&lt;&gt;Complete")=0,$A257&amp;"|"&amp;$B257,""),"")</f>
        <v/>
      </c>
      <c r="P257" t="str">
        <f ca="1">IF($K257="Yes",COUNTIFS($K$4:$K257,"Yes"),"")</f>
        <v/>
      </c>
      <c r="Q257">
        <f t="shared" ca="1" si="12"/>
        <v>0</v>
      </c>
      <c r="R257" t="str">
        <f ca="1">IF($Q257=1,SUM($Q$4:$Q257),"")</f>
        <v/>
      </c>
    </row>
    <row r="258" spans="1:18" ht="45" customHeight="1" x14ac:dyDescent="0.3">
      <c r="A258" s="2" t="s">
        <v>758</v>
      </c>
      <c r="B258" s="2" t="s">
        <v>21</v>
      </c>
      <c r="C258" s="3" t="s">
        <v>758</v>
      </c>
      <c r="D258" s="3" t="s">
        <v>15</v>
      </c>
      <c r="E258" s="2" t="s">
        <v>760</v>
      </c>
      <c r="F258" s="2" t="s">
        <v>277</v>
      </c>
      <c r="G258" s="5">
        <v>46306</v>
      </c>
      <c r="H258" s="5">
        <v>46393</v>
      </c>
      <c r="I258" s="4" t="s">
        <v>17</v>
      </c>
      <c r="J258" s="6">
        <f t="shared" si="10"/>
        <v>87</v>
      </c>
      <c r="K258" s="4" t="str">
        <f t="shared" ca="1" si="13"/>
        <v>No</v>
      </c>
      <c r="L258" s="7">
        <f>IF($H258="","",$H258-'[2]Read Me'!$B$4)</f>
        <v>206</v>
      </c>
      <c r="M258" s="4" t="str">
        <f>IF($I258="Complete","Green",IF($H258="","Amber",IF($H258&lt;'[2]Read Me'!$B$4,"Red",IF($H258-'[2]Read Me'!$B$4&lt;=21,"Amber","Green"))))</f>
        <v>Green</v>
      </c>
      <c r="N258" s="3"/>
      <c r="O258" t="str">
        <f>IF($I258&lt;&gt;"Complete",IF(COUNTIFS($A$4:$A257,$A258,$B$4:$B257,$B258,$I$4:$I257,"&lt;&gt;Complete")=0,$A258&amp;"|"&amp;$B258,""),"")</f>
        <v/>
      </c>
      <c r="P258" t="str">
        <f ca="1">IF($K258="Yes",COUNTIFS($K$4:$K258,"Yes"),"")</f>
        <v/>
      </c>
      <c r="Q258">
        <f t="shared" ca="1" si="12"/>
        <v>0</v>
      </c>
      <c r="R258" t="str">
        <f ca="1">IF($Q258=1,SUM($Q$4:$Q258),"")</f>
        <v/>
      </c>
    </row>
    <row r="259" spans="1:18" ht="45" customHeight="1" x14ac:dyDescent="0.3">
      <c r="A259" s="2" t="s">
        <v>758</v>
      </c>
      <c r="B259" s="2" t="s">
        <v>21</v>
      </c>
      <c r="C259" s="3" t="s">
        <v>758</v>
      </c>
      <c r="D259" s="3" t="s">
        <v>35</v>
      </c>
      <c r="E259" s="2" t="s">
        <v>760</v>
      </c>
      <c r="F259" s="2" t="s">
        <v>265</v>
      </c>
      <c r="G259" s="5">
        <v>46320</v>
      </c>
      <c r="H259" s="5">
        <v>46407</v>
      </c>
      <c r="I259" s="4" t="s">
        <v>17</v>
      </c>
      <c r="J259" s="6">
        <f t="shared" si="10"/>
        <v>87</v>
      </c>
      <c r="K259" s="4" t="str">
        <f t="shared" ca="1" si="13"/>
        <v>No</v>
      </c>
      <c r="L259" s="7">
        <f>IF($H259="","",$H259-'[2]Read Me'!$B$4)</f>
        <v>220</v>
      </c>
      <c r="M259" s="4" t="str">
        <f>IF($I259="Complete","Green",IF($H259="","Amber",IF($H259&lt;'[2]Read Me'!$B$4,"Red",IF($H259-'[2]Read Me'!$B$4&lt;=21,"Amber","Green"))))</f>
        <v>Green</v>
      </c>
      <c r="N259" s="3"/>
      <c r="O259" t="str">
        <f>IF($I259&lt;&gt;"Complete",IF(COUNTIFS($A$4:$A258,$A259,$B$4:$B258,$B259,$I$4:$I258,"&lt;&gt;Complete")=0,$A259&amp;"|"&amp;$B259,""),"")</f>
        <v/>
      </c>
      <c r="P259" t="str">
        <f ca="1">IF($K259="Yes",COUNTIFS($K$4:$K259,"Yes"),"")</f>
        <v/>
      </c>
      <c r="Q259">
        <f t="shared" ca="1" si="12"/>
        <v>0</v>
      </c>
      <c r="R259" t="str">
        <f ca="1">IF($Q259=1,SUM($Q$4:$Q259),"")</f>
        <v/>
      </c>
    </row>
    <row r="260" spans="1:18" ht="45" customHeight="1" x14ac:dyDescent="0.3">
      <c r="A260" s="2" t="s">
        <v>761</v>
      </c>
      <c r="B260" s="2" t="s">
        <v>41</v>
      </c>
      <c r="C260" s="3"/>
      <c r="D260" s="3"/>
      <c r="E260" s="2"/>
      <c r="F260" s="2"/>
      <c r="G260" s="5">
        <v>46300</v>
      </c>
      <c r="H260" s="5">
        <v>46364</v>
      </c>
      <c r="I260" s="4"/>
      <c r="J260" s="6">
        <f t="shared" ref="J260:J312" si="14">IF(OR($G260="",$H260=""),"",$H260-$G260)</f>
        <v>64</v>
      </c>
      <c r="K260" s="4" t="str">
        <f t="shared" ca="1" si="13"/>
        <v>No</v>
      </c>
      <c r="L260" s="7">
        <f>IF($H260="","",$H260-'[2]Read Me'!$B$4)</f>
        <v>177</v>
      </c>
      <c r="M260" s="4" t="str">
        <f>IF($I260="Complete","Green",IF($H260="","Amber",IF($H260&lt;'[2]Read Me'!$B$4,"Red",IF($H260-'[2]Read Me'!$B$4&lt;=21,"Amber","Green"))))</f>
        <v>Green</v>
      </c>
      <c r="N260" s="3"/>
      <c r="O260" t="str">
        <f>IF($I260&lt;&gt;"Complete",IF(COUNTIFS($A$4:$A259,$A260,$B$4:$B259,$B260,$I$4:$I259,"&lt;&gt;Complete")=0,$A260&amp;"|"&amp;$B260,""),"")</f>
        <v>Interior - Hotel|Fit-out</v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 t="s">
        <v>761</v>
      </c>
      <c r="B261" s="2" t="s">
        <v>41</v>
      </c>
      <c r="C261" s="3" t="s">
        <v>761</v>
      </c>
      <c r="D261" s="3" t="s">
        <v>98</v>
      </c>
      <c r="E261" s="2"/>
      <c r="F261" s="2" t="s">
        <v>751</v>
      </c>
      <c r="G261" s="5">
        <v>46202</v>
      </c>
      <c r="H261" s="5">
        <v>46266</v>
      </c>
      <c r="I261" s="4" t="s">
        <v>17</v>
      </c>
      <c r="J261" s="6">
        <f t="shared" si="14"/>
        <v>64</v>
      </c>
      <c r="K261" s="4" t="str">
        <f t="shared" ca="1" si="13"/>
        <v>No</v>
      </c>
      <c r="L261" s="7">
        <f>IF($H261="","",$H261-'[2]Read Me'!$B$4)</f>
        <v>79</v>
      </c>
      <c r="M261" s="4" t="str">
        <f>IF($I261="Complete","Green",IF($H261="","Amber",IF($H261&lt;'[2]Read Me'!$B$4,"Red",IF($H261-'[2]Read Me'!$B$4&lt;=21,"Amber","Green"))))</f>
        <v>Green</v>
      </c>
      <c r="N261" s="3"/>
      <c r="O261" t="str">
        <f>IF($I261&lt;&gt;"Complete",IF(COUNTIFS($A$4:$A260,$A261,$B$4:$B260,$B261,$I$4:$I260,"&lt;&gt;Complete")=0,$A261&amp;"|"&amp;$B261,""),"")</f>
        <v/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 t="s">
        <v>761</v>
      </c>
      <c r="B262" s="2" t="s">
        <v>41</v>
      </c>
      <c r="C262" s="3" t="s">
        <v>761</v>
      </c>
      <c r="D262" s="3" t="s">
        <v>18</v>
      </c>
      <c r="E262" s="2"/>
      <c r="F262" s="2" t="s">
        <v>751</v>
      </c>
      <c r="G262" s="5">
        <v>46244</v>
      </c>
      <c r="H262" s="5">
        <v>46308</v>
      </c>
      <c r="I262" s="4" t="s">
        <v>17</v>
      </c>
      <c r="J262" s="6">
        <f t="shared" si="14"/>
        <v>64</v>
      </c>
      <c r="K262" s="4" t="str">
        <f t="shared" ca="1" si="13"/>
        <v>No</v>
      </c>
      <c r="L262" s="7">
        <f>IF($H262="","",$H262-'[2]Read Me'!$B$4)</f>
        <v>121</v>
      </c>
      <c r="M262" s="4" t="str">
        <f>IF($I262="Complete","Green",IF($H262="","Amber",IF($H262&lt;'[2]Read Me'!$B$4,"Red",IF($H262-'[2]Read Me'!$B$4&lt;=21,"Amber","Green"))))</f>
        <v>Green</v>
      </c>
      <c r="N262" s="3"/>
      <c r="O262" t="str">
        <f>IF($I262&lt;&gt;"Complete",IF(COUNTIFS($A$4:$A261,$A262,$B$4:$B261,$B262,$I$4:$I261,"&lt;&gt;Complete")=0,$A262&amp;"|"&amp;$B262,""),"")</f>
        <v/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 t="s">
        <v>761</v>
      </c>
      <c r="B263" s="2" t="s">
        <v>41</v>
      </c>
      <c r="C263" s="3" t="s">
        <v>761</v>
      </c>
      <c r="D263" s="3" t="s">
        <v>15</v>
      </c>
      <c r="E263" s="2"/>
      <c r="F263" s="2" t="s">
        <v>751</v>
      </c>
      <c r="G263" s="5">
        <v>46300</v>
      </c>
      <c r="H263" s="5">
        <v>46364</v>
      </c>
      <c r="I263" s="4" t="s">
        <v>17</v>
      </c>
      <c r="J263" s="6">
        <f t="shared" si="14"/>
        <v>64</v>
      </c>
      <c r="K263" s="4" t="str">
        <f t="shared" ca="1" si="13"/>
        <v>No</v>
      </c>
      <c r="L263" s="7">
        <f>IF($H263="","",$H263-'[2]Read Me'!$B$4)</f>
        <v>177</v>
      </c>
      <c r="M263" s="4" t="str">
        <f>IF($I263="Complete","Green",IF($H263="","Amber",IF($H263&lt;'[2]Read Me'!$B$4,"Red",IF($H263-'[2]Read Me'!$B$4&lt;=21,"Amber","Green"))))</f>
        <v>Green</v>
      </c>
      <c r="N263" s="3"/>
      <c r="O263" t="str">
        <f>IF($I263&lt;&gt;"Complete",IF(COUNTIFS($A$4:$A262,$A263,$B$4:$B262,$B263,$I$4:$I262,"&lt;&gt;Complete")=0,$A263&amp;"|"&amp;$B263,""),"")</f>
        <v/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 t="s">
        <v>762</v>
      </c>
      <c r="B264" s="2" t="s">
        <v>49</v>
      </c>
      <c r="C264" s="3"/>
      <c r="D264" s="3"/>
      <c r="E264" s="2"/>
      <c r="F264" s="2"/>
      <c r="G264" s="5">
        <v>46503</v>
      </c>
      <c r="H264" s="5">
        <v>46567</v>
      </c>
      <c r="I264" s="4"/>
      <c r="J264" s="6">
        <f t="shared" si="14"/>
        <v>64</v>
      </c>
      <c r="K264" s="4" t="str">
        <f t="shared" ca="1" si="13"/>
        <v>No</v>
      </c>
      <c r="L264" s="7">
        <f>IF($H264="","",$H264-'[2]Read Me'!$B$4)</f>
        <v>380</v>
      </c>
      <c r="M264" s="4" t="str">
        <f>IF($I264="Complete","Green",IF($H264="","Amber",IF($H264&lt;'[2]Read Me'!$B$4,"Red",IF($H264-'[2]Read Me'!$B$4&lt;=21,"Amber","Green"))))</f>
        <v>Green</v>
      </c>
      <c r="N264" s="3"/>
      <c r="O264" t="str">
        <f>IF($I264&lt;&gt;"Complete",IF(COUNTIFS($A$4:$A263,$A264,$B$4:$B263,$B264,$I$4:$I263,"&lt;&gt;Complete")=0,$A264&amp;"|"&amp;$B264,""),"")</f>
        <v>Authorities Issuance - Hotel|Authorities</v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 t="s">
        <v>762</v>
      </c>
      <c r="B265" s="2" t="s">
        <v>49</v>
      </c>
      <c r="C265" s="3" t="s">
        <v>762</v>
      </c>
      <c r="D265" s="3" t="s">
        <v>103</v>
      </c>
      <c r="E265" s="2" t="s">
        <v>104</v>
      </c>
      <c r="F265" s="2"/>
      <c r="G265" s="5">
        <v>46342</v>
      </c>
      <c r="H265" s="5">
        <v>46406</v>
      </c>
      <c r="I265" s="4" t="s">
        <v>17</v>
      </c>
      <c r="J265" s="6">
        <f t="shared" si="14"/>
        <v>64</v>
      </c>
      <c r="K265" s="4" t="str">
        <f t="shared" ref="K265:K312" ca="1" si="16">IF($H265="","",IF($H265&lt;TODAY(),"No","Yes"))</f>
        <v>Yes</v>
      </c>
      <c r="L265" s="7">
        <f>IF($H265="","",$H265-'[2]Read Me'!$B$4)</f>
        <v>219</v>
      </c>
      <c r="M265" s="4" t="str">
        <f>IF($I265="Complete","Green",IF($H265="","Amber",IF($H265&lt;'[2]Read Me'!$B$4,"Red",IF($H265-'[2]Read Me'!$B$4&lt;=21,"Amber","Green"))))</f>
        <v>Green</v>
      </c>
      <c r="N265" s="3"/>
      <c r="O265" t="str">
        <f>IF($I265&lt;&gt;"Complete",IF(COUNTIFS($A$4:$A264,$A265,$B$4:$B264,$B265,$I$4:$I264,"&lt;&gt;Complete")=0,$A265&amp;"|"&amp;$B265,""),"")</f>
        <v/>
      </c>
      <c r="P265">
        <f ca="1">IF($K265="Yes",COUNTIFS($K$4:$K265,"Yes"),"")</f>
        <v>12</v>
      </c>
      <c r="Q265">
        <f t="shared" ca="1" si="15"/>
        <v>1</v>
      </c>
      <c r="R265">
        <f ca="1">IF($Q265=1,SUM($Q$4:$Q265),"")</f>
        <v>12</v>
      </c>
    </row>
    <row r="266" spans="1:18" ht="45" customHeight="1" x14ac:dyDescent="0.3">
      <c r="A266" s="2" t="s">
        <v>762</v>
      </c>
      <c r="B266" s="2" t="s">
        <v>49</v>
      </c>
      <c r="C266" s="3" t="s">
        <v>762</v>
      </c>
      <c r="D266" s="3" t="s">
        <v>368</v>
      </c>
      <c r="E266" s="2" t="s">
        <v>104</v>
      </c>
      <c r="F266" s="2"/>
      <c r="G266" s="5">
        <v>46433</v>
      </c>
      <c r="H266" s="5">
        <v>46497</v>
      </c>
      <c r="I266" s="4" t="s">
        <v>17</v>
      </c>
      <c r="J266" s="6">
        <f t="shared" si="14"/>
        <v>64</v>
      </c>
      <c r="K266" s="4" t="str">
        <f t="shared" ca="1" si="16"/>
        <v>Yes</v>
      </c>
      <c r="L266" s="7">
        <f>IF($H266="","",$H266-'[2]Read Me'!$B$4)</f>
        <v>310</v>
      </c>
      <c r="M266" s="4" t="str">
        <f>IF($I266="Complete","Green",IF($H266="","Amber",IF($H266&lt;'[2]Read Me'!$B$4,"Red",IF($H266-'[2]Read Me'!$B$4&lt;=21,"Amber","Green"))))</f>
        <v>Green</v>
      </c>
      <c r="N266" s="3"/>
      <c r="O266" t="str">
        <f>IF($I266&lt;&gt;"Complete",IF(COUNTIFS($A$4:$A265,$A266,$B$4:$B265,$B266,$I$4:$I265,"&lt;&gt;Complete")=0,$A266&amp;"|"&amp;$B266,""),"")</f>
        <v/>
      </c>
      <c r="P266">
        <f ca="1">IF($K266="Yes",COUNTIFS($K$4:$K266,"Yes"),"")</f>
        <v>13</v>
      </c>
      <c r="Q266">
        <f t="shared" ca="1" si="15"/>
        <v>1</v>
      </c>
      <c r="R266">
        <f ca="1">IF($Q266=1,SUM($Q$4:$Q266),"")</f>
        <v>13</v>
      </c>
    </row>
    <row r="267" spans="1:18" ht="45" customHeight="1" x14ac:dyDescent="0.3">
      <c r="A267" s="2" t="s">
        <v>762</v>
      </c>
      <c r="B267" s="2" t="s">
        <v>49</v>
      </c>
      <c r="C267" s="3" t="s">
        <v>762</v>
      </c>
      <c r="D267" s="3" t="s">
        <v>91</v>
      </c>
      <c r="E267" s="2" t="s">
        <v>104</v>
      </c>
      <c r="F267" s="2"/>
      <c r="G267" s="5">
        <v>46461</v>
      </c>
      <c r="H267" s="5">
        <v>46525</v>
      </c>
      <c r="I267" s="4" t="s">
        <v>17</v>
      </c>
      <c r="J267" s="6">
        <f t="shared" si="14"/>
        <v>64</v>
      </c>
      <c r="K267" s="4" t="str">
        <f t="shared" ca="1" si="16"/>
        <v>Yes</v>
      </c>
      <c r="L267" s="7">
        <f>IF($H267="","",$H267-'[2]Read Me'!$B$4)</f>
        <v>338</v>
      </c>
      <c r="M267" s="4" t="str">
        <f>IF($I267="Complete","Green",IF($H267="","Amber",IF($H267&lt;'[2]Read Me'!$B$4,"Red",IF($H267-'[2]Read Me'!$B$4&lt;=21,"Amber","Green"))))</f>
        <v>Green</v>
      </c>
      <c r="N267" s="3"/>
      <c r="O267" t="str">
        <f>IF($I267&lt;&gt;"Complete",IF(COUNTIFS($A$4:$A266,$A267,$B$4:$B266,$B267,$I$4:$I266,"&lt;&gt;Complete")=0,$A267&amp;"|"&amp;$B267,""),"")</f>
        <v/>
      </c>
      <c r="P267">
        <f ca="1">IF($K267="Yes",COUNTIFS($K$4:$K267,"Yes"),"")</f>
        <v>14</v>
      </c>
      <c r="Q267">
        <f t="shared" ca="1" si="15"/>
        <v>1</v>
      </c>
      <c r="R267">
        <f ca="1">IF($Q267=1,SUM($Q$4:$Q267),"")</f>
        <v>14</v>
      </c>
    </row>
    <row r="268" spans="1:18" ht="14.25" customHeight="1" x14ac:dyDescent="0.3">
      <c r="A268" s="2" t="s">
        <v>762</v>
      </c>
      <c r="B268" s="2" t="s">
        <v>49</v>
      </c>
      <c r="C268" s="3" t="s">
        <v>762</v>
      </c>
      <c r="D268" s="3" t="s">
        <v>413</v>
      </c>
      <c r="E268" s="2" t="s">
        <v>104</v>
      </c>
      <c r="F268" s="2"/>
      <c r="G268" s="5">
        <v>46503</v>
      </c>
      <c r="H268" s="5">
        <v>46567</v>
      </c>
      <c r="I268" s="4" t="s">
        <v>17</v>
      </c>
      <c r="J268" s="6">
        <f t="shared" si="14"/>
        <v>64</v>
      </c>
      <c r="K268" s="4" t="str">
        <f t="shared" ca="1" si="16"/>
        <v>Yes</v>
      </c>
      <c r="L268" s="7">
        <f>IF($H268="","",$H268-'[2]Read Me'!$B$4)</f>
        <v>380</v>
      </c>
      <c r="M268" s="4" t="str">
        <f>IF($I268="Complete","Green",IF($H268="","Amber",IF($H268&lt;'[2]Read Me'!$B$4,"Red",IF($H268-'[2]Read Me'!$B$4&lt;=21,"Amber","Green"))))</f>
        <v>Green</v>
      </c>
      <c r="N268" s="3"/>
      <c r="O268" t="str">
        <f>IF($I268&lt;&gt;"Complete",IF(COUNTIFS($A$4:$A267,$A268,$B$4:$B267,$B268,$I$4:$I267,"&lt;&gt;Complete")=0,$A268&amp;"|"&amp;$B268,""),"")</f>
        <v/>
      </c>
      <c r="P268">
        <f ca="1">IF($K268="Yes",COUNTIFS($K$4:$K268,"Yes"),"")</f>
        <v>15</v>
      </c>
      <c r="Q268">
        <f t="shared" ca="1" si="15"/>
        <v>1</v>
      </c>
      <c r="R268">
        <f ca="1">IF($Q268=1,SUM($Q$4:$Q268),"")</f>
        <v>15</v>
      </c>
    </row>
    <row r="269" spans="1:18" ht="14.25" customHeight="1" x14ac:dyDescent="0.3">
      <c r="A269" s="2" t="s">
        <v>763</v>
      </c>
      <c r="B269" s="2" t="s">
        <v>140</v>
      </c>
      <c r="C269" s="3"/>
      <c r="D269" s="3"/>
      <c r="E269" s="2"/>
      <c r="F269" s="2"/>
      <c r="G269" s="5">
        <v>46132</v>
      </c>
      <c r="H269" s="5">
        <v>46372</v>
      </c>
      <c r="I269" s="4"/>
      <c r="J269" s="6">
        <f t="shared" si="14"/>
        <v>240</v>
      </c>
      <c r="K269" s="4" t="str">
        <f t="shared" ca="1" si="16"/>
        <v>Yes</v>
      </c>
      <c r="L269" s="7">
        <f>IF($H269="","",$H269-'[2]Read Me'!$B$4)</f>
        <v>185</v>
      </c>
      <c r="M269" s="4" t="str">
        <f>IF($I269="Complete","Green",IF($H269="","Amber",IF($H269&lt;'[2]Read Me'!$B$4,"Red",IF($H269-'[2]Read Me'!$B$4&lt;=21,"Amber","Green"))))</f>
        <v>Green</v>
      </c>
      <c r="N269" s="3"/>
      <c r="O269" t="str">
        <f>IF($I269&lt;&gt;"Complete",IF(COUNTIFS($A$4:$A268,$A269,$B$4:$B268,$B269,$I$4:$I268,"&lt;&gt;Complete")=0,$A269&amp;"|"&amp;$B269,""),"")</f>
        <v>Master Plan - Boomerang|Masterplan</v>
      </c>
      <c r="P269">
        <f ca="1">IF($K269="Yes",COUNTIFS($K$4:$K269,"Yes"),"")</f>
        <v>16</v>
      </c>
      <c r="Q269">
        <f t="shared" ca="1" si="15"/>
        <v>1</v>
      </c>
      <c r="R269">
        <f ca="1">IF($Q269=1,SUM($Q$4:$Q269),"")</f>
        <v>16</v>
      </c>
    </row>
    <row r="270" spans="1:18" ht="14.25" customHeight="1" x14ac:dyDescent="0.3">
      <c r="A270" s="2" t="s">
        <v>763</v>
      </c>
      <c r="B270" s="2" t="s">
        <v>140</v>
      </c>
      <c r="C270" s="3" t="s">
        <v>763</v>
      </c>
      <c r="D270" s="3" t="s">
        <v>149</v>
      </c>
      <c r="E270" s="2"/>
      <c r="F270" s="2"/>
      <c r="G270" s="5">
        <v>45998</v>
      </c>
      <c r="H270" s="5">
        <v>45998</v>
      </c>
      <c r="I270" s="4" t="s">
        <v>31</v>
      </c>
      <c r="J270" s="6">
        <f t="shared" si="14"/>
        <v>0</v>
      </c>
      <c r="K270" s="4" t="str">
        <f t="shared" ca="1" si="16"/>
        <v>No</v>
      </c>
      <c r="L270" s="7">
        <f>IF($H270="","",$H270-'[2]Read Me'!$B$4)</f>
        <v>-189</v>
      </c>
      <c r="M270" s="4" t="str">
        <f>IF($I270="Complete","Green",IF($H270="","Amber",IF($H270&lt;'[2]Read Me'!$B$4,"Red",IF($H270-'[2]Read Me'!$B$4&lt;=21,"Amber","Green"))))</f>
        <v>Red</v>
      </c>
      <c r="N270" s="3"/>
      <c r="O270" t="str">
        <f>IF($I270&lt;&gt;"Complete",IF(COUNTIFS($A$4:$A269,$A270,$B$4:$B269,$B270,$I$4:$I269,"&lt;&gt;Complete")=0,$A270&amp;"|"&amp;$B270,""),"")</f>
        <v/>
      </c>
      <c r="P270" t="str">
        <f ca="1">IF($K270="Yes",COUNTIFS($K$4:$K270,"Yes"),"")</f>
        <v/>
      </c>
      <c r="Q270">
        <f t="shared" ca="1" si="15"/>
        <v>0</v>
      </c>
      <c r="R270" t="str">
        <f ca="1">IF($Q270=1,SUM($Q$4:$Q270),"")</f>
        <v/>
      </c>
    </row>
    <row r="271" spans="1:18" ht="14.25" customHeight="1" x14ac:dyDescent="0.3">
      <c r="A271" s="2" t="s">
        <v>763</v>
      </c>
      <c r="B271" s="2" t="s">
        <v>140</v>
      </c>
      <c r="C271" s="3" t="s">
        <v>763</v>
      </c>
      <c r="D271" s="3" t="s">
        <v>150</v>
      </c>
      <c r="E271" s="2"/>
      <c r="F271" s="2" t="s">
        <v>764</v>
      </c>
      <c r="G271" s="5">
        <v>46013</v>
      </c>
      <c r="H271" s="5">
        <v>46012</v>
      </c>
      <c r="I271" s="4" t="s">
        <v>31</v>
      </c>
      <c r="J271" s="6">
        <f t="shared" si="14"/>
        <v>-1</v>
      </c>
      <c r="K271" s="4" t="str">
        <f t="shared" ca="1" si="16"/>
        <v>No</v>
      </c>
      <c r="L271" s="7">
        <f>IF($H271="","",$H271-'[2]Read Me'!$B$4)</f>
        <v>-175</v>
      </c>
      <c r="M271" s="4" t="str">
        <f>IF($I271="Complete","Green",IF($H271="","Amber",IF($H271&lt;'[2]Read Me'!$B$4,"Red",IF($H271-'[2]Read Me'!$B$4&lt;=21,"Amber","Green"))))</f>
        <v>Red</v>
      </c>
      <c r="N271" s="3"/>
      <c r="O271" t="str">
        <f>IF($I271&lt;&gt;"Complete",IF(COUNTIFS($A$4:$A270,$A271,$B$4:$B270,$B271,$I$4:$I270,"&lt;&gt;Complete")=0,$A271&amp;"|"&amp;$B271,""),"")</f>
        <v/>
      </c>
      <c r="P271" t="str">
        <f ca="1">IF($K271="Yes",COUNTIFS($K$4:$K271,"Yes"),"")</f>
        <v/>
      </c>
      <c r="Q271">
        <f t="shared" ca="1" si="15"/>
        <v>0</v>
      </c>
      <c r="R271" t="str">
        <f ca="1">IF($Q271=1,SUM($Q$4:$Q271),"")</f>
        <v/>
      </c>
    </row>
    <row r="272" spans="1:18" ht="14.25" customHeight="1" x14ac:dyDescent="0.3">
      <c r="A272" s="2" t="s">
        <v>763</v>
      </c>
      <c r="B272" s="2" t="s">
        <v>140</v>
      </c>
      <c r="C272" s="3" t="s">
        <v>763</v>
      </c>
      <c r="D272" s="3" t="s">
        <v>151</v>
      </c>
      <c r="E272" s="2"/>
      <c r="F272" s="2" t="s">
        <v>750</v>
      </c>
      <c r="G272" s="5">
        <v>46027</v>
      </c>
      <c r="H272" s="5">
        <v>46026</v>
      </c>
      <c r="I272" s="4" t="s">
        <v>31</v>
      </c>
      <c r="J272" s="6">
        <f t="shared" si="14"/>
        <v>-1</v>
      </c>
      <c r="K272" s="4" t="str">
        <f t="shared" ca="1" si="16"/>
        <v>No</v>
      </c>
      <c r="L272" s="7">
        <f>IF($H272="","",$H272-'[2]Read Me'!$B$4)</f>
        <v>-161</v>
      </c>
      <c r="M272" s="4" t="str">
        <f>IF($I272="Complete","Green",IF($H272="","Amber",IF($H272&lt;'[2]Read Me'!$B$4,"Red",IF($H272-'[2]Read Me'!$B$4&lt;=21,"Amber","Green"))))</f>
        <v>Red</v>
      </c>
      <c r="N272" s="3"/>
      <c r="O272" t="str">
        <f>IF($I272&lt;&gt;"Complete",IF(COUNTIFS($A$4:$A271,$A272,$B$4:$B271,$B272,$I$4:$I271,"&lt;&gt;Complete")=0,$A272&amp;"|"&amp;$B272,""),"")</f>
        <v/>
      </c>
      <c r="P272" t="str">
        <f ca="1">IF($K272="Yes",COUNTIFS($K$4:$K272,"Yes"),"")</f>
        <v/>
      </c>
      <c r="Q272">
        <f t="shared" ca="1" si="15"/>
        <v>0</v>
      </c>
      <c r="R272" t="str">
        <f ca="1">IF($Q272=1,SUM($Q$4:$Q272),"")</f>
        <v/>
      </c>
    </row>
    <row r="273" spans="1:18" ht="14.25" customHeight="1" x14ac:dyDescent="0.3">
      <c r="A273" s="2" t="s">
        <v>763</v>
      </c>
      <c r="B273" s="2" t="s">
        <v>140</v>
      </c>
      <c r="C273" s="3" t="s">
        <v>763</v>
      </c>
      <c r="D273" s="3" t="s">
        <v>152</v>
      </c>
      <c r="E273" s="2"/>
      <c r="F273" s="2" t="s">
        <v>750</v>
      </c>
      <c r="G273" s="5">
        <v>46055</v>
      </c>
      <c r="H273" s="5">
        <v>46105</v>
      </c>
      <c r="I273" s="4" t="s">
        <v>31</v>
      </c>
      <c r="J273" s="6">
        <f t="shared" si="14"/>
        <v>50</v>
      </c>
      <c r="K273" s="4" t="str">
        <f t="shared" ca="1" si="16"/>
        <v>No</v>
      </c>
      <c r="L273" s="7">
        <f>IF($H273="","",$H273-'[2]Read Me'!$B$4)</f>
        <v>-82</v>
      </c>
      <c r="M273" s="4" t="str">
        <f>IF($I273="Complete","Green",IF($H273="","Amber",IF($H273&lt;'[2]Read Me'!$B$4,"Red",IF($H273-'[2]Read Me'!$B$4&lt;=21,"Amber","Green"))))</f>
        <v>Red</v>
      </c>
      <c r="N273" s="3"/>
      <c r="O273" t="str">
        <f>IF($I273&lt;&gt;"Complete",IF(COUNTIFS($A$4:$A272,$A273,$B$4:$B272,$B273,$I$4:$I272,"&lt;&gt;Complete")=0,$A273&amp;"|"&amp;$B273,""),"")</f>
        <v/>
      </c>
      <c r="P273" t="str">
        <f ca="1">IF($K273="Yes",COUNTIFS($K$4:$K273,"Yes"),"")</f>
        <v/>
      </c>
      <c r="Q273">
        <f t="shared" ca="1" si="15"/>
        <v>0</v>
      </c>
      <c r="R273" t="str">
        <f ca="1">IF($Q273=1,SUM($Q$4:$Q273),"")</f>
        <v/>
      </c>
    </row>
    <row r="274" spans="1:18" ht="14.25" customHeight="1" x14ac:dyDescent="0.3">
      <c r="A274" s="2" t="s">
        <v>763</v>
      </c>
      <c r="B274" s="2" t="s">
        <v>140</v>
      </c>
      <c r="C274" s="3" t="s">
        <v>763</v>
      </c>
      <c r="D274" s="3" t="s">
        <v>153</v>
      </c>
      <c r="E274" s="2"/>
      <c r="F274" s="2" t="s">
        <v>265</v>
      </c>
      <c r="G274" s="5">
        <v>46062</v>
      </c>
      <c r="H274" s="5">
        <v>46113</v>
      </c>
      <c r="I274" s="4" t="s">
        <v>31</v>
      </c>
      <c r="J274" s="6">
        <f t="shared" si="14"/>
        <v>51</v>
      </c>
      <c r="K274" s="4" t="str">
        <f t="shared" ca="1" si="16"/>
        <v>No</v>
      </c>
      <c r="L274" s="7">
        <f>IF($H274="","",$H274-'[2]Read Me'!$B$4)</f>
        <v>-74</v>
      </c>
      <c r="M274" s="4" t="str">
        <f>IF($I274="Complete","Green",IF($H274="","Amber",IF($H274&lt;'[2]Read Me'!$B$4,"Red",IF($H274-'[2]Read Me'!$B$4&lt;=21,"Amber","Green"))))</f>
        <v>Red</v>
      </c>
      <c r="N274" s="3"/>
      <c r="O274" t="str">
        <f>IF($I274&lt;&gt;"Complete",IF(COUNTIFS($A$4:$A273,$A274,$B$4:$B273,$B274,$I$4:$I273,"&lt;&gt;Complete")=0,$A274&amp;"|"&amp;$B274,""),"")</f>
        <v/>
      </c>
      <c r="P274" t="str">
        <f ca="1">IF($K274="Yes",COUNTIFS($K$4:$K274,"Yes"),"")</f>
        <v/>
      </c>
      <c r="Q274">
        <f t="shared" ca="1" si="15"/>
        <v>0</v>
      </c>
      <c r="R274" t="str">
        <f ca="1">IF($Q274=1,SUM($Q$4:$Q274),"")</f>
        <v/>
      </c>
    </row>
    <row r="275" spans="1:18" ht="14.25" customHeight="1" x14ac:dyDescent="0.3">
      <c r="A275" s="2" t="s">
        <v>763</v>
      </c>
      <c r="B275" s="2" t="s">
        <v>140</v>
      </c>
      <c r="C275" s="3" t="s">
        <v>763</v>
      </c>
      <c r="D275" s="3" t="s">
        <v>154</v>
      </c>
      <c r="E275" s="2"/>
      <c r="F275" s="2" t="s">
        <v>270</v>
      </c>
      <c r="G275" s="5">
        <v>46076</v>
      </c>
      <c r="H275" s="5">
        <v>46141</v>
      </c>
      <c r="I275" s="4" t="s">
        <v>31</v>
      </c>
      <c r="J275" s="6">
        <f t="shared" si="14"/>
        <v>65</v>
      </c>
      <c r="K275" s="4" t="str">
        <f t="shared" ca="1" si="16"/>
        <v>No</v>
      </c>
      <c r="L275" s="7">
        <f>IF($H275="","",$H275-'[2]Read Me'!$B$4)</f>
        <v>-46</v>
      </c>
      <c r="M275" s="4" t="str">
        <f>IF($I275="Complete","Green",IF($H275="","Amber",IF($H275&lt;'[2]Read Me'!$B$4,"Red",IF($H275-'[2]Read Me'!$B$4&lt;=21,"Amber","Green"))))</f>
        <v>Red</v>
      </c>
      <c r="N275" s="3"/>
      <c r="O275" t="str">
        <f>IF($I275&lt;&gt;"Complete",IF(COUNTIFS($A$4:$A274,$A275,$B$4:$B274,$B275,$I$4:$I274,"&lt;&gt;Complete")=0,$A275&amp;"|"&amp;$B275,""),"")</f>
        <v/>
      </c>
      <c r="P275" t="str">
        <f ca="1">IF($K275="Yes",COUNTIFS($K$4:$K275,"Yes"),"")</f>
        <v/>
      </c>
      <c r="Q275">
        <f t="shared" ca="1" si="15"/>
        <v>0</v>
      </c>
      <c r="R275" t="str">
        <f ca="1">IF($Q275=1,SUM($Q$4:$Q275),"")</f>
        <v/>
      </c>
    </row>
    <row r="276" spans="1:18" ht="14.25" customHeight="1" x14ac:dyDescent="0.3">
      <c r="A276" s="2" t="s">
        <v>763</v>
      </c>
      <c r="B276" s="2" t="s">
        <v>140</v>
      </c>
      <c r="C276" s="3" t="s">
        <v>763</v>
      </c>
      <c r="D276" s="3" t="s">
        <v>58</v>
      </c>
      <c r="E276" s="2"/>
      <c r="F276" s="2" t="s">
        <v>265</v>
      </c>
      <c r="G276" s="5">
        <v>46083</v>
      </c>
      <c r="H276" s="5">
        <v>46148</v>
      </c>
      <c r="I276" s="4" t="s">
        <v>31</v>
      </c>
      <c r="J276" s="6">
        <f t="shared" si="14"/>
        <v>65</v>
      </c>
      <c r="K276" s="4" t="str">
        <f t="shared" ca="1" si="16"/>
        <v>No</v>
      </c>
      <c r="L276" s="7">
        <f>IF($H276="","",$H276-'[2]Read Me'!$B$4)</f>
        <v>-39</v>
      </c>
      <c r="M276" s="4" t="str">
        <f>IF($I276="Complete","Green",IF($H276="","Amber",IF($H276&lt;'[2]Read Me'!$B$4,"Red",IF($H276-'[2]Read Me'!$B$4&lt;=21,"Amber","Green"))))</f>
        <v>Red</v>
      </c>
      <c r="N276" s="3"/>
      <c r="O276" t="str">
        <f>IF($I276&lt;&gt;"Complete",IF(COUNTIFS($A$4:$A275,$A276,$B$4:$B275,$B276,$I$4:$I275,"&lt;&gt;Complete")=0,$A276&amp;"|"&amp;$B276,""),"")</f>
        <v/>
      </c>
      <c r="P276" t="str">
        <f ca="1">IF($K276="Yes",COUNTIFS($K$4:$K276,"Yes"),"")</f>
        <v/>
      </c>
      <c r="Q276">
        <f t="shared" ca="1" si="15"/>
        <v>0</v>
      </c>
      <c r="R276" t="str">
        <f ca="1">IF($Q276=1,SUM($Q$4:$Q276),"")</f>
        <v/>
      </c>
    </row>
    <row r="277" spans="1:18" ht="14.25" customHeight="1" x14ac:dyDescent="0.3">
      <c r="A277" s="2" t="s">
        <v>763</v>
      </c>
      <c r="B277" s="2" t="s">
        <v>140</v>
      </c>
      <c r="C277" s="3" t="s">
        <v>763</v>
      </c>
      <c r="D277" s="3" t="s">
        <v>156</v>
      </c>
      <c r="E277" s="2"/>
      <c r="F277" s="2" t="s">
        <v>270</v>
      </c>
      <c r="G277" s="5">
        <v>46097</v>
      </c>
      <c r="H277" s="5">
        <v>46168</v>
      </c>
      <c r="I277" s="4" t="s">
        <v>31</v>
      </c>
      <c r="J277" s="6">
        <f t="shared" si="14"/>
        <v>71</v>
      </c>
      <c r="K277" s="4" t="str">
        <f t="shared" ca="1" si="16"/>
        <v>No</v>
      </c>
      <c r="L277" s="7">
        <f>IF($H277="","",$H277-'[2]Read Me'!$B$4)</f>
        <v>-19</v>
      </c>
      <c r="M277" s="4" t="str">
        <f>IF($I277="Complete","Green",IF($H277="","Amber",IF($H277&lt;'[2]Read Me'!$B$4,"Red",IF($H277-'[2]Read Me'!$B$4&lt;=21,"Amber","Green"))))</f>
        <v>Red</v>
      </c>
      <c r="N277" s="3"/>
      <c r="O277" t="str">
        <f>IF($I277&lt;&gt;"Complete",IF(COUNTIFS($A$4:$A276,$A277,$B$4:$B276,$B277,$I$4:$I276,"&lt;&gt;Complete")=0,$A277&amp;"|"&amp;$B277,""),"")</f>
        <v/>
      </c>
      <c r="P277" t="str">
        <f ca="1">IF($K277="Yes",COUNTIFS($K$4:$K277,"Yes"),"")</f>
        <v/>
      </c>
      <c r="Q277">
        <f t="shared" ca="1" si="15"/>
        <v>0</v>
      </c>
      <c r="R277" t="str">
        <f ca="1">IF($Q277=1,SUM($Q$4:$Q277),"")</f>
        <v/>
      </c>
    </row>
    <row r="278" spans="1:18" ht="14.25" customHeight="1" x14ac:dyDescent="0.3">
      <c r="A278" s="2" t="s">
        <v>763</v>
      </c>
      <c r="B278" s="2" t="s">
        <v>140</v>
      </c>
      <c r="C278" s="3" t="s">
        <v>763</v>
      </c>
      <c r="D278" s="3" t="s">
        <v>58</v>
      </c>
      <c r="E278" s="2"/>
      <c r="F278" s="2" t="s">
        <v>750</v>
      </c>
      <c r="G278" s="5">
        <v>46104</v>
      </c>
      <c r="H278" s="5">
        <v>46197</v>
      </c>
      <c r="I278" s="4" t="s">
        <v>46</v>
      </c>
      <c r="J278" s="6">
        <f t="shared" si="14"/>
        <v>93</v>
      </c>
      <c r="K278" s="4" t="str">
        <f t="shared" ca="1" si="16"/>
        <v>No</v>
      </c>
      <c r="L278" s="7">
        <f>IF($H278="","",$H278-'[2]Read Me'!$B$4)</f>
        <v>10</v>
      </c>
      <c r="M278" s="4" t="str">
        <f>IF($I278="Complete","Green",IF($H278="","Amber",IF($H278&lt;'[2]Read Me'!$B$4,"Red",IF($H278-'[2]Read Me'!$B$4&lt;=21,"Amber","Green"))))</f>
        <v>Amber</v>
      </c>
      <c r="N278" s="3"/>
      <c r="O278" t="str">
        <f>IF($I278&lt;&gt;"Complete",IF(COUNTIFS($A$4:$A277,$A278,$B$4:$B277,$B278,$I$4:$I277,"&lt;&gt;Complete")=0,$A278&amp;"|"&amp;$B278,""),"")</f>
        <v/>
      </c>
      <c r="P278" t="str">
        <f ca="1">IF($K278="Yes",COUNTIFS($K$4:$K278,"Yes"),"")</f>
        <v/>
      </c>
      <c r="Q278">
        <f t="shared" ca="1" si="15"/>
        <v>0</v>
      </c>
      <c r="R278" t="str">
        <f ca="1">IF($Q278=1,SUM($Q$4:$Q278),"")</f>
        <v/>
      </c>
    </row>
    <row r="279" spans="1:18" ht="14.25" customHeight="1" x14ac:dyDescent="0.3">
      <c r="A279" s="2" t="s">
        <v>763</v>
      </c>
      <c r="B279" s="2" t="s">
        <v>140</v>
      </c>
      <c r="C279" s="3" t="s">
        <v>763</v>
      </c>
      <c r="D279" s="3" t="s">
        <v>765</v>
      </c>
      <c r="E279" s="2"/>
      <c r="F279" s="2" t="s">
        <v>270</v>
      </c>
      <c r="G279" s="5">
        <v>46125</v>
      </c>
      <c r="H279" s="5">
        <v>46239</v>
      </c>
      <c r="I279" s="4" t="s">
        <v>17</v>
      </c>
      <c r="J279" s="6">
        <f t="shared" si="14"/>
        <v>114</v>
      </c>
      <c r="K279" s="4" t="str">
        <f t="shared" ca="1" si="16"/>
        <v>Yes</v>
      </c>
      <c r="L279" s="7">
        <f>IF($H279="","",$H279-'[2]Read Me'!$B$4)</f>
        <v>52</v>
      </c>
      <c r="M279" s="4" t="str">
        <f>IF($I279="Complete","Green",IF($H279="","Amber",IF($H279&lt;'[2]Read Me'!$B$4,"Red",IF($H279-'[2]Read Me'!$B$4&lt;=21,"Amber","Green"))))</f>
        <v>Green</v>
      </c>
      <c r="N279" s="3"/>
      <c r="O279" t="str">
        <f>IF($I279&lt;&gt;"Complete",IF(COUNTIFS($A$4:$A278,$A279,$B$4:$B278,$B279,$I$4:$I278,"&lt;&gt;Complete")=0,$A279&amp;"|"&amp;$B279,""),"")</f>
        <v/>
      </c>
      <c r="P279">
        <f ca="1">IF($K279="Yes",COUNTIFS($K$4:$K279,"Yes"),"")</f>
        <v>17</v>
      </c>
      <c r="Q279">
        <f t="shared" ca="1" si="15"/>
        <v>1</v>
      </c>
      <c r="R279">
        <f ca="1">IF($Q279=1,SUM($Q$4:$Q279),"")</f>
        <v>17</v>
      </c>
    </row>
    <row r="280" spans="1:18" ht="14.25" customHeight="1" x14ac:dyDescent="0.3">
      <c r="A280" s="2" t="s">
        <v>763</v>
      </c>
      <c r="B280" s="2" t="s">
        <v>140</v>
      </c>
      <c r="C280" s="3" t="s">
        <v>763</v>
      </c>
      <c r="D280" s="3" t="s">
        <v>58</v>
      </c>
      <c r="E280" s="2"/>
      <c r="F280" s="2" t="s">
        <v>750</v>
      </c>
      <c r="G280" s="5">
        <v>46132</v>
      </c>
      <c r="H280" s="5">
        <v>46253</v>
      </c>
      <c r="I280" s="4" t="s">
        <v>17</v>
      </c>
      <c r="J280" s="6">
        <f t="shared" si="14"/>
        <v>121</v>
      </c>
      <c r="K280" s="4" t="str">
        <f t="shared" ca="1" si="16"/>
        <v>Yes</v>
      </c>
      <c r="L280" s="7">
        <f>IF($H280="","",$H280-'[2]Read Me'!$B$4)</f>
        <v>66</v>
      </c>
      <c r="M280" s="4" t="str">
        <f>IF($I280="Complete","Green",IF($H280="","Amber",IF($H280&lt;'[2]Read Me'!$B$4,"Red",IF($H280-'[2]Read Me'!$B$4&lt;=21,"Amber","Green"))))</f>
        <v>Green</v>
      </c>
      <c r="N280" s="3"/>
      <c r="O280" t="str">
        <f>IF($I280&lt;&gt;"Complete",IF(COUNTIFS($A$4:$A279,$A280,$B$4:$B279,$B280,$I$4:$I279,"&lt;&gt;Complete")=0,$A280&amp;"|"&amp;$B280,""),"")</f>
        <v/>
      </c>
      <c r="P280">
        <f ca="1">IF($K280="Yes",COUNTIFS($K$4:$K280,"Yes"),"")</f>
        <v>18</v>
      </c>
      <c r="Q280">
        <f t="shared" ca="1" si="15"/>
        <v>1</v>
      </c>
      <c r="R280">
        <f ca="1">IF($Q280=1,SUM($Q$4:$Q280),"")</f>
        <v>18</v>
      </c>
    </row>
    <row r="281" spans="1:18" ht="14.25" customHeight="1" x14ac:dyDescent="0.3">
      <c r="A281" s="2" t="s">
        <v>763</v>
      </c>
      <c r="B281" s="2" t="s">
        <v>140</v>
      </c>
      <c r="C281" s="3" t="s">
        <v>763</v>
      </c>
      <c r="D281" s="3" t="s">
        <v>133</v>
      </c>
      <c r="E281" s="2"/>
      <c r="F281" s="2" t="s">
        <v>270</v>
      </c>
      <c r="G281" s="5">
        <v>46160</v>
      </c>
      <c r="H281" s="5">
        <v>46309</v>
      </c>
      <c r="I281" s="4" t="s">
        <v>17</v>
      </c>
      <c r="J281" s="6">
        <f t="shared" si="14"/>
        <v>149</v>
      </c>
      <c r="K281" s="4" t="str">
        <f t="shared" ca="1" si="16"/>
        <v>Yes</v>
      </c>
      <c r="L281" s="7">
        <f>IF($H281="","",$H281-'[2]Read Me'!$B$4)</f>
        <v>122</v>
      </c>
      <c r="M281" s="4" t="str">
        <f>IF($I281="Complete","Green",IF($H281="","Amber",IF($H281&lt;'[2]Read Me'!$B$4,"Red",IF($H281-'[2]Read Me'!$B$4&lt;=21,"Amber","Green"))))</f>
        <v>Green</v>
      </c>
      <c r="N281" s="3"/>
      <c r="O281" t="str">
        <f>IF($I281&lt;&gt;"Complete",IF(COUNTIFS($A$4:$A280,$A281,$B$4:$B280,$B281,$I$4:$I280,"&lt;&gt;Complete")=0,$A281&amp;"|"&amp;$B281,""),"")</f>
        <v/>
      </c>
      <c r="P281">
        <f ca="1">IF($K281="Yes",COUNTIFS($K$4:$K281,"Yes"),"")</f>
        <v>19</v>
      </c>
      <c r="Q281">
        <f t="shared" ca="1" si="15"/>
        <v>1</v>
      </c>
      <c r="R281">
        <f ca="1">IF($Q281=1,SUM($Q$4:$Q281),"")</f>
        <v>19</v>
      </c>
    </row>
    <row r="282" spans="1:18" ht="14.25" customHeight="1" x14ac:dyDescent="0.3">
      <c r="A282" s="2" t="s">
        <v>763</v>
      </c>
      <c r="B282" s="2" t="s">
        <v>140</v>
      </c>
      <c r="C282" s="3" t="s">
        <v>763</v>
      </c>
      <c r="D282" s="3" t="s">
        <v>58</v>
      </c>
      <c r="E282" s="2"/>
      <c r="F282" s="2"/>
      <c r="G282" s="5">
        <v>46174</v>
      </c>
      <c r="H282" s="5">
        <v>46323</v>
      </c>
      <c r="I282" s="4" t="s">
        <v>17</v>
      </c>
      <c r="J282" s="6">
        <f t="shared" si="14"/>
        <v>149</v>
      </c>
      <c r="K282" s="4" t="str">
        <f t="shared" ca="1" si="16"/>
        <v>Yes</v>
      </c>
      <c r="L282" s="7">
        <f>IF($H282="","",$H282-'[2]Read Me'!$B$4)</f>
        <v>136</v>
      </c>
      <c r="M282" s="4" t="str">
        <f>IF($I282="Complete","Green",IF($H282="","Amber",IF($H282&lt;'[2]Read Me'!$B$4,"Red",IF($H282-'[2]Read Me'!$B$4&lt;=21,"Amber","Green"))))</f>
        <v>Green</v>
      </c>
      <c r="N282" s="3"/>
      <c r="O282" t="str">
        <f>IF($I282&lt;&gt;"Complete",IF(COUNTIFS($A$4:$A281,$A282,$B$4:$B281,$B282,$I$4:$I281,"&lt;&gt;Complete")=0,$A282&amp;"|"&amp;$B282,""),"")</f>
        <v/>
      </c>
      <c r="P282">
        <f ca="1">IF($K282="Yes",COUNTIFS($K$4:$K282,"Yes"),"")</f>
        <v>20</v>
      </c>
      <c r="Q282">
        <f t="shared" ca="1" si="15"/>
        <v>1</v>
      </c>
      <c r="R282">
        <f ca="1">IF($Q282=1,SUM($Q$4:$Q282),"")</f>
        <v>20</v>
      </c>
    </row>
    <row r="283" spans="1:18" ht="14.25" customHeight="1" x14ac:dyDescent="0.3">
      <c r="A283" s="2" t="s">
        <v>763</v>
      </c>
      <c r="B283" s="2" t="s">
        <v>140</v>
      </c>
      <c r="C283" s="3" t="s">
        <v>763</v>
      </c>
      <c r="D283" s="3" t="s">
        <v>766</v>
      </c>
      <c r="E283" s="2"/>
      <c r="F283" s="2" t="s">
        <v>270</v>
      </c>
      <c r="G283" s="5">
        <v>46202</v>
      </c>
      <c r="H283" s="5">
        <v>46253</v>
      </c>
      <c r="I283" s="4" t="s">
        <v>17</v>
      </c>
      <c r="J283" s="6">
        <f t="shared" si="14"/>
        <v>51</v>
      </c>
      <c r="K283" s="4" t="str">
        <f t="shared" ca="1" si="16"/>
        <v>Yes</v>
      </c>
      <c r="L283" s="7">
        <f>IF($H283="","",$H283-'[2]Read Me'!$B$4)</f>
        <v>66</v>
      </c>
      <c r="M283" s="4" t="str">
        <f>IF($I283="Complete","Green",IF($H283="","Amber",IF($H283&lt;'[2]Read Me'!$B$4,"Red",IF($H283-'[2]Read Me'!$B$4&lt;=21,"Amber","Green"))))</f>
        <v>Green</v>
      </c>
      <c r="N283" s="3"/>
      <c r="O283" t="str">
        <f>IF($I283&lt;&gt;"Complete",IF(COUNTIFS($A$4:$A282,$A283,$B$4:$B282,$B283,$I$4:$I282,"&lt;&gt;Complete")=0,$A283&amp;"|"&amp;$B283,""),"")</f>
        <v/>
      </c>
      <c r="P283">
        <f ca="1">IF($K283="Yes",COUNTIFS($K$4:$K283,"Yes"),"")</f>
        <v>21</v>
      </c>
      <c r="Q283">
        <f t="shared" ca="1" si="15"/>
        <v>1</v>
      </c>
      <c r="R283">
        <f ca="1">IF($Q283=1,SUM($Q$4:$Q283),"")</f>
        <v>21</v>
      </c>
    </row>
    <row r="284" spans="1:18" ht="14.25" customHeight="1" x14ac:dyDescent="0.3">
      <c r="A284" s="2" t="s">
        <v>763</v>
      </c>
      <c r="B284" s="2" t="s">
        <v>140</v>
      </c>
      <c r="C284" s="3" t="s">
        <v>763</v>
      </c>
      <c r="D284" s="3" t="s">
        <v>58</v>
      </c>
      <c r="E284" s="2"/>
      <c r="F284" s="2"/>
      <c r="G284" s="5">
        <v>46216</v>
      </c>
      <c r="H284" s="5">
        <v>46253</v>
      </c>
      <c r="I284" s="4" t="s">
        <v>17</v>
      </c>
      <c r="J284" s="6">
        <f t="shared" si="14"/>
        <v>37</v>
      </c>
      <c r="K284" s="4" t="str">
        <f t="shared" ca="1" si="16"/>
        <v>Yes</v>
      </c>
      <c r="L284" s="7">
        <f>IF($H284="","",$H284-'[2]Read Me'!$B$4)</f>
        <v>66</v>
      </c>
      <c r="M284" s="4" t="str">
        <f>IF($I284="Complete","Green",IF($H284="","Amber",IF($H284&lt;'[2]Read Me'!$B$4,"Red",IF($H284-'[2]Read Me'!$B$4&lt;=21,"Amber","Green"))))</f>
        <v>Green</v>
      </c>
      <c r="N284" s="3"/>
      <c r="O284" t="str">
        <f>IF($I284&lt;&gt;"Complete",IF(COUNTIFS($A$4:$A283,$A284,$B$4:$B283,$B284,$I$4:$I283,"&lt;&gt;Complete")=0,$A284&amp;"|"&amp;$B284,""),"")</f>
        <v/>
      </c>
      <c r="P284">
        <f ca="1">IF($K284="Yes",COUNTIFS($K$4:$K284,"Yes"),"")</f>
        <v>22</v>
      </c>
      <c r="Q284">
        <f t="shared" ca="1" si="15"/>
        <v>1</v>
      </c>
      <c r="R284">
        <f ca="1">IF($Q284=1,SUM($Q$4:$Q284),"")</f>
        <v>22</v>
      </c>
    </row>
    <row r="285" spans="1:18" ht="14.25" customHeight="1" x14ac:dyDescent="0.3">
      <c r="A285" s="2"/>
      <c r="B285" s="2"/>
      <c r="C285" s="3" t="s">
        <v>763</v>
      </c>
      <c r="D285" s="3" t="s">
        <v>271</v>
      </c>
      <c r="E285" s="2"/>
      <c r="F285" s="2" t="s">
        <v>270</v>
      </c>
      <c r="G285" s="5">
        <v>46209</v>
      </c>
      <c r="H285" s="5">
        <v>46358</v>
      </c>
      <c r="I285" s="4" t="s">
        <v>17</v>
      </c>
      <c r="J285" s="6">
        <f t="shared" si="14"/>
        <v>149</v>
      </c>
      <c r="K285" s="4" t="str">
        <f t="shared" ca="1" si="16"/>
        <v>Yes</v>
      </c>
      <c r="L285" s="7">
        <f>IF($H285="","",$H285-'[2]Read Me'!$B$4)</f>
        <v>171</v>
      </c>
      <c r="M285" s="4" t="str">
        <f>IF($I285="Complete","Green",IF($H285="","Amber",IF($H285&lt;'[2]Read Me'!$B$4,"Red",IF($H285-'[2]Read Me'!$B$4&lt;=21,"Amber","Green"))))</f>
        <v>Green</v>
      </c>
      <c r="N285" s="3"/>
      <c r="O285" t="str">
        <f>IF($I285&lt;&gt;"Complete",IF(COUNTIFS($A$4:$A284,$A285,$B$4:$B284,$B285,$I$4:$I284,"&lt;&gt;Complete")=0,$A285&amp;"|"&amp;$B285,""),"")</f>
        <v>|</v>
      </c>
      <c r="P285">
        <f ca="1">IF($K285="Yes",COUNTIFS($K$4:$K285,"Yes"),"")</f>
        <v>23</v>
      </c>
      <c r="Q285">
        <f t="shared" ca="1" si="15"/>
        <v>1</v>
      </c>
      <c r="R285">
        <f ca="1">IF($Q285=1,SUM($Q$4:$Q285),"")</f>
        <v>23</v>
      </c>
    </row>
    <row r="286" spans="1:18" ht="14.25" customHeight="1" x14ac:dyDescent="0.3">
      <c r="A286" s="2"/>
      <c r="B286" s="2"/>
      <c r="C286" s="3" t="s">
        <v>763</v>
      </c>
      <c r="D286" s="3" t="s">
        <v>58</v>
      </c>
      <c r="E286" s="2"/>
      <c r="F286" s="2"/>
      <c r="G286" s="5">
        <v>46223</v>
      </c>
      <c r="H286" s="5">
        <v>46372</v>
      </c>
      <c r="I286" s="4" t="s">
        <v>17</v>
      </c>
      <c r="J286" s="6">
        <f t="shared" si="14"/>
        <v>149</v>
      </c>
      <c r="K286" s="4" t="str">
        <f t="shared" ca="1" si="16"/>
        <v>Yes</v>
      </c>
      <c r="L286" s="7">
        <f>IF($H286="","",$H286-'[2]Read Me'!$B$4)</f>
        <v>185</v>
      </c>
      <c r="M286" s="4" t="str">
        <f>IF($I286="Complete","Green",IF($H286="","Amber",IF($H286&lt;'[2]Read Me'!$B$4,"Red",IF($H286-'[2]Read Me'!$B$4&lt;=21,"Amber","Green"))))</f>
        <v>Green</v>
      </c>
      <c r="N286" s="3"/>
      <c r="O286" t="str">
        <f>IF($I286&lt;&gt;"Complete",IF(COUNTIFS($A$4:$A285,$A286,$B$4:$B285,$B286,$I$4:$I285,"&lt;&gt;Complete")=0,$A286&amp;"|"&amp;$B286,""),"")</f>
        <v>|</v>
      </c>
      <c r="P286">
        <f ca="1">IF($K286="Yes",COUNTIFS($K$4:$K286,"Yes"),"")</f>
        <v>24</v>
      </c>
      <c r="Q286">
        <f t="shared" ca="1" si="15"/>
        <v>1</v>
      </c>
      <c r="R286">
        <f ca="1">IF($Q286=1,SUM($Q$4:$Q286),"")</f>
        <v>24</v>
      </c>
    </row>
    <row r="287" spans="1:18" ht="14.25" customHeight="1" x14ac:dyDescent="0.3">
      <c r="A287" s="2" t="s">
        <v>767</v>
      </c>
      <c r="B287" s="2" t="s">
        <v>21</v>
      </c>
      <c r="C287" s="3"/>
      <c r="D287" s="3"/>
      <c r="E287" s="2"/>
      <c r="F287" s="2"/>
      <c r="G287" s="5">
        <v>46272</v>
      </c>
      <c r="H287" s="5">
        <v>46379</v>
      </c>
      <c r="I287" s="4"/>
      <c r="J287" s="6">
        <f t="shared" si="14"/>
        <v>107</v>
      </c>
      <c r="K287" s="4" t="str">
        <f t="shared" ca="1" si="16"/>
        <v>Yes</v>
      </c>
      <c r="L287" s="7">
        <f>IF($H287="","",$H287-'[2]Read Me'!$B$4)</f>
        <v>192</v>
      </c>
      <c r="M287" s="4" t="str">
        <f>IF($I287="Complete","Green",IF($H287="","Amber",IF($H287&lt;'[2]Read Me'!$B$4,"Red",IF($H287-'[2]Read Me'!$B$4&lt;=21,"Amber","Green"))))</f>
        <v>Green</v>
      </c>
      <c r="N287" s="3"/>
      <c r="O287" t="str">
        <f>IF($I287&lt;&gt;"Complete",IF(COUNTIFS($A$4:$A286,$A287,$B$4:$B286,$B287,$I$4:$I286,"&lt;&gt;Complete")=0,$A287&amp;"|"&amp;$B287,""),"")</f>
        <v>Landscape  - Boomerang|Landscape</v>
      </c>
      <c r="P287">
        <f ca="1">IF($K287="Yes",COUNTIFS($K$4:$K287,"Yes"),"")</f>
        <v>25</v>
      </c>
      <c r="Q287">
        <f t="shared" ca="1" si="15"/>
        <v>1</v>
      </c>
      <c r="R287">
        <f ca="1">IF($Q287=1,SUM($Q$4:$Q287),"")</f>
        <v>25</v>
      </c>
    </row>
    <row r="288" spans="1:18" ht="14.25" customHeight="1" x14ac:dyDescent="0.3">
      <c r="A288" s="2" t="s">
        <v>767</v>
      </c>
      <c r="B288" s="2" t="s">
        <v>21</v>
      </c>
      <c r="C288" s="3" t="s">
        <v>767</v>
      </c>
      <c r="D288" s="3" t="s">
        <v>768</v>
      </c>
      <c r="E288" s="2"/>
      <c r="F288" s="2" t="s">
        <v>764</v>
      </c>
      <c r="G288" s="5">
        <v>46104</v>
      </c>
      <c r="H288" s="5">
        <v>46197</v>
      </c>
      <c r="I288" s="4" t="s">
        <v>17</v>
      </c>
      <c r="J288" s="6">
        <f t="shared" si="14"/>
        <v>93</v>
      </c>
      <c r="K288" s="4" t="str">
        <f t="shared" ca="1" si="16"/>
        <v>No</v>
      </c>
      <c r="L288" s="7">
        <f>IF($H288="","",$H288-'[2]Read Me'!$B$4)</f>
        <v>10</v>
      </c>
      <c r="M288" s="4" t="str">
        <f>IF($I288="Complete","Green",IF($H288="","Amber",IF($H288&lt;'[2]Read Me'!$B$4,"Red",IF($H288-'[2]Read Me'!$B$4&lt;=21,"Amber","Green"))))</f>
        <v>Amber</v>
      </c>
      <c r="N288" s="3"/>
      <c r="O288" t="str">
        <f>IF($I288&lt;&gt;"Complete",IF(COUNTIFS($A$4:$A287,$A288,$B$4:$B287,$B288,$I$4:$I287,"&lt;&gt;Complete")=0,$A288&amp;"|"&amp;$B288,""),"")</f>
        <v/>
      </c>
      <c r="P288" t="str">
        <f ca="1">IF($K288="Yes",COUNTIFS($K$4:$K288,"Yes"),"")</f>
        <v/>
      </c>
      <c r="Q288">
        <f t="shared" ca="1" si="15"/>
        <v>0</v>
      </c>
      <c r="R288" t="str">
        <f ca="1">IF($Q288=1,SUM($Q$4:$Q288),"")</f>
        <v/>
      </c>
    </row>
    <row r="289" spans="1:18" ht="14.25" customHeight="1" x14ac:dyDescent="0.3">
      <c r="A289" s="2" t="s">
        <v>767</v>
      </c>
      <c r="B289" s="2" t="s">
        <v>21</v>
      </c>
      <c r="C289" s="3" t="s">
        <v>767</v>
      </c>
      <c r="D289" s="3" t="s">
        <v>156</v>
      </c>
      <c r="E289" s="2"/>
      <c r="F289" s="2" t="s">
        <v>527</v>
      </c>
      <c r="G289" s="5">
        <v>46125</v>
      </c>
      <c r="H289" s="5">
        <v>46218</v>
      </c>
      <c r="I289" s="4" t="s">
        <v>17</v>
      </c>
      <c r="J289" s="6">
        <f t="shared" si="14"/>
        <v>93</v>
      </c>
      <c r="K289" s="4" t="str">
        <f t="shared" ca="1" si="16"/>
        <v>Yes</v>
      </c>
      <c r="L289" s="7">
        <f>IF($H289="","",$H289-'[2]Read Me'!$B$4)</f>
        <v>31</v>
      </c>
      <c r="M289" s="4" t="str">
        <f>IF($I289="Complete","Green",IF($H289="","Amber",IF($H289&lt;'[2]Read Me'!$B$4,"Red",IF($H289-'[2]Read Me'!$B$4&lt;=21,"Amber","Green"))))</f>
        <v>Green</v>
      </c>
      <c r="N289" s="3"/>
      <c r="O289" t="str">
        <f>IF($I289&lt;&gt;"Complete",IF(COUNTIFS($A$4:$A288,$A289,$B$4:$B288,$B289,$I$4:$I288,"&lt;&gt;Complete")=0,$A289&amp;"|"&amp;$B289,""),"")</f>
        <v/>
      </c>
      <c r="P289">
        <f ca="1">IF($K289="Yes",COUNTIFS($K$4:$K289,"Yes"),"")</f>
        <v>26</v>
      </c>
      <c r="Q289">
        <f t="shared" ca="1" si="15"/>
        <v>1</v>
      </c>
      <c r="R289">
        <f ca="1">IF($Q289=1,SUM($Q$4:$Q289),"")</f>
        <v>26</v>
      </c>
    </row>
    <row r="290" spans="1:18" ht="14.25" customHeight="1" x14ac:dyDescent="0.3">
      <c r="A290" s="2" t="s">
        <v>767</v>
      </c>
      <c r="B290" s="2" t="s">
        <v>21</v>
      </c>
      <c r="C290" s="3" t="s">
        <v>767</v>
      </c>
      <c r="D290" s="3" t="s">
        <v>58</v>
      </c>
      <c r="E290" s="2"/>
      <c r="F290" s="2" t="s">
        <v>750</v>
      </c>
      <c r="G290" s="5">
        <v>46132</v>
      </c>
      <c r="H290" s="5">
        <v>46232</v>
      </c>
      <c r="I290" s="4" t="s">
        <v>17</v>
      </c>
      <c r="J290" s="6">
        <f t="shared" si="14"/>
        <v>100</v>
      </c>
      <c r="K290" s="4" t="str">
        <f t="shared" ca="1" si="16"/>
        <v>Yes</v>
      </c>
      <c r="L290" s="7">
        <f>IF($H290="","",$H290-'[2]Read Me'!$B$4)</f>
        <v>45</v>
      </c>
      <c r="M290" s="4" t="str">
        <f>IF($I290="Complete","Green",IF($H290="","Amber",IF($H290&lt;'[2]Read Me'!$B$4,"Red",IF($H290-'[2]Read Me'!$B$4&lt;=21,"Amber","Green"))))</f>
        <v>Green</v>
      </c>
      <c r="N290" s="3"/>
      <c r="O290" t="str">
        <f>IF($I290&lt;&gt;"Complete",IF(COUNTIFS($A$4:$A289,$A290,$B$4:$B289,$B290,$I$4:$I289,"&lt;&gt;Complete")=0,$A290&amp;"|"&amp;$B290,""),"")</f>
        <v/>
      </c>
      <c r="P290">
        <f ca="1">IF($K290="Yes",COUNTIFS($K$4:$K290,"Yes"),"")</f>
        <v>27</v>
      </c>
      <c r="Q290">
        <f t="shared" ca="1" si="15"/>
        <v>1</v>
      </c>
      <c r="R290">
        <f ca="1">IF($Q290=1,SUM($Q$4:$Q290),"")</f>
        <v>27</v>
      </c>
    </row>
    <row r="291" spans="1:18" ht="14.25" customHeight="1" x14ac:dyDescent="0.3">
      <c r="A291" s="2" t="s">
        <v>767</v>
      </c>
      <c r="B291" s="2" t="s">
        <v>21</v>
      </c>
      <c r="C291" s="3" t="s">
        <v>767</v>
      </c>
      <c r="D291" s="3" t="s">
        <v>98</v>
      </c>
      <c r="E291" s="2"/>
      <c r="F291" s="2" t="s">
        <v>527</v>
      </c>
      <c r="G291" s="5">
        <v>46160</v>
      </c>
      <c r="H291" s="5">
        <v>46260</v>
      </c>
      <c r="I291" s="4" t="s">
        <v>17</v>
      </c>
      <c r="J291" s="6">
        <f t="shared" si="14"/>
        <v>100</v>
      </c>
      <c r="K291" s="4" t="str">
        <f t="shared" ca="1" si="16"/>
        <v>Yes</v>
      </c>
      <c r="L291" s="7">
        <f>IF($H291="","",$H291-'[2]Read Me'!$B$4)</f>
        <v>73</v>
      </c>
      <c r="M291" s="4" t="str">
        <f>IF($I291="Complete","Green",IF($H291="","Amber",IF($H291&lt;'[2]Read Me'!$B$4,"Red",IF($H291-'[2]Read Me'!$B$4&lt;=21,"Amber","Green"))))</f>
        <v>Green</v>
      </c>
      <c r="N291" s="3"/>
      <c r="O291" t="str">
        <f>IF($I291&lt;&gt;"Complete",IF(COUNTIFS($A$4:$A290,$A291,$B$4:$B290,$B291,$I$4:$I290,"&lt;&gt;Complete")=0,$A291&amp;"|"&amp;$B291,""),"")</f>
        <v/>
      </c>
      <c r="P291">
        <f ca="1">IF($K291="Yes",COUNTIFS($K$4:$K291,"Yes"),"")</f>
        <v>28</v>
      </c>
      <c r="Q291">
        <f t="shared" ca="1" si="15"/>
        <v>1</v>
      </c>
      <c r="R291">
        <f ca="1">IF($Q291=1,SUM($Q$4:$Q291),"")</f>
        <v>28</v>
      </c>
    </row>
    <row r="292" spans="1:18" ht="14.25" customHeight="1" x14ac:dyDescent="0.3">
      <c r="A292" s="2" t="s">
        <v>767</v>
      </c>
      <c r="B292" s="2" t="s">
        <v>21</v>
      </c>
      <c r="C292" s="3" t="s">
        <v>767</v>
      </c>
      <c r="D292" s="3" t="s">
        <v>58</v>
      </c>
      <c r="E292" s="2"/>
      <c r="F292" s="2" t="s">
        <v>265</v>
      </c>
      <c r="G292" s="5">
        <v>46167</v>
      </c>
      <c r="H292" s="5">
        <v>46274</v>
      </c>
      <c r="I292" s="4" t="s">
        <v>17</v>
      </c>
      <c r="J292" s="6">
        <f t="shared" si="14"/>
        <v>107</v>
      </c>
      <c r="K292" s="4" t="str">
        <f t="shared" ca="1" si="16"/>
        <v>Yes</v>
      </c>
      <c r="L292" s="7">
        <f>IF($H292="","",$H292-'[2]Read Me'!$B$4)</f>
        <v>87</v>
      </c>
      <c r="M292" s="4" t="str">
        <f>IF($I292="Complete","Green",IF($H292="","Amber",IF($H292&lt;'[2]Read Me'!$B$4,"Red",IF($H292-'[2]Read Me'!$B$4&lt;=21,"Amber","Green"))))</f>
        <v>Green</v>
      </c>
      <c r="N292" s="3"/>
      <c r="O292" t="str">
        <f>IF($I292&lt;&gt;"Complete",IF(COUNTIFS($A$4:$A291,$A292,$B$4:$B291,$B292,$I$4:$I291,"&lt;&gt;Complete")=0,$A292&amp;"|"&amp;$B292,""),"")</f>
        <v/>
      </c>
      <c r="P292">
        <f ca="1">IF($K292="Yes",COUNTIFS($K$4:$K292,"Yes"),"")</f>
        <v>29</v>
      </c>
      <c r="Q292">
        <f t="shared" ca="1" si="15"/>
        <v>1</v>
      </c>
      <c r="R292">
        <f ca="1">IF($Q292=1,SUM($Q$4:$Q292),"")</f>
        <v>29</v>
      </c>
    </row>
    <row r="293" spans="1:18" ht="22.5" customHeight="1" x14ac:dyDescent="0.3">
      <c r="A293" s="2" t="s">
        <v>767</v>
      </c>
      <c r="B293" s="2" t="s">
        <v>21</v>
      </c>
      <c r="C293" s="3" t="s">
        <v>767</v>
      </c>
      <c r="D293" s="3" t="s">
        <v>769</v>
      </c>
      <c r="E293" s="2"/>
      <c r="F293" s="2" t="s">
        <v>527</v>
      </c>
      <c r="G293" s="5">
        <v>46223</v>
      </c>
      <c r="H293" s="5">
        <v>46330</v>
      </c>
      <c r="I293" s="4" t="s">
        <v>17</v>
      </c>
      <c r="J293" s="6">
        <f t="shared" si="14"/>
        <v>107</v>
      </c>
      <c r="K293" s="4" t="str">
        <f t="shared" ca="1" si="16"/>
        <v>Yes</v>
      </c>
      <c r="L293" s="7">
        <f>IF($H293="","",$H293-'[2]Read Me'!$B$4)</f>
        <v>143</v>
      </c>
      <c r="M293" s="4" t="str">
        <f>IF($I293="Complete","Green",IF($H293="","Amber",IF($H293&lt;'[2]Read Me'!$B$4,"Red",IF($H293-'[2]Read Me'!$B$4&lt;=21,"Amber","Green"))))</f>
        <v>Green</v>
      </c>
      <c r="N293" s="3"/>
      <c r="O293" t="str">
        <f>IF($I293&lt;&gt;"Complete",IF(COUNTIFS($A$4:$A292,$A293,$B$4:$B292,$B293,$I$4:$I292,"&lt;&gt;Complete")=0,$A293&amp;"|"&amp;$B293,""),"")</f>
        <v/>
      </c>
      <c r="P293">
        <f ca="1">IF($K293="Yes",COUNTIFS($K$4:$K293,"Yes"),"")</f>
        <v>30</v>
      </c>
      <c r="Q293">
        <f t="shared" ca="1" si="15"/>
        <v>1</v>
      </c>
      <c r="R293">
        <f ca="1">IF($Q293=1,SUM($Q$4:$Q293),"")</f>
        <v>30</v>
      </c>
    </row>
    <row r="294" spans="1:18" ht="22.5" customHeight="1" x14ac:dyDescent="0.3">
      <c r="A294" s="2" t="s">
        <v>767</v>
      </c>
      <c r="B294" s="2" t="s">
        <v>21</v>
      </c>
      <c r="C294" s="3" t="s">
        <v>767</v>
      </c>
      <c r="D294" s="3" t="s">
        <v>58</v>
      </c>
      <c r="E294" s="2"/>
      <c r="F294" s="2" t="s">
        <v>265</v>
      </c>
      <c r="G294" s="5">
        <v>46237</v>
      </c>
      <c r="H294" s="5">
        <v>46344</v>
      </c>
      <c r="I294" s="4" t="s">
        <v>17</v>
      </c>
      <c r="J294" s="6">
        <f t="shared" si="14"/>
        <v>107</v>
      </c>
      <c r="K294" s="4" t="str">
        <f t="shared" ca="1" si="16"/>
        <v>Yes</v>
      </c>
      <c r="L294" s="7">
        <f>IF($H294="","",$H294-'[2]Read Me'!$B$4)</f>
        <v>157</v>
      </c>
      <c r="M294" s="4" t="str">
        <f>IF($I294="Complete","Green",IF($H294="","Amber",IF($H294&lt;'[2]Read Me'!$B$4,"Red",IF($H294-'[2]Read Me'!$B$4&lt;=21,"Amber","Green"))))</f>
        <v>Green</v>
      </c>
      <c r="N294" s="3"/>
      <c r="O294" t="str">
        <f>IF($I294&lt;&gt;"Complete",IF(COUNTIFS($A$4:$A293,$A294,$B$4:$B293,$B294,$I$4:$I293,"&lt;&gt;Complete")=0,$A294&amp;"|"&amp;$B294,""),"")</f>
        <v/>
      </c>
      <c r="P294">
        <f ca="1">IF($K294="Yes",COUNTIFS($K$4:$K294,"Yes"),"")</f>
        <v>31</v>
      </c>
      <c r="Q294">
        <f t="shared" ca="1" si="15"/>
        <v>1</v>
      </c>
      <c r="R294">
        <f ca="1">IF($Q294=1,SUM($Q$4:$Q294),"")</f>
        <v>31</v>
      </c>
    </row>
    <row r="295" spans="1:18" ht="22.5" customHeight="1" x14ac:dyDescent="0.3">
      <c r="A295" s="2" t="s">
        <v>767</v>
      </c>
      <c r="B295" s="2" t="s">
        <v>21</v>
      </c>
      <c r="C295" s="3" t="s">
        <v>767</v>
      </c>
      <c r="D295" s="3" t="s">
        <v>18</v>
      </c>
      <c r="E295" s="2"/>
      <c r="F295" s="2" t="s">
        <v>527</v>
      </c>
      <c r="G295" s="5">
        <v>46265</v>
      </c>
      <c r="H295" s="5">
        <v>46372</v>
      </c>
      <c r="I295" s="4" t="s">
        <v>17</v>
      </c>
      <c r="J295" s="6">
        <f t="shared" si="14"/>
        <v>107</v>
      </c>
      <c r="K295" s="4" t="str">
        <f t="shared" ca="1" si="16"/>
        <v>Yes</v>
      </c>
      <c r="L295" s="7">
        <f>IF($H295="","",$H295-'[2]Read Me'!$B$4)</f>
        <v>185</v>
      </c>
      <c r="M295" s="4" t="str">
        <f>IF($I295="Complete","Green",IF($H295="","Amber",IF($H295&lt;'[2]Read Me'!$B$4,"Red",IF($H295-'[2]Read Me'!$B$4&lt;=21,"Amber","Green"))))</f>
        <v>Green</v>
      </c>
      <c r="N295" s="3"/>
      <c r="O295" t="str">
        <f>IF($I295&lt;&gt;"Complete",IF(COUNTIFS($A$4:$A294,$A295,$B$4:$B294,$B295,$I$4:$I294,"&lt;&gt;Complete")=0,$A295&amp;"|"&amp;$B295,""),"")</f>
        <v/>
      </c>
      <c r="P295">
        <f ca="1">IF($K295="Yes",COUNTIFS($K$4:$K295,"Yes"),"")</f>
        <v>32</v>
      </c>
      <c r="Q295">
        <f t="shared" ca="1" si="15"/>
        <v>1</v>
      </c>
      <c r="R295">
        <f ca="1">IF($Q295=1,SUM($Q$4:$Q295),"")</f>
        <v>32</v>
      </c>
    </row>
    <row r="296" spans="1:18" ht="22.5" customHeight="1" x14ac:dyDescent="0.3">
      <c r="A296" s="2" t="s">
        <v>767</v>
      </c>
      <c r="B296" s="2" t="s">
        <v>21</v>
      </c>
      <c r="C296" s="3" t="s">
        <v>767</v>
      </c>
      <c r="D296" s="3" t="s">
        <v>770</v>
      </c>
      <c r="E296" s="2"/>
      <c r="F296" s="2"/>
      <c r="G296" s="5">
        <v>46272</v>
      </c>
      <c r="H296" s="5">
        <v>46379</v>
      </c>
      <c r="I296" s="4" t="s">
        <v>17</v>
      </c>
      <c r="J296" s="6">
        <f t="shared" si="14"/>
        <v>107</v>
      </c>
      <c r="K296" s="4" t="str">
        <f t="shared" ca="1" si="16"/>
        <v>Yes</v>
      </c>
      <c r="L296" s="7">
        <f>IF($H296="","",$H296-'[2]Read Me'!$B$4)</f>
        <v>192</v>
      </c>
      <c r="M296" s="4" t="str">
        <f>IF($I296="Complete","Green",IF($H296="","Amber",IF($H296&lt;'[2]Read Me'!$B$4,"Red",IF($H296-'[2]Read Me'!$B$4&lt;=21,"Amber","Green"))))</f>
        <v>Green</v>
      </c>
      <c r="N296" s="3"/>
      <c r="O296" t="str">
        <f>IF($I296&lt;&gt;"Complete",IF(COUNTIFS($A$4:$A295,$A296,$B$4:$B295,$B296,$I$4:$I295,"&lt;&gt;Complete")=0,$A296&amp;"|"&amp;$B296,""),"")</f>
        <v/>
      </c>
      <c r="P296">
        <f ca="1">IF($K296="Yes",COUNTIFS($K$4:$K296,"Yes"),"")</f>
        <v>33</v>
      </c>
      <c r="Q296">
        <f t="shared" ca="1" si="15"/>
        <v>1</v>
      </c>
      <c r="R296">
        <f ca="1">IF($Q296=1,SUM($Q$4:$Q296),"")</f>
        <v>33</v>
      </c>
    </row>
    <row r="297" spans="1:18" ht="22.5" customHeight="1" x14ac:dyDescent="0.3">
      <c r="A297" s="2" t="s">
        <v>771</v>
      </c>
      <c r="B297" s="2" t="s">
        <v>62</v>
      </c>
      <c r="C297" s="3"/>
      <c r="D297" s="3"/>
      <c r="E297" s="2"/>
      <c r="F297" s="2"/>
      <c r="G297" s="5">
        <v>46223</v>
      </c>
      <c r="H297" s="5">
        <v>46316</v>
      </c>
      <c r="I297" s="4"/>
      <c r="J297" s="6">
        <f t="shared" si="14"/>
        <v>93</v>
      </c>
      <c r="K297" s="4" t="str">
        <f t="shared" ca="1" si="16"/>
        <v>Yes</v>
      </c>
      <c r="L297" s="7">
        <f>IF($H297="","",$H297-'[2]Read Me'!$B$4)</f>
        <v>129</v>
      </c>
      <c r="M297" s="4" t="str">
        <f>IF($I297="Complete","Green",IF($H297="","Amber",IF($H297&lt;'[2]Read Me'!$B$4,"Red",IF($H297-'[2]Read Me'!$B$4&lt;=21,"Amber","Green"))))</f>
        <v>Green</v>
      </c>
      <c r="N297" s="3"/>
      <c r="O297" t="str">
        <f>IF($I297&lt;&gt;"Complete",IF(COUNTIFS($A$4:$A296,$A297,$B$4:$B296,$B297,$I$4:$I296,"&lt;&gt;Complete")=0,$A297&amp;"|"&amp;$B297,""),"")</f>
        <v>Buildings - Boomerang|Buildings</v>
      </c>
      <c r="P297">
        <f ca="1">IF($K297="Yes",COUNTIFS($K$4:$K297,"Yes"),"")</f>
        <v>34</v>
      </c>
      <c r="Q297">
        <f t="shared" ca="1" si="15"/>
        <v>1</v>
      </c>
      <c r="R297">
        <f ca="1">IF($Q297=1,SUM($Q$4:$Q297),"")</f>
        <v>34</v>
      </c>
    </row>
    <row r="298" spans="1:18" ht="22.5" customHeight="1" x14ac:dyDescent="0.3">
      <c r="A298" s="2" t="s">
        <v>771</v>
      </c>
      <c r="B298" s="2" t="s">
        <v>62</v>
      </c>
      <c r="C298" s="3" t="s">
        <v>771</v>
      </c>
      <c r="D298" s="3" t="s">
        <v>153</v>
      </c>
      <c r="E298" s="2"/>
      <c r="F298" s="2" t="s">
        <v>265</v>
      </c>
      <c r="G298" s="5">
        <v>46062</v>
      </c>
      <c r="H298" s="5">
        <v>46113</v>
      </c>
      <c r="I298" s="4" t="s">
        <v>31</v>
      </c>
      <c r="J298" s="6">
        <f t="shared" si="14"/>
        <v>51</v>
      </c>
      <c r="K298" s="4" t="str">
        <f t="shared" ca="1" si="16"/>
        <v>No</v>
      </c>
      <c r="L298" s="7">
        <f>IF($H298="","",$H298-'[2]Read Me'!$B$4)</f>
        <v>-74</v>
      </c>
      <c r="M298" s="4" t="str">
        <f>IF($I298="Complete","Green",IF($H298="","Amber",IF($H298&lt;'[2]Read Me'!$B$4,"Red",IF($H298-'[2]Read Me'!$B$4&lt;=21,"Amber","Green"))))</f>
        <v>Red</v>
      </c>
      <c r="N298" s="3"/>
      <c r="O298" t="str">
        <f>IF($I298&lt;&gt;"Complete",IF(COUNTIFS($A$4:$A297,$A298,$B$4:$B297,$B298,$I$4:$I297,"&lt;&gt;Complete")=0,$A298&amp;"|"&amp;$B298,""),"")</f>
        <v/>
      </c>
      <c r="P298" t="str">
        <f ca="1">IF($K298="Yes",COUNTIFS($K$4:$K298,"Yes"),"")</f>
        <v/>
      </c>
      <c r="Q298">
        <f t="shared" ca="1" si="15"/>
        <v>0</v>
      </c>
      <c r="R298" t="str">
        <f ca="1">IF($Q298=1,SUM($Q$4:$Q298),"")</f>
        <v/>
      </c>
    </row>
    <row r="299" spans="1:18" ht="22.5" customHeight="1" x14ac:dyDescent="0.3">
      <c r="A299" s="2" t="s">
        <v>771</v>
      </c>
      <c r="B299" s="2" t="s">
        <v>62</v>
      </c>
      <c r="C299" s="3" t="s">
        <v>771</v>
      </c>
      <c r="D299" s="3" t="s">
        <v>154</v>
      </c>
      <c r="E299" s="2"/>
      <c r="F299" s="2" t="s">
        <v>270</v>
      </c>
      <c r="G299" s="5">
        <v>46083</v>
      </c>
      <c r="H299" s="5">
        <v>46197</v>
      </c>
      <c r="I299" s="4" t="s">
        <v>46</v>
      </c>
      <c r="J299" s="6">
        <f t="shared" si="14"/>
        <v>114</v>
      </c>
      <c r="K299" s="4" t="str">
        <f t="shared" ca="1" si="16"/>
        <v>No</v>
      </c>
      <c r="L299" s="7">
        <f>IF($H299="","",$H299-'[2]Read Me'!$B$4)</f>
        <v>10</v>
      </c>
      <c r="M299" s="4" t="str">
        <f>IF($I299="Complete","Green",IF($H299="","Amber",IF($H299&lt;'[2]Read Me'!$B$4,"Red",IF($H299-'[2]Read Me'!$B$4&lt;=21,"Amber","Green"))))</f>
        <v>Amber</v>
      </c>
      <c r="N299" s="3"/>
      <c r="O299" t="str">
        <f>IF($I299&lt;&gt;"Complete",IF(COUNTIFS($A$4:$A298,$A299,$B$4:$B298,$B299,$I$4:$I298,"&lt;&gt;Complete")=0,$A299&amp;"|"&amp;$B299,""),"")</f>
        <v/>
      </c>
      <c r="P299" t="str">
        <f ca="1">IF($K299="Yes",COUNTIFS($K$4:$K299,"Yes"),"")</f>
        <v/>
      </c>
      <c r="Q299">
        <f t="shared" ca="1" si="15"/>
        <v>0</v>
      </c>
      <c r="R299" t="str">
        <f ca="1">IF($Q299=1,SUM($Q$4:$Q299),"")</f>
        <v/>
      </c>
    </row>
    <row r="300" spans="1:18" ht="22.5" customHeight="1" x14ac:dyDescent="0.3">
      <c r="A300" s="2" t="s">
        <v>771</v>
      </c>
      <c r="B300" s="2" t="s">
        <v>62</v>
      </c>
      <c r="C300" s="3" t="s">
        <v>771</v>
      </c>
      <c r="D300" s="3" t="s">
        <v>58</v>
      </c>
      <c r="E300" s="2"/>
      <c r="F300" s="2" t="s">
        <v>750</v>
      </c>
      <c r="G300" s="5">
        <v>46090</v>
      </c>
      <c r="H300" s="5">
        <v>46204</v>
      </c>
      <c r="I300" s="4" t="s">
        <v>17</v>
      </c>
      <c r="J300" s="6">
        <f t="shared" si="14"/>
        <v>114</v>
      </c>
      <c r="K300" s="4" t="str">
        <f t="shared" ca="1" si="16"/>
        <v>Yes</v>
      </c>
      <c r="L300" s="7">
        <f>IF($H300="","",$H300-'[2]Read Me'!$B$4)</f>
        <v>17</v>
      </c>
      <c r="M300" s="4" t="str">
        <f>IF($I300="Complete","Green",IF($H300="","Amber",IF($H300&lt;'[2]Read Me'!$B$4,"Red",IF($H300-'[2]Read Me'!$B$4&lt;=21,"Amber","Green"))))</f>
        <v>Amber</v>
      </c>
      <c r="N300" s="3"/>
      <c r="O300" t="str">
        <f>IF($I300&lt;&gt;"Complete",IF(COUNTIFS($A$4:$A299,$A300,$B$4:$B299,$B300,$I$4:$I299,"&lt;&gt;Complete")=0,$A300&amp;"|"&amp;$B300,""),"")</f>
        <v/>
      </c>
      <c r="P300">
        <f ca="1">IF($K300="Yes",COUNTIFS($K$4:$K300,"Yes"),"")</f>
        <v>35</v>
      </c>
      <c r="Q300">
        <f t="shared" ca="1" si="15"/>
        <v>1</v>
      </c>
      <c r="R300">
        <f ca="1">IF($Q300=1,SUM($Q$4:$Q300),"")</f>
        <v>35</v>
      </c>
    </row>
    <row r="301" spans="1:18" ht="22.5" customHeight="1" x14ac:dyDescent="0.3">
      <c r="A301" s="2" t="s">
        <v>771</v>
      </c>
      <c r="B301" s="2" t="s">
        <v>62</v>
      </c>
      <c r="C301" s="3" t="s">
        <v>771</v>
      </c>
      <c r="D301" s="3" t="s">
        <v>156</v>
      </c>
      <c r="E301" s="2"/>
      <c r="F301" s="2" t="s">
        <v>270</v>
      </c>
      <c r="G301" s="5">
        <v>46104</v>
      </c>
      <c r="H301" s="5">
        <v>46218</v>
      </c>
      <c r="I301" s="4" t="s">
        <v>17</v>
      </c>
      <c r="J301" s="6">
        <f t="shared" si="14"/>
        <v>114</v>
      </c>
      <c r="K301" s="4" t="str">
        <f t="shared" ca="1" si="16"/>
        <v>Yes</v>
      </c>
      <c r="L301" s="7">
        <f>IF($H301="","",$H301-'[2]Read Me'!$B$4)</f>
        <v>31</v>
      </c>
      <c r="M301" s="4" t="str">
        <f>IF($I301="Complete","Green",IF($H301="","Amber",IF($H301&lt;'[2]Read Me'!$B$4,"Red",IF($H301-'[2]Read Me'!$B$4&lt;=21,"Amber","Green"))))</f>
        <v>Green</v>
      </c>
      <c r="N301" s="3"/>
      <c r="O301" t="str">
        <f>IF($I301&lt;&gt;"Complete",IF(COUNTIFS($A$4:$A300,$A301,$B$4:$B300,$B301,$I$4:$I300,"&lt;&gt;Complete")=0,$A301&amp;"|"&amp;$B301,""),"")</f>
        <v/>
      </c>
      <c r="P301">
        <f ca="1">IF($K301="Yes",COUNTIFS($K$4:$K301,"Yes"),"")</f>
        <v>36</v>
      </c>
      <c r="Q301">
        <f t="shared" ca="1" si="15"/>
        <v>1</v>
      </c>
      <c r="R301">
        <f ca="1">IF($Q301=1,SUM($Q$4:$Q301),"")</f>
        <v>36</v>
      </c>
    </row>
    <row r="302" spans="1:18" ht="22.5" customHeight="1" x14ac:dyDescent="0.3">
      <c r="A302" s="2" t="s">
        <v>771</v>
      </c>
      <c r="B302" s="2" t="s">
        <v>62</v>
      </c>
      <c r="C302" s="3" t="s">
        <v>771</v>
      </c>
      <c r="D302" s="3" t="s">
        <v>58</v>
      </c>
      <c r="E302" s="2"/>
      <c r="F302" s="2" t="s">
        <v>750</v>
      </c>
      <c r="G302" s="5">
        <v>46118</v>
      </c>
      <c r="H302" s="5">
        <v>46225</v>
      </c>
      <c r="I302" s="4" t="s">
        <v>17</v>
      </c>
      <c r="J302" s="6">
        <f t="shared" si="14"/>
        <v>107</v>
      </c>
      <c r="K302" s="4" t="str">
        <f t="shared" ca="1" si="16"/>
        <v>Yes</v>
      </c>
      <c r="L302" s="7">
        <f>IF($H302="","",$H302-'[2]Read Me'!$B$4)</f>
        <v>38</v>
      </c>
      <c r="M302" s="4" t="str">
        <f>IF($I302="Complete","Green",IF($H302="","Amber",IF($H302&lt;'[2]Read Me'!$B$4,"Red",IF($H302-'[2]Read Me'!$B$4&lt;=21,"Amber","Green"))))</f>
        <v>Green</v>
      </c>
      <c r="N302" s="3"/>
      <c r="O302" t="str">
        <f>IF($I302&lt;&gt;"Complete",IF(COUNTIFS($A$4:$A301,$A302,$B$4:$B301,$B302,$I$4:$I301,"&lt;&gt;Complete")=0,$A302&amp;"|"&amp;$B302,""),"")</f>
        <v/>
      </c>
      <c r="P302">
        <f ca="1">IF($K302="Yes",COUNTIFS($K$4:$K302,"Yes"),"")</f>
        <v>37</v>
      </c>
      <c r="Q302">
        <f t="shared" ca="1" si="15"/>
        <v>1</v>
      </c>
      <c r="R302">
        <f ca="1">IF($Q302=1,SUM($Q$4:$Q302),"")</f>
        <v>37</v>
      </c>
    </row>
    <row r="303" spans="1:18" ht="22.5" customHeight="1" x14ac:dyDescent="0.3">
      <c r="A303" s="2" t="s">
        <v>771</v>
      </c>
      <c r="B303" s="2" t="s">
        <v>62</v>
      </c>
      <c r="C303" s="3" t="s">
        <v>771</v>
      </c>
      <c r="D303" s="3" t="s">
        <v>157</v>
      </c>
      <c r="E303" s="2"/>
      <c r="F303" s="2" t="s">
        <v>270</v>
      </c>
      <c r="G303" s="5">
        <v>46146</v>
      </c>
      <c r="H303" s="5">
        <v>46239</v>
      </c>
      <c r="I303" s="4" t="s">
        <v>17</v>
      </c>
      <c r="J303" s="6">
        <f t="shared" si="14"/>
        <v>93</v>
      </c>
      <c r="K303" s="4" t="str">
        <f t="shared" ca="1" si="16"/>
        <v>Yes</v>
      </c>
      <c r="L303" s="7">
        <f>IF($H303="","",$H303-'[2]Read Me'!$B$4)</f>
        <v>52</v>
      </c>
      <c r="M303" s="4" t="str">
        <f>IF($I303="Complete","Green",IF($H303="","Amber",IF($H303&lt;'[2]Read Me'!$B$4,"Red",IF($H303-'[2]Read Me'!$B$4&lt;=21,"Amber","Green"))))</f>
        <v>Green</v>
      </c>
      <c r="N303" s="3"/>
      <c r="O303" t="str">
        <f>IF($I303&lt;&gt;"Complete",IF(COUNTIFS($A$4:$A302,$A303,$B$4:$B302,$B303,$I$4:$I302,"&lt;&gt;Complete")=0,$A303&amp;"|"&amp;$B303,""),"")</f>
        <v/>
      </c>
      <c r="P303">
        <f ca="1">IF($K303="Yes",COUNTIFS($K$4:$K303,"Yes"),"")</f>
        <v>38</v>
      </c>
      <c r="Q303">
        <f t="shared" ca="1" si="15"/>
        <v>1</v>
      </c>
      <c r="R303">
        <f ca="1">IF($Q303=1,SUM($Q$4:$Q303),"")</f>
        <v>38</v>
      </c>
    </row>
    <row r="304" spans="1:18" ht="22.5" customHeight="1" x14ac:dyDescent="0.3">
      <c r="A304" s="2" t="s">
        <v>771</v>
      </c>
      <c r="B304" s="2" t="s">
        <v>62</v>
      </c>
      <c r="C304" s="3" t="s">
        <v>771</v>
      </c>
      <c r="D304" s="3" t="s">
        <v>58</v>
      </c>
      <c r="E304" s="2"/>
      <c r="F304" s="2" t="s">
        <v>750</v>
      </c>
      <c r="G304" s="5">
        <v>46153</v>
      </c>
      <c r="H304" s="5">
        <v>46246</v>
      </c>
      <c r="I304" s="4" t="s">
        <v>17</v>
      </c>
      <c r="J304" s="6">
        <f t="shared" si="14"/>
        <v>93</v>
      </c>
      <c r="K304" s="4" t="str">
        <f t="shared" ca="1" si="16"/>
        <v>Yes</v>
      </c>
      <c r="L304" s="7">
        <f>IF($H304="","",$H304-'[2]Read Me'!$B$4)</f>
        <v>59</v>
      </c>
      <c r="M304" s="4" t="str">
        <f>IF($I304="Complete","Green",IF($H304="","Amber",IF($H304&lt;'[2]Read Me'!$B$4,"Red",IF($H304-'[2]Read Me'!$B$4&lt;=21,"Amber","Green"))))</f>
        <v>Green</v>
      </c>
      <c r="N304" s="3"/>
      <c r="O304" t="str">
        <f>IF($I304&lt;&gt;"Complete",IF(COUNTIFS($A$4:$A303,$A304,$B$4:$B303,$B304,$I$4:$I303,"&lt;&gt;Complete")=0,$A304&amp;"|"&amp;$B304,""),"")</f>
        <v/>
      </c>
      <c r="P304">
        <f ca="1">IF($K304="Yes",COUNTIFS($K$4:$K304,"Yes"),"")</f>
        <v>39</v>
      </c>
      <c r="Q304">
        <f t="shared" ca="1" si="15"/>
        <v>1</v>
      </c>
      <c r="R304">
        <f ca="1">IF($Q304=1,SUM($Q$4:$Q304),"")</f>
        <v>39</v>
      </c>
    </row>
    <row r="305" spans="1:18" ht="22.5" customHeight="1" x14ac:dyDescent="0.3">
      <c r="A305" s="2" t="s">
        <v>771</v>
      </c>
      <c r="B305" s="2" t="s">
        <v>62</v>
      </c>
      <c r="C305" s="3" t="s">
        <v>771</v>
      </c>
      <c r="D305" s="3" t="s">
        <v>772</v>
      </c>
      <c r="E305" s="2"/>
      <c r="F305" s="2" t="s">
        <v>270</v>
      </c>
      <c r="G305" s="5">
        <v>46181</v>
      </c>
      <c r="H305" s="5">
        <v>46246</v>
      </c>
      <c r="I305" s="4" t="s">
        <v>17</v>
      </c>
      <c r="J305" s="6">
        <f t="shared" si="14"/>
        <v>65</v>
      </c>
      <c r="K305" s="4" t="str">
        <f t="shared" ca="1" si="16"/>
        <v>Yes</v>
      </c>
      <c r="L305" s="7">
        <f>IF($H305="","",$H305-'[2]Read Me'!$B$4)</f>
        <v>59</v>
      </c>
      <c r="M305" s="4" t="str">
        <f>IF($I305="Complete","Green",IF($H305="","Amber",IF($H305&lt;'[2]Read Me'!$B$4,"Red",IF($H305-'[2]Read Me'!$B$4&lt;=21,"Amber","Green"))))</f>
        <v>Green</v>
      </c>
      <c r="N305" s="3"/>
      <c r="O305" t="str">
        <f>IF($I305&lt;&gt;"Complete",IF(COUNTIFS($A$4:$A304,$A305,$B$4:$B304,$B305,$I$4:$I304,"&lt;&gt;Complete")=0,$A305&amp;"|"&amp;$B305,""),"")</f>
        <v/>
      </c>
      <c r="P305">
        <f ca="1">IF($K305="Yes",COUNTIFS($K$4:$K305,"Yes"),"")</f>
        <v>40</v>
      </c>
      <c r="Q305">
        <f t="shared" ca="1" si="15"/>
        <v>1</v>
      </c>
      <c r="R305">
        <f ca="1">IF($Q305=1,SUM($Q$4:$Q305),"")</f>
        <v>40</v>
      </c>
    </row>
    <row r="306" spans="1:18" ht="22.5" customHeight="1" x14ac:dyDescent="0.3">
      <c r="A306" s="2" t="s">
        <v>771</v>
      </c>
      <c r="B306" s="2" t="s">
        <v>62</v>
      </c>
      <c r="C306" s="3" t="s">
        <v>771</v>
      </c>
      <c r="D306" s="3" t="s">
        <v>58</v>
      </c>
      <c r="E306" s="2"/>
      <c r="F306" s="2"/>
      <c r="G306" s="5">
        <v>46195</v>
      </c>
      <c r="H306" s="5">
        <v>46246</v>
      </c>
      <c r="I306" s="4" t="s">
        <v>17</v>
      </c>
      <c r="J306" s="6">
        <f t="shared" si="14"/>
        <v>51</v>
      </c>
      <c r="K306" s="4" t="str">
        <f t="shared" ca="1" si="16"/>
        <v>Yes</v>
      </c>
      <c r="L306" s="7">
        <f>IF($H306="","",$H306-'[2]Read Me'!$B$4)</f>
        <v>59</v>
      </c>
      <c r="M306" s="4" t="str">
        <f>IF($I306="Complete","Green",IF($H306="","Amber",IF($H306&lt;'[2]Read Me'!$B$4,"Red",IF($H306-'[2]Read Me'!$B$4&lt;=21,"Amber","Green"))))</f>
        <v>Green</v>
      </c>
      <c r="N306" s="3"/>
      <c r="O306" t="str">
        <f>IF($I306&lt;&gt;"Complete",IF(COUNTIFS($A$4:$A305,$A306,$B$4:$B305,$B306,$I$4:$I305,"&lt;&gt;Complete")=0,$A306&amp;"|"&amp;$B306,""),"")</f>
        <v/>
      </c>
      <c r="P306">
        <f ca="1">IF($K306="Yes",COUNTIFS($K$4:$K306,"Yes"),"")</f>
        <v>41</v>
      </c>
      <c r="Q306">
        <f t="shared" ca="1" si="15"/>
        <v>1</v>
      </c>
      <c r="R306">
        <f ca="1">IF($Q306=1,SUM($Q$4:$Q306),"")</f>
        <v>41</v>
      </c>
    </row>
    <row r="307" spans="1:18" ht="22.5" customHeight="1" x14ac:dyDescent="0.3">
      <c r="A307" s="2" t="s">
        <v>771</v>
      </c>
      <c r="B307" s="2" t="s">
        <v>62</v>
      </c>
      <c r="C307" s="3" t="s">
        <v>771</v>
      </c>
      <c r="D307" s="3" t="s">
        <v>773</v>
      </c>
      <c r="E307" s="2"/>
      <c r="F307" s="2" t="s">
        <v>270</v>
      </c>
      <c r="G307" s="5">
        <v>46174</v>
      </c>
      <c r="H307" s="5">
        <v>46267</v>
      </c>
      <c r="I307" s="4" t="s">
        <v>17</v>
      </c>
      <c r="J307" s="6">
        <f t="shared" si="14"/>
        <v>93</v>
      </c>
      <c r="K307" s="4" t="str">
        <f t="shared" ca="1" si="16"/>
        <v>Yes</v>
      </c>
      <c r="L307" s="7">
        <f>IF($H307="","",$H307-'[2]Read Me'!$B$4)</f>
        <v>80</v>
      </c>
      <c r="M307" s="4" t="str">
        <f>IF($I307="Complete","Green",IF($H307="","Amber",IF($H307&lt;'[2]Read Me'!$B$4,"Red",IF($H307-'[2]Read Me'!$B$4&lt;=21,"Amber","Green"))))</f>
        <v>Green</v>
      </c>
      <c r="N307" s="3"/>
      <c r="O307" t="str">
        <f>IF($I307&lt;&gt;"Complete",IF(COUNTIFS($A$4:$A306,$A307,$B$4:$B306,$B307,$I$4:$I306,"&lt;&gt;Complete")=0,$A307&amp;"|"&amp;$B307,""),"")</f>
        <v/>
      </c>
      <c r="P307">
        <f ca="1">IF($K307="Yes",COUNTIFS($K$4:$K307,"Yes"),"")</f>
        <v>42</v>
      </c>
      <c r="Q307">
        <f t="shared" ca="1" si="15"/>
        <v>1</v>
      </c>
      <c r="R307">
        <f ca="1">IF($Q307=1,SUM($Q$4:$Q307),"")</f>
        <v>42</v>
      </c>
    </row>
    <row r="308" spans="1:18" ht="22.5" customHeight="1" x14ac:dyDescent="0.3">
      <c r="A308" s="2" t="s">
        <v>771</v>
      </c>
      <c r="B308" s="2" t="s">
        <v>62</v>
      </c>
      <c r="C308" s="3" t="s">
        <v>771</v>
      </c>
      <c r="D308" s="3" t="s">
        <v>58</v>
      </c>
      <c r="E308" s="2"/>
      <c r="F308" s="2"/>
      <c r="G308" s="5">
        <v>46188</v>
      </c>
      <c r="H308" s="5">
        <v>46281</v>
      </c>
      <c r="I308" s="4" t="s">
        <v>17</v>
      </c>
      <c r="J308" s="6">
        <f t="shared" si="14"/>
        <v>93</v>
      </c>
      <c r="K308" s="4" t="str">
        <f t="shared" ca="1" si="16"/>
        <v>Yes</v>
      </c>
      <c r="L308" s="7">
        <f>IF($H308="","",$H308-'[2]Read Me'!$B$4)</f>
        <v>94</v>
      </c>
      <c r="M308" s="4" t="str">
        <f>IF($I308="Complete","Green",IF($H308="","Amber",IF($H308&lt;'[2]Read Me'!$B$4,"Red",IF($H308-'[2]Read Me'!$B$4&lt;=21,"Amber","Green"))))</f>
        <v>Green</v>
      </c>
      <c r="N308" s="3"/>
      <c r="O308" t="str">
        <f>IF($I308&lt;&gt;"Complete",IF(COUNTIFS($A$4:$A307,$A308,$B$4:$B307,$B308,$I$4:$I307,"&lt;&gt;Complete")=0,$A308&amp;"|"&amp;$B308,""),"")</f>
        <v/>
      </c>
      <c r="P308">
        <f ca="1">IF($K308="Yes",COUNTIFS($K$4:$K308,"Yes"),"")</f>
        <v>43</v>
      </c>
      <c r="Q308">
        <f t="shared" ca="1" si="15"/>
        <v>1</v>
      </c>
      <c r="R308">
        <f ca="1">IF($Q308=1,SUM($Q$4:$Q308),"")</f>
        <v>43</v>
      </c>
    </row>
    <row r="309" spans="1:18" ht="22.5" customHeight="1" x14ac:dyDescent="0.3">
      <c r="A309" s="2" t="s">
        <v>771</v>
      </c>
      <c r="B309" s="2" t="s">
        <v>62</v>
      </c>
      <c r="C309" s="3" t="s">
        <v>771</v>
      </c>
      <c r="D309" s="3" t="s">
        <v>774</v>
      </c>
      <c r="E309" s="2"/>
      <c r="F309" s="2" t="s">
        <v>270</v>
      </c>
      <c r="G309" s="5">
        <v>46209</v>
      </c>
      <c r="H309" s="5">
        <v>46302</v>
      </c>
      <c r="I309" s="4" t="s">
        <v>17</v>
      </c>
      <c r="J309" s="6">
        <f t="shared" si="14"/>
        <v>93</v>
      </c>
      <c r="K309" s="4" t="str">
        <f t="shared" ca="1" si="16"/>
        <v>Yes</v>
      </c>
      <c r="L309" s="7">
        <f>IF($H309="","",$H309-'[2]Read Me'!$B$4)</f>
        <v>115</v>
      </c>
      <c r="M309" s="4" t="str">
        <f>IF($I309="Complete","Green",IF($H309="","Amber",IF($H309&lt;'[2]Read Me'!$B$4,"Red",IF($H309-'[2]Read Me'!$B$4&lt;=21,"Amber","Green"))))</f>
        <v>Green</v>
      </c>
      <c r="N309" s="3"/>
      <c r="O309" t="str">
        <f>IF($I309&lt;&gt;"Complete",IF(COUNTIFS($A$4:$A308,$A309,$B$4:$B308,$B309,$I$4:$I308,"&lt;&gt;Complete")=0,$A309&amp;"|"&amp;$B309,""),"")</f>
        <v/>
      </c>
      <c r="P309">
        <f ca="1">IF($K309="Yes",COUNTIFS($K$4:$K309,"Yes"),"")</f>
        <v>44</v>
      </c>
      <c r="Q309">
        <f t="shared" ca="1" si="15"/>
        <v>1</v>
      </c>
      <c r="R309">
        <f ca="1">IF($Q309=1,SUM($Q$4:$Q309),"")</f>
        <v>44</v>
      </c>
    </row>
    <row r="310" spans="1:18" ht="14.25" customHeight="1" x14ac:dyDescent="0.3">
      <c r="A310" s="2" t="s">
        <v>771</v>
      </c>
      <c r="B310" s="2" t="s">
        <v>62</v>
      </c>
      <c r="C310" s="3" t="s">
        <v>771</v>
      </c>
      <c r="D310" s="3" t="s">
        <v>58</v>
      </c>
      <c r="E310" s="2"/>
      <c r="F310" s="2"/>
      <c r="G310" s="5">
        <v>46223</v>
      </c>
      <c r="H310" s="5">
        <v>46316</v>
      </c>
      <c r="I310" s="4" t="s">
        <v>17</v>
      </c>
      <c r="J310" s="6">
        <f t="shared" si="14"/>
        <v>93</v>
      </c>
      <c r="K310" s="4" t="str">
        <f t="shared" ca="1" si="16"/>
        <v>Yes</v>
      </c>
      <c r="L310" s="7">
        <f>IF($H310="","",$H310-'[2]Read Me'!$B$4)</f>
        <v>129</v>
      </c>
      <c r="M310" s="4" t="str">
        <f>IF($I310="Complete","Green",IF($H310="","Amber",IF($H310&lt;'[2]Read Me'!$B$4,"Red",IF($H310-'[2]Read Me'!$B$4&lt;=21,"Amber","Green"))))</f>
        <v>Green</v>
      </c>
      <c r="N310" s="3"/>
      <c r="O310" t="str">
        <f>IF($I310&lt;&gt;"Complete",IF(COUNTIFS($A$4:$A309,$A310,$B$4:$B309,$B310,$I$4:$I309,"&lt;&gt;Complete")=0,$A310&amp;"|"&amp;$B310,""),"")</f>
        <v/>
      </c>
      <c r="P310">
        <f ca="1">IF($K310="Yes",COUNTIFS($K$4:$K310,"Yes"),"")</f>
        <v>45</v>
      </c>
      <c r="Q310">
        <f t="shared" ca="1" si="15"/>
        <v>1</v>
      </c>
      <c r="R310">
        <f ca="1">IF($Q310=1,SUM($Q$4:$Q310),"")</f>
        <v>45</v>
      </c>
    </row>
    <row r="311" spans="1:18" ht="14.25" customHeight="1" x14ac:dyDescent="0.3">
      <c r="A311" s="2" t="s">
        <v>771</v>
      </c>
      <c r="B311" s="2" t="s">
        <v>41</v>
      </c>
      <c r="C311" s="3"/>
      <c r="D311" s="3"/>
      <c r="E311" s="2"/>
      <c r="F311" s="2"/>
      <c r="G311" s="5">
        <v>46251</v>
      </c>
      <c r="H311" s="5">
        <v>46351</v>
      </c>
      <c r="I311" s="4"/>
      <c r="J311" s="6">
        <f t="shared" si="14"/>
        <v>100</v>
      </c>
      <c r="K311" s="4" t="str">
        <f t="shared" ca="1" si="16"/>
        <v>Yes</v>
      </c>
      <c r="L311" s="7">
        <f>IF($H311="","",$H311-'[2]Read Me'!$B$4)</f>
        <v>164</v>
      </c>
      <c r="M311" s="4" t="str">
        <f>IF($I311="Complete","Green",IF($H311="","Amber",IF($H311&lt;'[2]Read Me'!$B$4,"Red",IF($H311-'[2]Read Me'!$B$4&lt;=21,"Amber","Green"))))</f>
        <v>Green</v>
      </c>
      <c r="N311" s="3"/>
      <c r="O311" t="str">
        <f>IF($I311&lt;&gt;"Complete",IF(COUNTIFS($A$4:$A310,$A311,$B$4:$B310,$B311,$I$4:$I310,"&lt;&gt;Complete")=0,$A311&amp;"|"&amp;$B311,""),"")</f>
        <v>Buildings - Boomerang|Fit-out</v>
      </c>
      <c r="P311">
        <f ca="1">IF($K311="Yes",COUNTIFS($K$4:$K311,"Yes"),"")</f>
        <v>46</v>
      </c>
      <c r="Q311">
        <f t="shared" ca="1" si="15"/>
        <v>1</v>
      </c>
      <c r="R311">
        <f ca="1">IF($Q311=1,SUM($Q$4:$Q311),"")</f>
        <v>46</v>
      </c>
    </row>
    <row r="312" spans="1:18" ht="14.25" customHeight="1" x14ac:dyDescent="0.3">
      <c r="A312" s="2" t="s">
        <v>771</v>
      </c>
      <c r="B312" s="2" t="s">
        <v>41</v>
      </c>
      <c r="C312" s="3" t="s">
        <v>775</v>
      </c>
      <c r="D312" s="3" t="s">
        <v>151</v>
      </c>
      <c r="E312" s="2"/>
      <c r="F312" s="2"/>
      <c r="G312" s="5">
        <v>46138</v>
      </c>
      <c r="H312" s="5">
        <v>46191</v>
      </c>
      <c r="I312" s="4" t="s">
        <v>46</v>
      </c>
      <c r="J312" s="6">
        <f t="shared" si="14"/>
        <v>53</v>
      </c>
      <c r="K312" s="4" t="str">
        <f t="shared" ca="1" si="16"/>
        <v>No</v>
      </c>
      <c r="L312" s="7">
        <f>IF($H312="","",$H312-'[2]Read Me'!$B$4)</f>
        <v>4</v>
      </c>
      <c r="M312" s="4" t="str">
        <f>IF($I312="Complete","Green",IF($H312="","Amber",IF($H312&lt;'[2]Read Me'!$B$4,"Red",IF($H312-'[2]Read Me'!$B$4&lt;=21,"Amber","Green"))))</f>
        <v>Amber</v>
      </c>
      <c r="N312" s="3"/>
      <c r="O312" t="str">
        <f>IF($I312&lt;&gt;"Complete",IF(COUNTIFS($A$4:$A311,$A312,$B$4:$B311,$B312,$I$4:$I311,"&lt;&gt;Complete")=0,$A312&amp;"|"&amp;$B312,""),"")</f>
        <v/>
      </c>
      <c r="P312" t="str">
        <f ca="1">IF($K312="Yes",COUNTIFS($K$4:$K312,"Yes"),"")</f>
        <v/>
      </c>
      <c r="Q312">
        <f t="shared" ca="1" si="15"/>
        <v>0</v>
      </c>
      <c r="R312" t="str">
        <f ca="1">IF($Q312=1,SUM($Q$4:$Q312),"")</f>
        <v/>
      </c>
    </row>
    <row r="313" spans="1:18" x14ac:dyDescent="0.3">
      <c r="A313" t="s">
        <v>771</v>
      </c>
      <c r="B313" t="s">
        <v>41</v>
      </c>
      <c r="C313" t="s">
        <v>775</v>
      </c>
      <c r="D313" t="s">
        <v>776</v>
      </c>
      <c r="G313" s="9">
        <v>46145</v>
      </c>
      <c r="H313" s="9">
        <v>46198</v>
      </c>
      <c r="I313" t="s">
        <v>17</v>
      </c>
    </row>
    <row r="314" spans="1:18" x14ac:dyDescent="0.3">
      <c r="A314" t="s">
        <v>771</v>
      </c>
      <c r="B314" t="s">
        <v>41</v>
      </c>
      <c r="C314" t="s">
        <v>775</v>
      </c>
      <c r="D314" t="s">
        <v>153</v>
      </c>
      <c r="G314" s="9">
        <v>46152</v>
      </c>
      <c r="H314" s="9">
        <v>46205</v>
      </c>
      <c r="I314" t="s">
        <v>17</v>
      </c>
    </row>
    <row r="315" spans="1:18" x14ac:dyDescent="0.3">
      <c r="A315" t="s">
        <v>771</v>
      </c>
      <c r="B315" t="s">
        <v>41</v>
      </c>
      <c r="C315" t="s">
        <v>775</v>
      </c>
      <c r="D315" t="s">
        <v>156</v>
      </c>
      <c r="F315" t="s">
        <v>453</v>
      </c>
      <c r="G315" s="9">
        <v>46166</v>
      </c>
      <c r="H315" s="9">
        <v>46239</v>
      </c>
      <c r="I315" t="s">
        <v>17</v>
      </c>
    </row>
    <row r="316" spans="1:18" x14ac:dyDescent="0.3">
      <c r="A316" t="s">
        <v>771</v>
      </c>
      <c r="B316" t="s">
        <v>41</v>
      </c>
      <c r="C316" t="s">
        <v>775</v>
      </c>
      <c r="D316" t="s">
        <v>58</v>
      </c>
      <c r="G316" s="9">
        <v>46173</v>
      </c>
      <c r="H316" s="9">
        <v>46246</v>
      </c>
      <c r="I316" t="s">
        <v>17</v>
      </c>
    </row>
    <row r="317" spans="1:18" x14ac:dyDescent="0.3">
      <c r="A317" t="s">
        <v>771</v>
      </c>
      <c r="B317" t="s">
        <v>41</v>
      </c>
      <c r="C317" t="s">
        <v>775</v>
      </c>
      <c r="D317" t="s">
        <v>157</v>
      </c>
      <c r="F317" t="s">
        <v>453</v>
      </c>
      <c r="G317" s="9">
        <v>46187</v>
      </c>
      <c r="H317" s="9">
        <v>46267</v>
      </c>
      <c r="I317" t="s">
        <v>17</v>
      </c>
    </row>
    <row r="318" spans="1:18" x14ac:dyDescent="0.3">
      <c r="A318" t="s">
        <v>771</v>
      </c>
      <c r="B318" t="s">
        <v>41</v>
      </c>
      <c r="C318" t="s">
        <v>775</v>
      </c>
      <c r="D318" t="s">
        <v>58</v>
      </c>
      <c r="G318" s="9">
        <v>46201</v>
      </c>
      <c r="H318" s="9">
        <v>46274</v>
      </c>
      <c r="I318" t="s">
        <v>17</v>
      </c>
    </row>
    <row r="319" spans="1:18" x14ac:dyDescent="0.3">
      <c r="A319" t="s">
        <v>771</v>
      </c>
      <c r="B319" t="s">
        <v>41</v>
      </c>
      <c r="C319" t="s">
        <v>775</v>
      </c>
      <c r="D319" t="s">
        <v>361</v>
      </c>
      <c r="F319" t="s">
        <v>453</v>
      </c>
      <c r="G319" s="9">
        <v>46215</v>
      </c>
      <c r="H319" s="9">
        <v>46337</v>
      </c>
      <c r="I319" t="s">
        <v>17</v>
      </c>
    </row>
    <row r="320" spans="1:18" x14ac:dyDescent="0.3">
      <c r="A320" t="s">
        <v>771</v>
      </c>
      <c r="B320" t="s">
        <v>41</v>
      </c>
      <c r="C320" t="s">
        <v>775</v>
      </c>
      <c r="D320" t="s">
        <v>58</v>
      </c>
      <c r="G320" s="9">
        <v>46229</v>
      </c>
      <c r="H320" s="9">
        <v>46351</v>
      </c>
      <c r="I320" t="s">
        <v>17</v>
      </c>
    </row>
    <row r="321" spans="7:8" x14ac:dyDescent="0.3">
      <c r="G321" s="9"/>
      <c r="H321" s="9"/>
    </row>
    <row r="322" spans="7:8" x14ac:dyDescent="0.3">
      <c r="G322" s="9"/>
      <c r="H322" s="9"/>
    </row>
    <row r="323" spans="7:8" x14ac:dyDescent="0.3">
      <c r="G323" s="9"/>
      <c r="H323" s="9"/>
    </row>
    <row r="324" spans="7:8" x14ac:dyDescent="0.3">
      <c r="G324" s="9"/>
      <c r="H324" s="9"/>
    </row>
    <row r="325" spans="7:8" x14ac:dyDescent="0.3">
      <c r="G325" s="9"/>
      <c r="H325" s="9"/>
    </row>
    <row r="326" spans="7:8" x14ac:dyDescent="0.3">
      <c r="G326" s="9"/>
      <c r="H326" s="9"/>
    </row>
    <row r="327" spans="7:8" x14ac:dyDescent="0.3">
      <c r="G327" s="9"/>
      <c r="H327" s="9"/>
    </row>
    <row r="328" spans="7:8" x14ac:dyDescent="0.3">
      <c r="G328" s="9"/>
      <c r="H328" s="9"/>
    </row>
    <row r="329" spans="7:8" x14ac:dyDescent="0.3">
      <c r="G329" s="9"/>
      <c r="H329" s="9"/>
    </row>
    <row r="330" spans="7:8" x14ac:dyDescent="0.3">
      <c r="G330" s="9"/>
      <c r="H330" s="9"/>
    </row>
    <row r="331" spans="7:8" x14ac:dyDescent="0.3">
      <c r="G331" s="9"/>
      <c r="H331" s="9"/>
    </row>
    <row r="332" spans="7:8" x14ac:dyDescent="0.3">
      <c r="G332" s="9"/>
      <c r="H332" s="9"/>
    </row>
    <row r="333" spans="7:8" x14ac:dyDescent="0.3">
      <c r="G333" s="9"/>
      <c r="H333" s="9"/>
    </row>
    <row r="334" spans="7:8" x14ac:dyDescent="0.3">
      <c r="G334" s="9"/>
      <c r="H334" s="9"/>
    </row>
    <row r="335" spans="7:8" x14ac:dyDescent="0.3">
      <c r="G335" s="9"/>
      <c r="H335" s="9"/>
    </row>
    <row r="336" spans="7:8" x14ac:dyDescent="0.3">
      <c r="G336" s="9"/>
      <c r="H336" s="9"/>
    </row>
    <row r="337" spans="7:8" x14ac:dyDescent="0.3">
      <c r="G337" s="9"/>
      <c r="H337" s="9"/>
    </row>
    <row r="338" spans="7:8" x14ac:dyDescent="0.3">
      <c r="G338" s="9"/>
      <c r="H338" s="9"/>
    </row>
    <row r="339" spans="7:8" x14ac:dyDescent="0.3">
      <c r="G339" s="9"/>
      <c r="H339" s="9"/>
    </row>
    <row r="340" spans="7:8" x14ac:dyDescent="0.3">
      <c r="G340" s="9"/>
      <c r="H340" s="9"/>
    </row>
    <row r="341" spans="7:8" x14ac:dyDescent="0.3">
      <c r="G341" s="9"/>
      <c r="H341" s="9"/>
    </row>
    <row r="342" spans="7:8" x14ac:dyDescent="0.3">
      <c r="G342" s="9"/>
      <c r="H342" s="9"/>
    </row>
    <row r="343" spans="7:8" x14ac:dyDescent="0.3">
      <c r="G343" s="9"/>
      <c r="H343" s="9"/>
    </row>
    <row r="344" spans="7:8" x14ac:dyDescent="0.3">
      <c r="G344" s="9"/>
      <c r="H344" s="9"/>
    </row>
    <row r="345" spans="7:8" x14ac:dyDescent="0.3">
      <c r="G345" s="9"/>
      <c r="H345" s="9"/>
    </row>
    <row r="346" spans="7:8" x14ac:dyDescent="0.3">
      <c r="G346" s="9"/>
      <c r="H346" s="9"/>
    </row>
    <row r="347" spans="7:8" x14ac:dyDescent="0.3">
      <c r="G347" s="9"/>
      <c r="H347" s="9"/>
    </row>
    <row r="348" spans="7:8" x14ac:dyDescent="0.3">
      <c r="G348" s="9"/>
      <c r="H348" s="9"/>
    </row>
    <row r="349" spans="7:8" x14ac:dyDescent="0.3">
      <c r="G349" s="9"/>
      <c r="H349" s="9"/>
    </row>
    <row r="350" spans="7:8" x14ac:dyDescent="0.3">
      <c r="G350" s="9"/>
      <c r="H350" s="9"/>
    </row>
    <row r="351" spans="7:8" x14ac:dyDescent="0.3">
      <c r="G351" s="9"/>
      <c r="H351" s="9"/>
    </row>
    <row r="352" spans="7:8" x14ac:dyDescent="0.3">
      <c r="G352" s="9"/>
      <c r="H352" s="9"/>
    </row>
    <row r="353" spans="7:8" x14ac:dyDescent="0.3">
      <c r="G353" s="9"/>
      <c r="H353" s="9"/>
    </row>
    <row r="354" spans="7:8" x14ac:dyDescent="0.3">
      <c r="G354" s="9"/>
      <c r="H354" s="9"/>
    </row>
    <row r="355" spans="7:8" x14ac:dyDescent="0.3">
      <c r="G355" s="9"/>
      <c r="H355" s="9"/>
    </row>
    <row r="356" spans="7:8" x14ac:dyDescent="0.3">
      <c r="G356" s="9"/>
      <c r="H356" s="9"/>
    </row>
    <row r="357" spans="7:8" x14ac:dyDescent="0.3">
      <c r="G357" s="9"/>
      <c r="H357" s="9"/>
    </row>
    <row r="358" spans="7:8" x14ac:dyDescent="0.3">
      <c r="G358" s="9"/>
      <c r="H358" s="9"/>
    </row>
    <row r="359" spans="7:8" x14ac:dyDescent="0.3">
      <c r="G359" s="9"/>
      <c r="H359" s="9"/>
    </row>
    <row r="360" spans="7:8" x14ac:dyDescent="0.3">
      <c r="G360" s="9"/>
      <c r="H360" s="9"/>
    </row>
    <row r="361" spans="7:8" x14ac:dyDescent="0.3">
      <c r="G361" s="9"/>
      <c r="H361" s="9"/>
    </row>
    <row r="362" spans="7:8" x14ac:dyDescent="0.3">
      <c r="G362" s="9"/>
      <c r="H362" s="9"/>
    </row>
    <row r="363" spans="7:8" x14ac:dyDescent="0.3">
      <c r="G363" s="9"/>
      <c r="H363" s="9"/>
    </row>
    <row r="364" spans="7:8" x14ac:dyDescent="0.3">
      <c r="G364" s="9"/>
      <c r="H364" s="9"/>
    </row>
    <row r="365" spans="7:8" x14ac:dyDescent="0.3">
      <c r="G365" s="9"/>
      <c r="H365" s="9"/>
    </row>
    <row r="366" spans="7:8" x14ac:dyDescent="0.3">
      <c r="G366" s="9"/>
      <c r="H366" s="9"/>
    </row>
    <row r="367" spans="7:8" x14ac:dyDescent="0.3">
      <c r="G367" s="9"/>
      <c r="H367" s="9"/>
    </row>
    <row r="368" spans="7:8" x14ac:dyDescent="0.3">
      <c r="G368" s="9"/>
      <c r="H368" s="9"/>
    </row>
    <row r="369" spans="7:8" x14ac:dyDescent="0.3">
      <c r="G369" s="9"/>
      <c r="H369" s="9"/>
    </row>
    <row r="370" spans="7:8" x14ac:dyDescent="0.3">
      <c r="G370" s="9"/>
      <c r="H370" s="9"/>
    </row>
    <row r="371" spans="7:8" x14ac:dyDescent="0.3">
      <c r="G371" s="9"/>
      <c r="H371" s="9"/>
    </row>
    <row r="372" spans="7:8" x14ac:dyDescent="0.3">
      <c r="G372" s="9"/>
      <c r="H372" s="9"/>
    </row>
    <row r="373" spans="7:8" x14ac:dyDescent="0.3">
      <c r="G373" s="9"/>
      <c r="H373" s="9"/>
    </row>
    <row r="374" spans="7:8" x14ac:dyDescent="0.3">
      <c r="G374" s="9"/>
      <c r="H374" s="9"/>
    </row>
    <row r="375" spans="7:8" x14ac:dyDescent="0.3">
      <c r="G375" s="9"/>
      <c r="H375" s="9"/>
    </row>
    <row r="376" spans="7:8" x14ac:dyDescent="0.3">
      <c r="G376" s="9"/>
      <c r="H376" s="9"/>
    </row>
    <row r="377" spans="7:8" x14ac:dyDescent="0.3">
      <c r="G377" s="9"/>
      <c r="H377" s="9"/>
    </row>
    <row r="378" spans="7:8" x14ac:dyDescent="0.3">
      <c r="G378" s="9"/>
      <c r="H378" s="9"/>
    </row>
    <row r="379" spans="7:8" x14ac:dyDescent="0.3">
      <c r="G379" s="9"/>
      <c r="H379" s="9"/>
    </row>
    <row r="380" spans="7:8" x14ac:dyDescent="0.3">
      <c r="G380" s="9"/>
      <c r="H380" s="9"/>
    </row>
    <row r="381" spans="7:8" x14ac:dyDescent="0.3">
      <c r="G381" s="9"/>
      <c r="H381" s="9"/>
    </row>
    <row r="382" spans="7:8" x14ac:dyDescent="0.3">
      <c r="G382" s="9"/>
      <c r="H382" s="9"/>
    </row>
    <row r="383" spans="7:8" x14ac:dyDescent="0.3">
      <c r="G383" s="9"/>
      <c r="H383" s="9"/>
    </row>
    <row r="384" spans="7:8" x14ac:dyDescent="0.3">
      <c r="G384" s="9"/>
      <c r="H384" s="9"/>
    </row>
    <row r="385" spans="7:8" x14ac:dyDescent="0.3">
      <c r="G385" s="9"/>
      <c r="H385" s="9"/>
    </row>
    <row r="386" spans="7:8" x14ac:dyDescent="0.3">
      <c r="G386" s="9"/>
      <c r="H386" s="9"/>
    </row>
    <row r="387" spans="7:8" x14ac:dyDescent="0.3">
      <c r="G387" s="9"/>
      <c r="H387" s="9"/>
    </row>
    <row r="388" spans="7:8" x14ac:dyDescent="0.3">
      <c r="G388" s="9"/>
      <c r="H388" s="9"/>
    </row>
    <row r="389" spans="7:8" x14ac:dyDescent="0.3">
      <c r="G389" s="9"/>
      <c r="H389" s="9"/>
    </row>
    <row r="390" spans="7:8" x14ac:dyDescent="0.3">
      <c r="G390" s="9"/>
      <c r="H390" s="9"/>
    </row>
    <row r="391" spans="7:8" x14ac:dyDescent="0.3">
      <c r="G391" s="9"/>
      <c r="H391" s="9"/>
    </row>
    <row r="392" spans="7:8" x14ac:dyDescent="0.3">
      <c r="G392" s="9"/>
      <c r="H392" s="9"/>
    </row>
    <row r="393" spans="7:8" x14ac:dyDescent="0.3">
      <c r="G393" s="9"/>
      <c r="H393" s="9"/>
    </row>
    <row r="394" spans="7:8" x14ac:dyDescent="0.3">
      <c r="G394" s="9"/>
      <c r="H394" s="9"/>
    </row>
    <row r="395" spans="7:8" x14ac:dyDescent="0.3">
      <c r="G395" s="9"/>
      <c r="H395" s="9"/>
    </row>
    <row r="396" spans="7:8" x14ac:dyDescent="0.3">
      <c r="G396" s="9"/>
      <c r="H396" s="9"/>
    </row>
    <row r="397" spans="7:8" x14ac:dyDescent="0.3">
      <c r="G397" s="9"/>
      <c r="H397" s="9"/>
    </row>
    <row r="398" spans="7:8" x14ac:dyDescent="0.3">
      <c r="G398" s="9"/>
      <c r="H398" s="9"/>
    </row>
    <row r="399" spans="7:8" x14ac:dyDescent="0.3">
      <c r="G399" s="9"/>
      <c r="H399" s="9"/>
    </row>
    <row r="400" spans="7:8" x14ac:dyDescent="0.3">
      <c r="G400" s="9"/>
      <c r="H400" s="9"/>
    </row>
    <row r="401" spans="7:8" x14ac:dyDescent="0.3">
      <c r="G401" s="9"/>
      <c r="H401" s="9"/>
    </row>
    <row r="402" spans="7:8" x14ac:dyDescent="0.3">
      <c r="G402" s="9"/>
      <c r="H402" s="9"/>
    </row>
    <row r="403" spans="7:8" x14ac:dyDescent="0.3">
      <c r="G403" s="9"/>
      <c r="H403" s="9"/>
    </row>
    <row r="404" spans="7:8" x14ac:dyDescent="0.3">
      <c r="G404" s="9"/>
      <c r="H404" s="9"/>
    </row>
    <row r="405" spans="7:8" x14ac:dyDescent="0.3">
      <c r="G405" s="9"/>
      <c r="H405" s="9"/>
    </row>
    <row r="406" spans="7:8" x14ac:dyDescent="0.3">
      <c r="G406" s="9"/>
      <c r="H406" s="9"/>
    </row>
    <row r="407" spans="7:8" x14ac:dyDescent="0.3">
      <c r="G407" s="9"/>
      <c r="H407" s="9"/>
    </row>
    <row r="408" spans="7:8" x14ac:dyDescent="0.3">
      <c r="G408" s="9"/>
      <c r="H408" s="9"/>
    </row>
    <row r="409" spans="7:8" x14ac:dyDescent="0.3">
      <c r="G409" s="9"/>
      <c r="H409" s="9"/>
    </row>
  </sheetData>
  <autoFilter ref="A3:N312" xr:uid="{00000000-0001-0000-0700-000000000000}"/>
  <mergeCells count="1">
    <mergeCell ref="A2:N2"/>
  </mergeCells>
  <conditionalFormatting sqref="A4:A2000">
    <cfRule type="expression" dxfId="197" priority="24" stopIfTrue="1">
      <formula>A4=""</formula>
    </cfRule>
    <cfRule type="expression" dxfId="196" priority="26">
      <formula>C4=""</formula>
    </cfRule>
  </conditionalFormatting>
  <conditionalFormatting sqref="B4:H2000">
    <cfRule type="expression" dxfId="195" priority="11" stopIfTrue="1">
      <formula>$A4=""</formula>
    </cfRule>
    <cfRule type="expression" dxfId="194" priority="12">
      <formula>$C4=""</formula>
    </cfRule>
  </conditionalFormatting>
  <conditionalFormatting sqref="I4:I142">
    <cfRule type="expression" dxfId="193" priority="9">
      <formula>EXACT($I4,"Completed")</formula>
    </cfRule>
    <cfRule type="expression" dxfId="192" priority="10">
      <formula>EXACT($I4,"Inprogress")</formula>
    </cfRule>
    <cfRule type="expression" dxfId="191" priority="31">
      <formula>EXACT($I4,"Overdue")</formula>
    </cfRule>
    <cfRule type="expression" dxfId="190" priority="30">
      <formula>EXACT($I4,"Not Started")</formula>
    </cfRule>
  </conditionalFormatting>
  <conditionalFormatting sqref="I4:I2000">
    <cfRule type="expression" dxfId="189" priority="33">
      <formula>$C4=""</formula>
    </cfRule>
    <cfRule type="expression" dxfId="188" priority="32" stopIfTrue="1">
      <formula>$A4=""</formula>
    </cfRule>
  </conditionalFormatting>
  <conditionalFormatting sqref="J4:J2000">
    <cfRule type="expression" dxfId="187" priority="7" stopIfTrue="1">
      <formula>$A4=""</formula>
    </cfRule>
    <cfRule type="expression" dxfId="186" priority="8">
      <formula>$C4=""</formula>
    </cfRule>
  </conditionalFormatting>
  <conditionalFormatting sqref="K4:K243">
    <cfRule type="expression" dxfId="185" priority="5">
      <formula>EXACT($K4,"No")</formula>
    </cfRule>
    <cfRule type="expression" dxfId="184" priority="6">
      <formula>EXACT($K4,"Yes")</formula>
    </cfRule>
    <cfRule type="expression" dxfId="183" priority="34">
      <formula>EXACT($K4,"-")</formula>
    </cfRule>
  </conditionalFormatting>
  <conditionalFormatting sqref="K4:K2000">
    <cfRule type="expression" dxfId="182" priority="36">
      <formula>$C4=""</formula>
    </cfRule>
    <cfRule type="expression" dxfId="181" priority="35" stopIfTrue="1">
      <formula>$A4=""</formula>
    </cfRule>
  </conditionalFormatting>
  <conditionalFormatting sqref="L4:L2000">
    <cfRule type="expression" dxfId="180" priority="3" stopIfTrue="1">
      <formula>$A4=""</formula>
    </cfRule>
    <cfRule type="expression" dxfId="179" priority="4">
      <formula>$C4=""</formula>
    </cfRule>
  </conditionalFormatting>
  <conditionalFormatting sqref="M4:M312">
    <cfRule type="cellIs" dxfId="178" priority="27" operator="equal">
      <formula>"Green"</formula>
    </cfRule>
    <cfRule type="cellIs" dxfId="177" priority="28" operator="equal">
      <formula>"Amber"</formula>
    </cfRule>
    <cfRule type="cellIs" dxfId="176" priority="29" operator="equal">
      <formula>"Red"</formula>
    </cfRule>
  </conditionalFormatting>
  <dataValidations count="1">
    <dataValidation type="list" allowBlank="1" sqref="I4:I312" xr:uid="{F6EA8EFA-8631-4BE1-8ACC-5EADEA0D361B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939F-0862-4A6B-AD2F-6BFC3258C47F}">
  <sheetPr codeName="Sheet8">
    <tabColor rgb="FF777777"/>
  </sheetPr>
  <dimension ref="A1:R409"/>
  <sheetViews>
    <sheetView showGridLines="0" zoomScaleNormal="100" workbookViewId="0">
      <pane xSplit="3" ySplit="3" topLeftCell="D278" activePane="bottomRight" state="frozen"/>
      <selection pane="topRight" activeCell="D1" sqref="D1"/>
      <selection pane="bottomLeft" activeCell="A4" sqref="A4"/>
      <selection pane="bottomRight" activeCell="M1" sqref="M1:M1048576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5.109375" bestFit="1" customWidth="1"/>
    <col min="8" max="8" width="16.77734375" customWidth="1"/>
    <col min="9" max="9" width="12" customWidth="1"/>
    <col min="10" max="11" width="8" customWidth="1"/>
    <col min="12" max="12" width="7" customWidth="1"/>
    <col min="13" max="13" width="7" hidden="1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464</v>
      </c>
      <c r="B1" s="10"/>
      <c r="C1" s="10"/>
      <c r="D1" s="10"/>
      <c r="E1" s="10"/>
      <c r="F1" s="10"/>
      <c r="G1" s="11">
        <f>+MAX(G4:G2000)</f>
        <v>46652</v>
      </c>
      <c r="H1" s="11">
        <f>+MAX(H4:H2000)</f>
        <v>46672</v>
      </c>
      <c r="I1" s="12">
        <f t="shared" ref="I1" si="0">IF(OR($G1="",$H1=""),"",$H1-$G1)</f>
        <v>20</v>
      </c>
      <c r="J1" s="10"/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520</v>
      </c>
      <c r="B4" s="2" t="s">
        <v>49</v>
      </c>
      <c r="C4" s="3"/>
      <c r="D4" s="3"/>
      <c r="E4" s="2"/>
      <c r="F4" s="2"/>
      <c r="G4" s="5"/>
      <c r="H4" s="5">
        <v>46278</v>
      </c>
      <c r="I4" s="2"/>
      <c r="J4" s="6" t="str">
        <f t="shared" ref="J4:J67" si="1">IF(OR($G4="",$H4=""),"",$H4-$G4)</f>
        <v/>
      </c>
      <c r="K4" s="4" t="str">
        <f t="shared" ref="K4:K67" ca="1" si="2">IF(C4="","",IF(H4="","",IF($I4="completed","-",IF($H4&gt;TODAY(),"No","Yes"))))</f>
        <v/>
      </c>
      <c r="L4" s="7">
        <f>IF(I4="Completed","0",IF($H4="","",$H4-'[2]Read Me'!$B$4))</f>
        <v>91</v>
      </c>
      <c r="M4" s="4" t="str">
        <f>IF($I4="Complete","Green",IF($H4="","Amber",IF($H4&lt;'[2]Read Me'!$B$4,"Red",IF($H4-'[2]Read Me'!$B$4&lt;=21,"Amber","Green"))))</f>
        <v>Green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520</v>
      </c>
      <c r="B5" s="2" t="s">
        <v>49</v>
      </c>
      <c r="C5" s="3" t="s">
        <v>521</v>
      </c>
      <c r="D5" s="3" t="s">
        <v>522</v>
      </c>
      <c r="E5" s="2" t="s">
        <v>104</v>
      </c>
      <c r="F5" s="2"/>
      <c r="G5" s="5"/>
      <c r="H5" s="5">
        <v>46106</v>
      </c>
      <c r="I5" s="2" t="s">
        <v>31</v>
      </c>
      <c r="J5" s="6" t="str">
        <f t="shared" si="1"/>
        <v/>
      </c>
      <c r="K5" s="4" t="str">
        <f t="shared" ca="1" si="2"/>
        <v>-</v>
      </c>
      <c r="L5" s="7" t="str">
        <f>IF(I5="Completed","0",IF($H5="","",$H5-'[2]Read Me'!$B$4))</f>
        <v>0</v>
      </c>
      <c r="M5" s="4" t="str">
        <f>IF($I5="Complete","Green",IF($H5="","Amber",IF($H5&lt;'[2]Read Me'!$B$4,"Red",IF($H5-'[2]Read Me'!$B$4&lt;=21,"Amber","Green"))))</f>
        <v>Red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520</v>
      </c>
      <c r="B6" s="2" t="s">
        <v>49</v>
      </c>
      <c r="C6" s="3" t="s">
        <v>521</v>
      </c>
      <c r="D6" s="3" t="s">
        <v>523</v>
      </c>
      <c r="E6" s="2" t="s">
        <v>104</v>
      </c>
      <c r="F6" s="2"/>
      <c r="G6" s="5"/>
      <c r="H6" s="5">
        <v>46278</v>
      </c>
      <c r="I6" s="2" t="s">
        <v>46</v>
      </c>
      <c r="J6" s="6" t="str">
        <f t="shared" si="1"/>
        <v/>
      </c>
      <c r="K6" s="4" t="str">
        <f t="shared" ca="1" si="2"/>
        <v>No</v>
      </c>
      <c r="L6" s="7">
        <f>IF(I6="Completed","0",IF($H6="","",$H6-'[2]Read Me'!$B$4))</f>
        <v>91</v>
      </c>
      <c r="M6" s="4" t="str">
        <f>IF($I6="Complete","Green",IF($H6="","Amber",IF($H6&lt;'[2]Read Me'!$B$4,"Red",IF($H6-'[2]Read Me'!$B$4&lt;=21,"Amber","Green"))))</f>
        <v>Green</v>
      </c>
      <c r="N6" s="3"/>
      <c r="O6" t="str">
        <f>IF($I6&lt;&gt;"Complete",IF(COUNTIFS($A$4:$A5,$A6,$B$4:$B5,$B6,$I$4:$I5,"&lt;&gt;Complete")=0,$A6&amp;"|"&amp;$B6,""),"")</f>
        <v/>
      </c>
      <c r="P6" t="str">
        <f ca="1">IF($K6="Yes",COUNTIFS($K$4:$K6,"Yes"),"")</f>
        <v/>
      </c>
      <c r="Q6">
        <f t="shared" ca="1" si="3"/>
        <v>0</v>
      </c>
      <c r="R6" t="str">
        <f ca="1">IF($Q6=1,SUM($Q$4:$Q6),"")</f>
        <v/>
      </c>
    </row>
    <row r="7" spans="1:18" ht="33.75" customHeight="1" x14ac:dyDescent="0.3">
      <c r="A7" s="2" t="s">
        <v>520</v>
      </c>
      <c r="B7" s="2" t="s">
        <v>49</v>
      </c>
      <c r="C7" s="3" t="s">
        <v>521</v>
      </c>
      <c r="D7" s="3" t="s">
        <v>524</v>
      </c>
      <c r="E7" s="2" t="s">
        <v>104</v>
      </c>
      <c r="F7" s="2"/>
      <c r="G7" s="5"/>
      <c r="H7" s="5"/>
      <c r="I7" s="2" t="s">
        <v>31</v>
      </c>
      <c r="J7" s="6" t="str">
        <f t="shared" si="1"/>
        <v/>
      </c>
      <c r="K7" s="4" t="str">
        <f t="shared" ca="1" si="2"/>
        <v/>
      </c>
      <c r="L7" s="7" t="str">
        <f>IF(I7="Completed","0",IF($H7="","",$H7-'[2]Read Me'!$B$4))</f>
        <v>0</v>
      </c>
      <c r="M7" s="4" t="str">
        <f>IF($I7="Complete","Green",IF($H7="","Amber",IF($H7&lt;'[2]Read Me'!$B$4,"Red",IF($H7-'[2]Read Me'!$B$4&lt;=21,"Amber","Green"))))</f>
        <v>Amber</v>
      </c>
      <c r="N7" s="3"/>
      <c r="O7" t="str">
        <f>IF($I7&lt;&gt;"Complete",IF(COUNTIFS($A$4:$A6,$A7,$B$4:$B6,$B7,$I$4:$I6,"&lt;&gt;Complete")=0,$A7&amp;"|"&amp;$B7,""),"")</f>
        <v/>
      </c>
      <c r="P7" t="str">
        <f ca="1">IF($K7="Yes",COUNTIFS($K$4:$K7,"Yes"),"")</f>
        <v/>
      </c>
      <c r="Q7">
        <f t="shared" ca="1" si="3"/>
        <v>0</v>
      </c>
      <c r="R7" t="str">
        <f ca="1">IF($Q7=1,SUM($Q$4:$Q7),"")</f>
        <v/>
      </c>
    </row>
    <row r="8" spans="1:18" ht="33.75" customHeight="1" x14ac:dyDescent="0.3">
      <c r="A8" s="2" t="s">
        <v>464</v>
      </c>
      <c r="B8" s="2" t="s">
        <v>21</v>
      </c>
      <c r="C8" s="3"/>
      <c r="D8" s="3"/>
      <c r="E8" s="2"/>
      <c r="F8" s="2"/>
      <c r="G8" s="5">
        <v>46001</v>
      </c>
      <c r="H8" s="5">
        <v>46199</v>
      </c>
      <c r="I8" s="2"/>
      <c r="J8" s="6">
        <f t="shared" si="1"/>
        <v>198</v>
      </c>
      <c r="K8" s="4" t="str">
        <f t="shared" ca="1" si="2"/>
        <v/>
      </c>
      <c r="L8" s="7">
        <f>IF(I8="Completed","0",IF($H8="","",$H8-'[2]Read Me'!$B$4))</f>
        <v>12</v>
      </c>
      <c r="M8" s="4" t="str">
        <f>IF($I8="Complete","Green",IF($H8="","Amber",IF($H8&lt;'[2]Read Me'!$B$4,"Red",IF($H8-'[2]Read Me'!$B$4&lt;=21,"Amber","Green"))))</f>
        <v>Amber</v>
      </c>
      <c r="N8" s="3"/>
      <c r="O8" t="str">
        <f>IF($I8&lt;&gt;"Complete",IF(COUNTIFS($A$4:$A7,$A8,$B$4:$B7,$B8,$I$4:$I7,"&lt;&gt;Complete")=0,$A8&amp;"|"&amp;$B8,""),"")</f>
        <v>DRJ|Landscape</v>
      </c>
      <c r="P8" t="str">
        <f ca="1">IF($K8="Yes",COUNTIFS($K$4:$K8,"Yes"),"")</f>
        <v/>
      </c>
      <c r="Q8">
        <f t="shared" ca="1" si="3"/>
        <v>0</v>
      </c>
      <c r="R8" t="str">
        <f ca="1">IF($Q8=1,SUM($Q$4:$Q8),"")</f>
        <v/>
      </c>
    </row>
    <row r="9" spans="1:18" ht="33.75" customHeight="1" x14ac:dyDescent="0.3">
      <c r="A9" s="2" t="s">
        <v>464</v>
      </c>
      <c r="B9" s="2" t="s">
        <v>21</v>
      </c>
      <c r="C9" s="3" t="s">
        <v>525</v>
      </c>
      <c r="D9" s="3" t="s">
        <v>526</v>
      </c>
      <c r="E9" s="2" t="s">
        <v>215</v>
      </c>
      <c r="F9" s="2" t="s">
        <v>527</v>
      </c>
      <c r="G9" s="5">
        <v>45837</v>
      </c>
      <c r="H9" s="5">
        <v>45837</v>
      </c>
      <c r="I9" s="2" t="s">
        <v>31</v>
      </c>
      <c r="J9" s="6">
        <f t="shared" si="1"/>
        <v>0</v>
      </c>
      <c r="K9" s="4" t="str">
        <f t="shared" ca="1" si="2"/>
        <v>-</v>
      </c>
      <c r="L9" s="7" t="str">
        <f>IF(I9="Completed","0",IF($H9="","",$H9-'[2]Read Me'!$B$4))</f>
        <v>0</v>
      </c>
      <c r="M9" s="4" t="str">
        <f>IF($I9="Complete","Green",IF($H9="","Amber",IF($H9&lt;'[2]Read Me'!$B$4,"Red",IF($H9-'[2]Read Me'!$B$4&lt;=21,"Amber","Green"))))</f>
        <v>Red</v>
      </c>
      <c r="N9" s="3"/>
      <c r="O9" t="str">
        <f>IF($I9&lt;&gt;"Complete",IF(COUNTIFS($A$4:$A8,$A9,$B$4:$B8,$B9,$I$4:$I8,"&lt;&gt;Complete")=0,$A9&amp;"|"&amp;$B9,""),"")</f>
        <v/>
      </c>
      <c r="P9" t="str">
        <f ca="1">IF($K9="Yes",COUNTIFS($K$4:$K9,"Yes"),"")</f>
        <v/>
      </c>
      <c r="Q9">
        <f t="shared" ca="1" si="3"/>
        <v>0</v>
      </c>
      <c r="R9" t="str">
        <f ca="1">IF($Q9=1,SUM($Q$4:$Q9),"")</f>
        <v/>
      </c>
    </row>
    <row r="10" spans="1:18" ht="33.75" customHeight="1" x14ac:dyDescent="0.3">
      <c r="A10" s="2" t="s">
        <v>464</v>
      </c>
      <c r="B10" s="2" t="s">
        <v>21</v>
      </c>
      <c r="C10" s="3" t="s">
        <v>525</v>
      </c>
      <c r="D10" s="3" t="s">
        <v>58</v>
      </c>
      <c r="E10" s="2" t="s">
        <v>215</v>
      </c>
      <c r="F10" s="2" t="s">
        <v>527</v>
      </c>
      <c r="G10" s="5">
        <v>45851</v>
      </c>
      <c r="H10" s="5">
        <v>45851</v>
      </c>
      <c r="I10" s="2" t="s">
        <v>31</v>
      </c>
      <c r="J10" s="6">
        <f t="shared" si="1"/>
        <v>0</v>
      </c>
      <c r="K10" s="4" t="str">
        <f t="shared" ca="1" si="2"/>
        <v>-</v>
      </c>
      <c r="L10" s="7" t="str">
        <f>IF(I10="Completed","0",IF($H10="","",$H10-'[2]Read Me'!$B$4))</f>
        <v>0</v>
      </c>
      <c r="M10" s="4" t="str">
        <f>IF($I10="Complete","Green",IF($H10="","Amber",IF($H10&lt;'[2]Read Me'!$B$4,"Red",IF($H10-'[2]Read Me'!$B$4&lt;=21,"Amber","Green"))))</f>
        <v>Red</v>
      </c>
      <c r="N10" s="3"/>
      <c r="O10" t="str">
        <f>IF($I10&lt;&gt;"Complete",IF(COUNTIFS($A$4:$A9,$A10,$B$4:$B9,$B10,$I$4:$I9,"&lt;&gt;Complete")=0,$A10&amp;"|"&amp;$B10,""),"")</f>
        <v/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464</v>
      </c>
      <c r="B11" s="2" t="s">
        <v>21</v>
      </c>
      <c r="C11" s="3" t="s">
        <v>525</v>
      </c>
      <c r="D11" s="3" t="s">
        <v>528</v>
      </c>
      <c r="E11" s="2" t="s">
        <v>215</v>
      </c>
      <c r="F11" s="2" t="s">
        <v>527</v>
      </c>
      <c r="G11" s="5">
        <v>45879</v>
      </c>
      <c r="H11" s="5">
        <v>45879</v>
      </c>
      <c r="I11" s="2" t="s">
        <v>31</v>
      </c>
      <c r="J11" s="6">
        <f t="shared" si="1"/>
        <v>0</v>
      </c>
      <c r="K11" s="4" t="str">
        <f t="shared" ca="1" si="2"/>
        <v>-</v>
      </c>
      <c r="L11" s="7" t="str">
        <f>IF(I11="Completed","0",IF($H11="","",$H11-'[2]Read Me'!$B$4))</f>
        <v>0</v>
      </c>
      <c r="M11" s="4" t="str">
        <f>IF($I11="Complete","Green",IF($H11="","Amber",IF($H11&lt;'[2]Read Me'!$B$4,"Red",IF($H11-'[2]Read Me'!$B$4&lt;=21,"Amber","Green"))))</f>
        <v>Red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464</v>
      </c>
      <c r="B12" s="2" t="s">
        <v>21</v>
      </c>
      <c r="C12" s="3" t="s">
        <v>525</v>
      </c>
      <c r="D12" s="3" t="s">
        <v>58</v>
      </c>
      <c r="E12" s="2" t="s">
        <v>215</v>
      </c>
      <c r="F12" s="2" t="s">
        <v>527</v>
      </c>
      <c r="G12" s="5">
        <v>45893</v>
      </c>
      <c r="H12" s="5">
        <v>45893</v>
      </c>
      <c r="I12" s="2" t="s">
        <v>31</v>
      </c>
      <c r="J12" s="6">
        <f t="shared" si="1"/>
        <v>0</v>
      </c>
      <c r="K12" s="4" t="str">
        <f t="shared" ca="1" si="2"/>
        <v>-</v>
      </c>
      <c r="L12" s="7" t="str">
        <f>IF(I12="Completed","0",IF($H12="","",$H12-'[2]Read Me'!$B$4))</f>
        <v>0</v>
      </c>
      <c r="M12" s="4" t="str">
        <f>IF($I12="Complete","Green",IF($H12="","Amber",IF($H12&lt;'[2]Read Me'!$B$4,"Red",IF($H12-'[2]Read Me'!$B$4&lt;=21,"Amber","Green"))))</f>
        <v>Red</v>
      </c>
      <c r="N12" s="3"/>
      <c r="O12" t="str">
        <f>IF($I12&lt;&gt;"Complete",IF(COUNTIFS($A$4:$A11,$A12,$B$4:$B11,$B12,$I$4:$I11,"&lt;&gt;Complete")=0,$A12&amp;"|"&amp;$B12,""),"")</f>
        <v/>
      </c>
      <c r="P12" t="str">
        <f ca="1">IF($K12="Yes",COUNTIFS($K$4:$K12,"Yes"),"")</f>
        <v/>
      </c>
      <c r="Q12">
        <f t="shared" ca="1" si="3"/>
        <v>0</v>
      </c>
      <c r="R12" t="str">
        <f ca="1">IF($Q12=1,SUM($Q$4:$Q12),"")</f>
        <v/>
      </c>
    </row>
    <row r="13" spans="1:18" ht="33.75" customHeight="1" x14ac:dyDescent="0.3">
      <c r="A13" s="2" t="s">
        <v>464</v>
      </c>
      <c r="B13" s="2" t="s">
        <v>21</v>
      </c>
      <c r="C13" s="3" t="s">
        <v>525</v>
      </c>
      <c r="D13" s="3" t="s">
        <v>529</v>
      </c>
      <c r="E13" s="2" t="s">
        <v>215</v>
      </c>
      <c r="F13" s="2" t="s">
        <v>527</v>
      </c>
      <c r="G13" s="5"/>
      <c r="H13" s="5">
        <v>46066</v>
      </c>
      <c r="I13" s="2" t="s">
        <v>31</v>
      </c>
      <c r="J13" s="6" t="str">
        <f t="shared" si="1"/>
        <v/>
      </c>
      <c r="K13" s="4" t="str">
        <f t="shared" ca="1" si="2"/>
        <v>-</v>
      </c>
      <c r="L13" s="7" t="str">
        <f>IF(I13="Completed","0",IF($H13="","",$H13-'[2]Read Me'!$B$4))</f>
        <v>0</v>
      </c>
      <c r="M13" s="4" t="str">
        <f>IF($I13="Complete","Green",IF($H13="","Amber",IF($H13&lt;'[2]Read Me'!$B$4,"Red",IF($H13-'[2]Read Me'!$B$4&lt;=21,"Amber","Green"))))</f>
        <v>Red</v>
      </c>
      <c r="N13" s="3"/>
      <c r="O13" t="str">
        <f>IF($I13&lt;&gt;"Complete",IF(COUNTIFS($A$4:$A12,$A13,$B$4:$B12,$B13,$I$4:$I12,"&lt;&gt;Complete")=0,$A13&amp;"|"&amp;$B13,""),"")</f>
        <v/>
      </c>
      <c r="P13" t="str">
        <f ca="1">IF($K13="Yes",COUNTIFS($K$4:$K13,"Yes"),"")</f>
        <v/>
      </c>
      <c r="Q13">
        <f t="shared" ca="1" si="3"/>
        <v>0</v>
      </c>
      <c r="R13" t="str">
        <f ca="1">IF($Q13=1,SUM($Q$4:$Q13),"")</f>
        <v/>
      </c>
    </row>
    <row r="14" spans="1:18" ht="33.75" customHeight="1" x14ac:dyDescent="0.3">
      <c r="A14" s="2" t="s">
        <v>464</v>
      </c>
      <c r="B14" s="2" t="s">
        <v>21</v>
      </c>
      <c r="C14" s="3" t="s">
        <v>525</v>
      </c>
      <c r="D14" s="3" t="s">
        <v>530</v>
      </c>
      <c r="E14" s="2" t="s">
        <v>215</v>
      </c>
      <c r="F14" s="2" t="s">
        <v>527</v>
      </c>
      <c r="G14" s="5"/>
      <c r="H14" s="5">
        <v>46090</v>
      </c>
      <c r="I14" s="2" t="s">
        <v>31</v>
      </c>
      <c r="J14" s="6" t="str">
        <f t="shared" si="1"/>
        <v/>
      </c>
      <c r="K14" s="4" t="str">
        <f t="shared" ca="1" si="2"/>
        <v>-</v>
      </c>
      <c r="L14" s="7" t="str">
        <f>IF(I14="Completed","0",IF($H14="","",$H14-'[2]Read Me'!$B$4))</f>
        <v>0</v>
      </c>
      <c r="M14" s="4" t="str">
        <f>IF($I14="Complete","Green",IF($H14="","Amber",IF($H14&lt;'[2]Read Me'!$B$4,"Red",IF($H14-'[2]Read Me'!$B$4&lt;=21,"Amber","Green"))))</f>
        <v>Red</v>
      </c>
      <c r="N14" s="3"/>
      <c r="O14" t="str">
        <f>IF($I14&lt;&gt;"Complete",IF(COUNTIFS($A$4:$A13,$A14,$B$4:$B13,$B14,$I$4:$I13,"&lt;&gt;Complete")=0,$A14&amp;"|"&amp;$B14,""),"")</f>
        <v/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464</v>
      </c>
      <c r="B15" s="2" t="s">
        <v>21</v>
      </c>
      <c r="C15" s="3" t="s">
        <v>525</v>
      </c>
      <c r="D15" s="3" t="s">
        <v>531</v>
      </c>
      <c r="E15" s="2" t="s">
        <v>215</v>
      </c>
      <c r="F15" s="2" t="s">
        <v>527</v>
      </c>
      <c r="G15" s="5">
        <v>45945</v>
      </c>
      <c r="H15" s="5">
        <v>46066</v>
      </c>
      <c r="I15" s="2" t="s">
        <v>31</v>
      </c>
      <c r="J15" s="6">
        <f t="shared" si="1"/>
        <v>121</v>
      </c>
      <c r="K15" s="4" t="str">
        <f t="shared" ca="1" si="2"/>
        <v>-</v>
      </c>
      <c r="L15" s="7" t="str">
        <f>IF(I15="Completed","0",IF($H15="","",$H15-'[2]Read Me'!$B$4))</f>
        <v>0</v>
      </c>
      <c r="M15" s="4" t="str">
        <f>IF($I15="Complete","Green",IF($H15="","Amber",IF($H15&lt;'[2]Read Me'!$B$4,"Red",IF($H15-'[2]Read Me'!$B$4&lt;=21,"Amber","Green"))))</f>
        <v>Red</v>
      </c>
      <c r="N15" s="3"/>
      <c r="O15" t="str">
        <f>IF($I15&lt;&gt;"Complete",IF(COUNTIFS($A$4:$A14,$A15,$B$4:$B14,$B15,$I$4:$I14,"&lt;&gt;Complete")=0,$A15&amp;"|"&amp;$B15,""),"")</f>
        <v/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464</v>
      </c>
      <c r="B16" s="2" t="s">
        <v>21</v>
      </c>
      <c r="C16" s="3" t="s">
        <v>525</v>
      </c>
      <c r="D16" s="3" t="s">
        <v>532</v>
      </c>
      <c r="E16" s="2" t="s">
        <v>215</v>
      </c>
      <c r="F16" s="2" t="s">
        <v>527</v>
      </c>
      <c r="G16" s="5">
        <v>45966</v>
      </c>
      <c r="H16" s="5">
        <v>46090</v>
      </c>
      <c r="I16" s="2" t="s">
        <v>31</v>
      </c>
      <c r="J16" s="6">
        <f t="shared" si="1"/>
        <v>124</v>
      </c>
      <c r="K16" s="4" t="str">
        <f t="shared" ca="1" si="2"/>
        <v>-</v>
      </c>
      <c r="L16" s="7" t="str">
        <f>IF(I16="Completed","0",IF($H16="","",$H16-'[2]Read Me'!$B$4))</f>
        <v>0</v>
      </c>
      <c r="M16" s="4" t="str">
        <f>IF($I16="Complete","Green",IF($H16="","Amber",IF($H16&lt;'[2]Read Me'!$B$4,"Red",IF($H16-'[2]Read Me'!$B$4&lt;=21,"Amber","Green"))))</f>
        <v>Red</v>
      </c>
      <c r="N16" s="3"/>
      <c r="O16" t="str">
        <f>IF($I16&lt;&gt;"Complete",IF(COUNTIFS($A$4:$A15,$A16,$B$4:$B15,$B16,$I$4:$I15,"&lt;&gt;Complete")=0,$A16&amp;"|"&amp;$B16,""),"")</f>
        <v/>
      </c>
      <c r="P16" t="str">
        <f ca="1">IF($K16="Yes",COUNTIFS($K$4:$K16,"Yes"),"")</f>
        <v/>
      </c>
      <c r="Q16">
        <f t="shared" ca="1" si="3"/>
        <v>0</v>
      </c>
      <c r="R16" t="str">
        <f ca="1">IF($Q16=1,SUM($Q$4:$Q16),"")</f>
        <v/>
      </c>
    </row>
    <row r="17" spans="1:18" ht="33.75" customHeight="1" x14ac:dyDescent="0.3">
      <c r="A17" s="2" t="s">
        <v>464</v>
      </c>
      <c r="B17" s="2" t="s">
        <v>21</v>
      </c>
      <c r="C17" s="3" t="s">
        <v>525</v>
      </c>
      <c r="D17" s="3" t="s">
        <v>533</v>
      </c>
      <c r="E17" s="2" t="s">
        <v>215</v>
      </c>
      <c r="F17" s="2" t="s">
        <v>527</v>
      </c>
      <c r="G17" s="5"/>
      <c r="H17" s="5">
        <v>46122</v>
      </c>
      <c r="I17" s="2" t="s">
        <v>31</v>
      </c>
      <c r="J17" s="6" t="str">
        <f t="shared" si="1"/>
        <v/>
      </c>
      <c r="K17" s="4" t="str">
        <f t="shared" ca="1" si="2"/>
        <v>-</v>
      </c>
      <c r="L17" s="7" t="str">
        <f>IF(I17="Completed","0",IF($H17="","",$H17-'[2]Read Me'!$B$4))</f>
        <v>0</v>
      </c>
      <c r="M17" s="4" t="str">
        <f>IF($I17="Complete","Green",IF($H17="","Amber",IF($H17&lt;'[2]Read Me'!$B$4,"Red",IF($H17-'[2]Read Me'!$B$4&lt;=21,"Amber","Green"))))</f>
        <v>Red</v>
      </c>
      <c r="N17" s="3"/>
      <c r="O17" t="str">
        <f>IF($I17&lt;&gt;"Complete",IF(COUNTIFS($A$4:$A16,$A17,$B$4:$B16,$B17,$I$4:$I16,"&lt;&gt;Complete")=0,$A17&amp;"|"&amp;$B17,""),"")</f>
        <v/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464</v>
      </c>
      <c r="B18" s="2" t="s">
        <v>21</v>
      </c>
      <c r="C18" s="3" t="s">
        <v>525</v>
      </c>
      <c r="D18" s="3" t="s">
        <v>534</v>
      </c>
      <c r="E18" s="2" t="s">
        <v>215</v>
      </c>
      <c r="F18" s="2" t="s">
        <v>527</v>
      </c>
      <c r="G18" s="5"/>
      <c r="H18" s="5">
        <v>46199</v>
      </c>
      <c r="I18" s="2" t="s">
        <v>46</v>
      </c>
      <c r="J18" s="6" t="str">
        <f t="shared" si="1"/>
        <v/>
      </c>
      <c r="K18" s="4" t="str">
        <f t="shared" ca="1" si="2"/>
        <v>Yes</v>
      </c>
      <c r="L18" s="7">
        <f>IF(I18="Completed","0",IF($H18="","",$H18-'[2]Read Me'!$B$4))</f>
        <v>12</v>
      </c>
      <c r="M18" s="4" t="str">
        <f>IF($I18="Complete","Green",IF($H18="","Amber",IF($H18&lt;'[2]Read Me'!$B$4,"Red",IF($H18-'[2]Read Me'!$B$4&lt;=21,"Amber","Green"))))</f>
        <v>Amber</v>
      </c>
      <c r="N18" s="3"/>
      <c r="O18" t="str">
        <f>IF($I18&lt;&gt;"Complete",IF(COUNTIFS($A$4:$A17,$A18,$B$4:$B17,$B18,$I$4:$I17,"&lt;&gt;Complete")=0,$A18&amp;"|"&amp;$B18,""),"")</f>
        <v/>
      </c>
      <c r="P18">
        <f ca="1">IF($K18="Yes",COUNTIFS($K$4:$K18,"Yes"),"")</f>
        <v>1</v>
      </c>
      <c r="Q18">
        <f t="shared" ca="1" si="3"/>
        <v>1</v>
      </c>
      <c r="R18">
        <f ca="1">IF($Q18=1,SUM($Q$4:$Q18),"")</f>
        <v>1</v>
      </c>
    </row>
    <row r="19" spans="1:18" ht="33.75" customHeight="1" x14ac:dyDescent="0.3">
      <c r="A19" s="2" t="s">
        <v>464</v>
      </c>
      <c r="B19" s="2" t="s">
        <v>21</v>
      </c>
      <c r="C19" s="3" t="s">
        <v>525</v>
      </c>
      <c r="D19" s="3" t="s">
        <v>535</v>
      </c>
      <c r="E19" s="2" t="s">
        <v>215</v>
      </c>
      <c r="F19" s="2" t="s">
        <v>527</v>
      </c>
      <c r="G19" s="5">
        <v>45987</v>
      </c>
      <c r="H19" s="5">
        <v>46122</v>
      </c>
      <c r="I19" s="2" t="s">
        <v>31</v>
      </c>
      <c r="J19" s="6">
        <f t="shared" si="1"/>
        <v>135</v>
      </c>
      <c r="K19" s="4" t="str">
        <f t="shared" ca="1" si="2"/>
        <v>-</v>
      </c>
      <c r="L19" s="7" t="str">
        <f>IF(I19="Completed","0",IF($H19="","",$H19-'[2]Read Me'!$B$4))</f>
        <v>0</v>
      </c>
      <c r="M19" s="4" t="str">
        <f>IF($I19="Complete","Green",IF($H19="","Amber",IF($H19&lt;'[2]Read Me'!$B$4,"Red",IF($H19-'[2]Read Me'!$B$4&lt;=21,"Amber","Green"))))</f>
        <v>Red</v>
      </c>
      <c r="N19" s="3"/>
      <c r="O19" t="str">
        <f>IF($I19&lt;&gt;"Complete",IF(COUNTIFS($A$4:$A18,$A19,$B$4:$B18,$B19,$I$4:$I18,"&lt;&gt;Complete")=0,$A19&amp;"|"&amp;$B19,""),"")</f>
        <v/>
      </c>
      <c r="P19" t="str">
        <f ca="1">IF($K19="Yes",COUNTIFS($K$4:$K19,"Yes"),"")</f>
        <v/>
      </c>
      <c r="Q19">
        <f t="shared" ca="1" si="3"/>
        <v>0</v>
      </c>
      <c r="R19" t="str">
        <f ca="1">IF($Q19=1,SUM($Q$4:$Q19),"")</f>
        <v/>
      </c>
    </row>
    <row r="20" spans="1:18" ht="33.75" customHeight="1" x14ac:dyDescent="0.3">
      <c r="A20" s="2" t="s">
        <v>464</v>
      </c>
      <c r="B20" s="2" t="s">
        <v>21</v>
      </c>
      <c r="C20" s="3" t="s">
        <v>525</v>
      </c>
      <c r="D20" s="3" t="s">
        <v>532</v>
      </c>
      <c r="E20" s="2" t="s">
        <v>215</v>
      </c>
      <c r="F20" s="2" t="s">
        <v>527</v>
      </c>
      <c r="G20" s="5">
        <v>46001</v>
      </c>
      <c r="H20" s="5">
        <v>46199</v>
      </c>
      <c r="I20" s="2" t="s">
        <v>46</v>
      </c>
      <c r="J20" s="6">
        <f t="shared" si="1"/>
        <v>198</v>
      </c>
      <c r="K20" s="4" t="str">
        <f t="shared" ca="1" si="2"/>
        <v>Yes</v>
      </c>
      <c r="L20" s="7">
        <f>IF(I20="Completed","0",IF($H20="","",$H20-'[2]Read Me'!$B$4))</f>
        <v>12</v>
      </c>
      <c r="M20" s="4" t="str">
        <f>IF($I20="Complete","Green",IF($H20="","Amber",IF($H20&lt;'[2]Read Me'!$B$4,"Red",IF($H20-'[2]Read Me'!$B$4&lt;=21,"Amber","Green"))))</f>
        <v>Amber</v>
      </c>
      <c r="N20" s="3"/>
      <c r="O20" t="str">
        <f>IF($I20&lt;&gt;"Complete",IF(COUNTIFS($A$4:$A19,$A20,$B$4:$B19,$B20,$I$4:$I19,"&lt;&gt;Complete")=0,$A20&amp;"|"&amp;$B20,""),"")</f>
        <v/>
      </c>
      <c r="P20">
        <f ca="1">IF($K20="Yes",COUNTIFS($K$4:$K20,"Yes"),"")</f>
        <v>2</v>
      </c>
      <c r="Q20">
        <f t="shared" ca="1" si="3"/>
        <v>1</v>
      </c>
      <c r="R20">
        <f ca="1">IF($Q20=1,SUM($Q$4:$Q20),"")</f>
        <v>2</v>
      </c>
    </row>
    <row r="21" spans="1:18" ht="33.75" customHeight="1" x14ac:dyDescent="0.3">
      <c r="A21" s="2" t="s">
        <v>464</v>
      </c>
      <c r="B21" s="2" t="s">
        <v>21</v>
      </c>
      <c r="C21" s="3"/>
      <c r="D21" s="3"/>
      <c r="E21" s="2"/>
      <c r="F21" s="2"/>
      <c r="G21" s="5">
        <v>46148</v>
      </c>
      <c r="H21" s="5">
        <v>46153</v>
      </c>
      <c r="I21" s="2"/>
      <c r="J21" s="6">
        <f t="shared" si="1"/>
        <v>5</v>
      </c>
      <c r="K21" s="4" t="str">
        <f t="shared" ca="1" si="2"/>
        <v/>
      </c>
      <c r="L21" s="7">
        <f>IF(I21="Completed","0",IF($H21="","",$H21-'[2]Read Me'!$B$4))</f>
        <v>-34</v>
      </c>
      <c r="M21" s="4" t="str">
        <f>IF($I21="Complete","Green",IF($H21="","Amber",IF($H21&lt;'[2]Read Me'!$B$4,"Red",IF($H21-'[2]Read Me'!$B$4&lt;=21,"Amber","Green"))))</f>
        <v>Red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464</v>
      </c>
      <c r="B22" s="2" t="s">
        <v>21</v>
      </c>
      <c r="C22" s="3" t="s">
        <v>536</v>
      </c>
      <c r="D22" s="3" t="s">
        <v>78</v>
      </c>
      <c r="E22" s="2" t="s">
        <v>215</v>
      </c>
      <c r="F22" s="2" t="s">
        <v>79</v>
      </c>
      <c r="G22" s="5">
        <v>46057</v>
      </c>
      <c r="H22" s="5">
        <v>46057</v>
      </c>
      <c r="I22" s="2" t="s">
        <v>31</v>
      </c>
      <c r="J22" s="6">
        <f t="shared" si="1"/>
        <v>0</v>
      </c>
      <c r="K22" s="4" t="str">
        <f t="shared" ca="1" si="2"/>
        <v>-</v>
      </c>
      <c r="L22" s="7" t="str">
        <f>IF(I22="Completed","0",IF($H22="","",$H22-'[2]Read Me'!$B$4))</f>
        <v>0</v>
      </c>
      <c r="M22" s="4" t="str">
        <f>IF($I22="Complete","Green",IF($H22="","Amber",IF($H22&lt;'[2]Read Me'!$B$4,"Red",IF($H22-'[2]Read Me'!$B$4&lt;=21,"Amber","Green"))))</f>
        <v>Red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464</v>
      </c>
      <c r="B23" s="2" t="s">
        <v>21</v>
      </c>
      <c r="C23" s="3" t="s">
        <v>536</v>
      </c>
      <c r="D23" s="3" t="s">
        <v>80</v>
      </c>
      <c r="E23" s="2" t="s">
        <v>215</v>
      </c>
      <c r="F23" s="2" t="s">
        <v>79</v>
      </c>
      <c r="G23" s="5">
        <v>46064</v>
      </c>
      <c r="H23" s="5">
        <v>46064</v>
      </c>
      <c r="I23" s="2" t="s">
        <v>31</v>
      </c>
      <c r="J23" s="6">
        <f t="shared" si="1"/>
        <v>0</v>
      </c>
      <c r="K23" s="4" t="str">
        <f t="shared" ca="1" si="2"/>
        <v>-</v>
      </c>
      <c r="L23" s="7" t="str">
        <f>IF(I23="Completed","0",IF($H23="","",$H23-'[2]Read Me'!$B$4))</f>
        <v>0</v>
      </c>
      <c r="M23" s="4" t="str">
        <f>IF($I23="Complete","Green",IF($H23="","Amber",IF($H23&lt;'[2]Read Me'!$B$4,"Red",IF($H23-'[2]Read Me'!$B$4&lt;=21,"Amber","Green"))))</f>
        <v>Red</v>
      </c>
      <c r="N23" s="3"/>
      <c r="O23" t="str">
        <f>IF($I23&lt;&gt;"Complete",IF(COUNTIFS($A$4:$A22,$A23,$B$4:$B22,$B23,$I$4:$I22,"&lt;&gt;Complete")=0,$A23&amp;"|"&amp;$B23,""),"")</f>
        <v/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464</v>
      </c>
      <c r="B24" s="2" t="s">
        <v>21</v>
      </c>
      <c r="C24" s="3" t="s">
        <v>536</v>
      </c>
      <c r="D24" s="3" t="s">
        <v>537</v>
      </c>
      <c r="E24" s="2" t="s">
        <v>215</v>
      </c>
      <c r="F24" s="2" t="s">
        <v>79</v>
      </c>
      <c r="G24" s="5">
        <v>46145</v>
      </c>
      <c r="H24" s="5">
        <v>46148</v>
      </c>
      <c r="I24" s="2" t="s">
        <v>31</v>
      </c>
      <c r="J24" s="6">
        <f t="shared" si="1"/>
        <v>3</v>
      </c>
      <c r="K24" s="4" t="str">
        <f t="shared" ca="1" si="2"/>
        <v>-</v>
      </c>
      <c r="L24" s="7" t="str">
        <f>IF(I24="Completed","0",IF($H24="","",$H24-'[2]Read Me'!$B$4))</f>
        <v>0</v>
      </c>
      <c r="M24" s="4" t="str">
        <f>IF($I24="Complete","Green",IF($H24="","Amber",IF($H24&lt;'[2]Read Me'!$B$4,"Red",IF($H24-'[2]Read Me'!$B$4&lt;=21,"Amber","Green"))))</f>
        <v>Red</v>
      </c>
      <c r="N24" s="3"/>
      <c r="O24" t="str">
        <f>IF($I24&lt;&gt;"Complete",IF(COUNTIFS($A$4:$A23,$A24,$B$4:$B23,$B24,$I$4:$I23,"&lt;&gt;Complete")=0,$A24&amp;"|"&amp;$B24,""),"")</f>
        <v/>
      </c>
      <c r="P24" t="str">
        <f ca="1">IF($K24="Yes",COUNTIFS($K$4:$K24,"Yes"),"")</f>
        <v/>
      </c>
      <c r="Q24">
        <f t="shared" ca="1" si="3"/>
        <v>0</v>
      </c>
      <c r="R24" t="str">
        <f ca="1">IF($Q24=1,SUM($Q$4:$Q24),"")</f>
        <v/>
      </c>
    </row>
    <row r="25" spans="1:18" ht="33.75" customHeight="1" x14ac:dyDescent="0.3">
      <c r="A25" s="2" t="s">
        <v>464</v>
      </c>
      <c r="B25" s="2" t="s">
        <v>21</v>
      </c>
      <c r="C25" s="3" t="s">
        <v>536</v>
      </c>
      <c r="D25" s="3" t="s">
        <v>534</v>
      </c>
      <c r="E25" s="2" t="s">
        <v>215</v>
      </c>
      <c r="F25" s="2" t="s">
        <v>79</v>
      </c>
      <c r="G25" s="5">
        <v>46148</v>
      </c>
      <c r="H25" s="5">
        <v>46153</v>
      </c>
      <c r="I25" s="2" t="s">
        <v>31</v>
      </c>
      <c r="J25" s="6">
        <f t="shared" si="1"/>
        <v>5</v>
      </c>
      <c r="K25" s="4" t="str">
        <f t="shared" ca="1" si="2"/>
        <v>-</v>
      </c>
      <c r="L25" s="7" t="str">
        <f>IF(I25="Completed","0",IF($H25="","",$H25-'[2]Read Me'!$B$4))</f>
        <v>0</v>
      </c>
      <c r="M25" s="4" t="str">
        <f>IF($I25="Complete","Green",IF($H25="","Amber",IF($H25&lt;'[2]Read Me'!$B$4,"Red",IF($H25-'[2]Read Me'!$B$4&lt;=21,"Amber","Green"))))</f>
        <v>Red</v>
      </c>
      <c r="N25" s="3"/>
      <c r="O25" t="str">
        <f>IF($I25&lt;&gt;"Complete",IF(COUNTIFS($A$4:$A24,$A25,$B$4:$B24,$B25,$I$4:$I24,"&lt;&gt;Complete")=0,$A25&amp;"|"&amp;$B25,""),"")</f>
        <v/>
      </c>
      <c r="P25" t="str">
        <f ca="1">IF($K25="Yes",COUNTIFS($K$4:$K25,"Yes"),"")</f>
        <v/>
      </c>
      <c r="Q25">
        <f t="shared" ca="1" si="3"/>
        <v>0</v>
      </c>
      <c r="R25" t="str">
        <f ca="1">IF($Q25=1,SUM($Q$4:$Q25),"")</f>
        <v/>
      </c>
    </row>
    <row r="26" spans="1:18" ht="33.75" customHeight="1" x14ac:dyDescent="0.3">
      <c r="A26" s="2" t="s">
        <v>464</v>
      </c>
      <c r="B26" s="2" t="s">
        <v>21</v>
      </c>
      <c r="C26" s="3" t="s">
        <v>536</v>
      </c>
      <c r="D26" s="3" t="s">
        <v>538</v>
      </c>
      <c r="E26" s="2" t="s">
        <v>215</v>
      </c>
      <c r="F26" s="2" t="s">
        <v>79</v>
      </c>
      <c r="G26" s="5">
        <v>46145</v>
      </c>
      <c r="H26" s="5">
        <v>46148</v>
      </c>
      <c r="I26" s="2" t="s">
        <v>31</v>
      </c>
      <c r="J26" s="6">
        <f t="shared" si="1"/>
        <v>3</v>
      </c>
      <c r="K26" s="4" t="str">
        <f t="shared" ca="1" si="2"/>
        <v>-</v>
      </c>
      <c r="L26" s="7" t="str">
        <f>IF(I26="Completed","0",IF($H26="","",$H26-'[2]Read Me'!$B$4))</f>
        <v>0</v>
      </c>
      <c r="M26" s="4" t="str">
        <f>IF($I26="Complete","Green",IF($H26="","Amber",IF($H26&lt;'[2]Read Me'!$B$4,"Red",IF($H26-'[2]Read Me'!$B$4&lt;=21,"Amber","Green"))))</f>
        <v>Red</v>
      </c>
      <c r="N26" s="3"/>
      <c r="O26" t="str">
        <f>IF($I26&lt;&gt;"Complete",IF(COUNTIFS($A$4:$A25,$A26,$B$4:$B25,$B26,$I$4:$I25,"&lt;&gt;Complete")=0,$A26&amp;"|"&amp;$B26,""),"")</f>
        <v/>
      </c>
      <c r="P26" t="str">
        <f ca="1">IF($K26="Yes",COUNTIFS($K$4:$K26,"Yes"),"")</f>
        <v/>
      </c>
      <c r="Q26">
        <f t="shared" ca="1" si="3"/>
        <v>0</v>
      </c>
      <c r="R26" t="str">
        <f ca="1">IF($Q26=1,SUM($Q$4:$Q26),"")</f>
        <v/>
      </c>
    </row>
    <row r="27" spans="1:18" ht="33.75" customHeight="1" x14ac:dyDescent="0.3">
      <c r="A27" s="2" t="s">
        <v>464</v>
      </c>
      <c r="B27" s="2" t="s">
        <v>21</v>
      </c>
      <c r="C27" s="3" t="s">
        <v>536</v>
      </c>
      <c r="D27" s="3" t="s">
        <v>532</v>
      </c>
      <c r="E27" s="2" t="s">
        <v>215</v>
      </c>
      <c r="F27" s="2" t="s">
        <v>79</v>
      </c>
      <c r="G27" s="5">
        <v>46148</v>
      </c>
      <c r="H27" s="5">
        <v>46153</v>
      </c>
      <c r="I27" s="2" t="s">
        <v>31</v>
      </c>
      <c r="J27" s="6">
        <f t="shared" si="1"/>
        <v>5</v>
      </c>
      <c r="K27" s="4" t="str">
        <f t="shared" ca="1" si="2"/>
        <v>-</v>
      </c>
      <c r="L27" s="7" t="str">
        <f>IF(I27="Completed","0",IF($H27="","",$H27-'[2]Read Me'!$B$4))</f>
        <v>0</v>
      </c>
      <c r="M27" s="4" t="str">
        <f>IF($I27="Complete","Green",IF($H27="","Amber",IF($H27&lt;'[2]Read Me'!$B$4,"Red",IF($H27-'[2]Read Me'!$B$4&lt;=21,"Amber","Green"))))</f>
        <v>Red</v>
      </c>
      <c r="N27" s="3"/>
      <c r="O27" t="str">
        <f>IF($I27&lt;&gt;"Complete",IF(COUNTIFS($A$4:$A26,$A27,$B$4:$B26,$B27,$I$4:$I26,"&lt;&gt;Complete")=0,$A27&amp;"|"&amp;$B27,""),"")</f>
        <v/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464</v>
      </c>
      <c r="B28" s="2" t="s">
        <v>21</v>
      </c>
      <c r="C28" s="3" t="s">
        <v>536</v>
      </c>
      <c r="D28" s="3" t="s">
        <v>539</v>
      </c>
      <c r="E28" s="2" t="s">
        <v>215</v>
      </c>
      <c r="F28" s="2" t="s">
        <v>79</v>
      </c>
      <c r="G28" s="5">
        <v>46145</v>
      </c>
      <c r="H28" s="5">
        <v>46148</v>
      </c>
      <c r="I28" s="2" t="s">
        <v>31</v>
      </c>
      <c r="J28" s="6">
        <f t="shared" si="1"/>
        <v>3</v>
      </c>
      <c r="K28" s="4" t="str">
        <f t="shared" ca="1" si="2"/>
        <v>-</v>
      </c>
      <c r="L28" s="7" t="str">
        <f>IF(I28="Completed","0",IF($H28="","",$H28-'[2]Read Me'!$B$4))</f>
        <v>0</v>
      </c>
      <c r="M28" s="4" t="str">
        <f>IF($I28="Complete","Green",IF($H28="","Amber",IF($H28&lt;'[2]Read Me'!$B$4,"Red",IF($H28-'[2]Read Me'!$B$4&lt;=21,"Amber","Green"))))</f>
        <v>Red</v>
      </c>
      <c r="N28" s="3"/>
      <c r="O28" t="str">
        <f>IF($I28&lt;&gt;"Complete",IF(COUNTIFS($A$4:$A27,$A28,$B$4:$B27,$B28,$I$4:$I27,"&lt;&gt;Complete")=0,$A28&amp;"|"&amp;$B28,""),"")</f>
        <v/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464</v>
      </c>
      <c r="B29" s="2" t="s">
        <v>21</v>
      </c>
      <c r="C29" s="3" t="s">
        <v>536</v>
      </c>
      <c r="D29" s="3" t="s">
        <v>534</v>
      </c>
      <c r="E29" s="2" t="s">
        <v>215</v>
      </c>
      <c r="F29" s="2" t="s">
        <v>79</v>
      </c>
      <c r="G29" s="5">
        <v>46148</v>
      </c>
      <c r="H29" s="5">
        <v>46153</v>
      </c>
      <c r="I29" s="2" t="s">
        <v>31</v>
      </c>
      <c r="J29" s="6">
        <f t="shared" si="1"/>
        <v>5</v>
      </c>
      <c r="K29" s="4" t="str">
        <f t="shared" ca="1" si="2"/>
        <v>-</v>
      </c>
      <c r="L29" s="7" t="str">
        <f>IF(I29="Completed","0",IF($H29="","",$H29-'[2]Read Me'!$B$4))</f>
        <v>0</v>
      </c>
      <c r="M29" s="4" t="str">
        <f>IF($I29="Complete","Green",IF($H29="","Amber",IF($H29&lt;'[2]Read Me'!$B$4,"Red",IF($H29-'[2]Read Me'!$B$4&lt;=21,"Amber","Green"))))</f>
        <v>Red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464</v>
      </c>
      <c r="B30" s="2" t="s">
        <v>21</v>
      </c>
      <c r="C30" s="3" t="s">
        <v>536</v>
      </c>
      <c r="D30" s="3" t="s">
        <v>540</v>
      </c>
      <c r="E30" s="2" t="s">
        <v>215</v>
      </c>
      <c r="F30" s="2" t="s">
        <v>79</v>
      </c>
      <c r="G30" s="5">
        <v>46145</v>
      </c>
      <c r="H30" s="5">
        <v>46148</v>
      </c>
      <c r="I30" s="2" t="s">
        <v>31</v>
      </c>
      <c r="J30" s="6">
        <f t="shared" si="1"/>
        <v>3</v>
      </c>
      <c r="K30" s="4" t="str">
        <f t="shared" ca="1" si="2"/>
        <v>-</v>
      </c>
      <c r="L30" s="7" t="str">
        <f>IF(I30="Completed","0",IF($H30="","",$H30-'[2]Read Me'!$B$4))</f>
        <v>0</v>
      </c>
      <c r="M30" s="4" t="str">
        <f>IF($I30="Complete","Green",IF($H30="","Amber",IF($H30&lt;'[2]Read Me'!$B$4,"Red",IF($H30-'[2]Read Me'!$B$4&lt;=21,"Amber","Green"))))</f>
        <v>Red</v>
      </c>
      <c r="N30" s="3"/>
      <c r="O30" t="str">
        <f>IF($I30&lt;&gt;"Complete",IF(COUNTIFS($A$4:$A29,$A30,$B$4:$B29,$B30,$I$4:$I29,"&lt;&gt;Complete")=0,$A30&amp;"|"&amp;$B30,""),"")</f>
        <v/>
      </c>
      <c r="P30" t="str">
        <f ca="1">IF($K30="Yes",COUNTIFS($K$4:$K30,"Yes"),"")</f>
        <v/>
      </c>
      <c r="Q30">
        <f t="shared" ca="1" si="3"/>
        <v>0</v>
      </c>
      <c r="R30" t="str">
        <f ca="1">IF($Q30=1,SUM($Q$4:$Q30),"")</f>
        <v/>
      </c>
    </row>
    <row r="31" spans="1:18" ht="14.25" customHeight="1" x14ac:dyDescent="0.3">
      <c r="A31" s="2" t="s">
        <v>464</v>
      </c>
      <c r="B31" s="2" t="s">
        <v>21</v>
      </c>
      <c r="C31" s="3" t="s">
        <v>536</v>
      </c>
      <c r="D31" s="3" t="s">
        <v>532</v>
      </c>
      <c r="E31" s="2" t="s">
        <v>215</v>
      </c>
      <c r="F31" s="2" t="s">
        <v>79</v>
      </c>
      <c r="G31" s="5">
        <v>46148</v>
      </c>
      <c r="H31" s="5">
        <v>46153</v>
      </c>
      <c r="I31" s="2" t="s">
        <v>31</v>
      </c>
      <c r="J31" s="6">
        <f t="shared" si="1"/>
        <v>5</v>
      </c>
      <c r="K31" s="4" t="str">
        <f t="shared" ca="1" si="2"/>
        <v>-</v>
      </c>
      <c r="L31" s="7" t="str">
        <f>IF(I31="Completed","0",IF($H31="","",$H31-'[2]Read Me'!$B$4))</f>
        <v>0</v>
      </c>
      <c r="M31" s="4" t="str">
        <f>IF($I31="Complete","Green",IF($H31="","Amber",IF($H31&lt;'[2]Read Me'!$B$4,"Red",IF($H31-'[2]Read Me'!$B$4&lt;=21,"Amber","Green"))))</f>
        <v>Red</v>
      </c>
      <c r="N31" s="3"/>
      <c r="O31" t="str">
        <f>IF($I31&lt;&gt;"Complete",IF(COUNTIFS($A$4:$A30,$A31,$B$4:$B30,$B31,$I$4:$I30,"&lt;&gt;Complete")=0,$A31&amp;"|"&amp;$B31,""),"")</f>
        <v/>
      </c>
      <c r="P31" t="str">
        <f ca="1">IF($K31="Yes",COUNTIFS($K$4:$K31,"Yes"),"")</f>
        <v/>
      </c>
      <c r="Q31">
        <f t="shared" ca="1" si="3"/>
        <v>0</v>
      </c>
      <c r="R31" t="str">
        <f ca="1">IF($Q31=1,SUM($Q$4:$Q31),"")</f>
        <v/>
      </c>
    </row>
    <row r="32" spans="1:18" ht="14.25" customHeight="1" x14ac:dyDescent="0.3">
      <c r="A32" s="2" t="s">
        <v>541</v>
      </c>
      <c r="B32" s="2" t="s">
        <v>21</v>
      </c>
      <c r="C32" s="3"/>
      <c r="D32" s="3"/>
      <c r="E32" s="2"/>
      <c r="F32" s="2"/>
      <c r="G32" s="5">
        <v>46210</v>
      </c>
      <c r="H32" s="5">
        <v>46225</v>
      </c>
      <c r="I32" s="2"/>
      <c r="J32" s="6">
        <f t="shared" si="1"/>
        <v>15</v>
      </c>
      <c r="K32" s="4" t="str">
        <f t="shared" ca="1" si="2"/>
        <v/>
      </c>
      <c r="L32" s="7">
        <f>IF(I32="Completed","0",IF($H32="","",$H32-'[2]Read Me'!$B$4))</f>
        <v>38</v>
      </c>
      <c r="M32" s="4" t="str">
        <f>IF($I32="Complete","Green",IF($H32="","Amber",IF($H32&lt;'[2]Read Me'!$B$4,"Red",IF($H32-'[2]Read Me'!$B$4&lt;=21,"Amber","Green"))))</f>
        <v>Green</v>
      </c>
      <c r="N32" s="3"/>
      <c r="O32" t="str">
        <f>IF($I32&lt;&gt;"Complete",IF(COUNTIFS($A$4:$A31,$A32,$B$4:$B31,$B32,$I$4:$I31,"&lt;&gt;Complete")=0,$A32&amp;"|"&amp;$B32,""),"")</f>
        <v>Centeral Park|Landscape</v>
      </c>
      <c r="P32" t="str">
        <f ca="1">IF($K32="Yes",COUNTIFS($K$4:$K32,"Yes"),"")</f>
        <v/>
      </c>
      <c r="Q32">
        <f t="shared" ca="1" si="3"/>
        <v>0</v>
      </c>
      <c r="R32" t="str">
        <f ca="1">IF($Q32=1,SUM($Q$4:$Q32),"")</f>
        <v/>
      </c>
    </row>
    <row r="33" spans="1:18" ht="14.25" customHeight="1" x14ac:dyDescent="0.3">
      <c r="A33" s="2" t="s">
        <v>541</v>
      </c>
      <c r="B33" s="2" t="s">
        <v>21</v>
      </c>
      <c r="C33" s="3" t="s">
        <v>542</v>
      </c>
      <c r="D33" s="3" t="s">
        <v>127</v>
      </c>
      <c r="E33" s="2" t="s">
        <v>215</v>
      </c>
      <c r="F33" s="2" t="s">
        <v>79</v>
      </c>
      <c r="G33" s="5">
        <v>46187</v>
      </c>
      <c r="H33" s="5">
        <v>46202</v>
      </c>
      <c r="I33" s="2" t="s">
        <v>46</v>
      </c>
      <c r="J33" s="6">
        <f t="shared" si="1"/>
        <v>15</v>
      </c>
      <c r="K33" s="4" t="str">
        <f t="shared" ca="1" si="2"/>
        <v>Yes</v>
      </c>
      <c r="L33" s="7">
        <f>IF(I33="Completed","0",IF($H33="","",$H33-'[2]Read Me'!$B$4))</f>
        <v>15</v>
      </c>
      <c r="M33" s="4" t="str">
        <f>IF($I33="Complete","Green",IF($H33="","Amber",IF($H33&lt;'[2]Read Me'!$B$4,"Red",IF($H33-'[2]Read Me'!$B$4&lt;=21,"Amber","Green"))))</f>
        <v>Amber</v>
      </c>
      <c r="N33" s="3"/>
      <c r="O33" t="str">
        <f>IF($I33&lt;&gt;"Complete",IF(COUNTIFS($A$4:$A32,$A33,$B$4:$B32,$B33,$I$4:$I32,"&lt;&gt;Complete")=0,$A33&amp;"|"&amp;$B33,""),"")</f>
        <v/>
      </c>
      <c r="P33">
        <f ca="1">IF($K33="Yes",COUNTIFS($K$4:$K33,"Yes"),"")</f>
        <v>3</v>
      </c>
      <c r="Q33">
        <f t="shared" ca="1" si="3"/>
        <v>1</v>
      </c>
      <c r="R33">
        <f ca="1">IF($Q33=1,SUM($Q$4:$Q33),"")</f>
        <v>3</v>
      </c>
    </row>
    <row r="34" spans="1:18" ht="14.25" customHeight="1" x14ac:dyDescent="0.3">
      <c r="A34" s="2" t="s">
        <v>541</v>
      </c>
      <c r="B34" s="2" t="s">
        <v>21</v>
      </c>
      <c r="C34" s="3" t="s">
        <v>542</v>
      </c>
      <c r="D34" s="3" t="s">
        <v>35</v>
      </c>
      <c r="E34" s="2" t="s">
        <v>215</v>
      </c>
      <c r="F34" s="2"/>
      <c r="G34" s="5">
        <v>46189</v>
      </c>
      <c r="H34" s="5">
        <v>46204</v>
      </c>
      <c r="I34" s="2" t="s">
        <v>17</v>
      </c>
      <c r="J34" s="6">
        <f t="shared" si="1"/>
        <v>15</v>
      </c>
      <c r="K34" s="4" t="str">
        <f t="shared" ca="1" si="2"/>
        <v>Yes</v>
      </c>
      <c r="L34" s="7">
        <f>IF(I34="Completed","0",IF($H34="","",$H34-'[2]Read Me'!$B$4))</f>
        <v>17</v>
      </c>
      <c r="M34" s="4" t="str">
        <f>IF($I34="Complete","Green",IF($H34="","Amber",IF($H34&lt;'[2]Read Me'!$B$4,"Red",IF($H34-'[2]Read Me'!$B$4&lt;=21,"Amber","Green"))))</f>
        <v>Amber</v>
      </c>
      <c r="N34" s="3"/>
      <c r="O34" t="str">
        <f>IF($I34&lt;&gt;"Complete",IF(COUNTIFS($A$4:$A33,$A34,$B$4:$B33,$B34,$I$4:$I33,"&lt;&gt;Complete")=0,$A34&amp;"|"&amp;$B34,""),"")</f>
        <v/>
      </c>
      <c r="P34">
        <f ca="1">IF($K34="Yes",COUNTIFS($K$4:$K34,"Yes"),"")</f>
        <v>4</v>
      </c>
      <c r="Q34">
        <f t="shared" ca="1" si="3"/>
        <v>1</v>
      </c>
      <c r="R34">
        <f ca="1">IF($Q34=1,SUM($Q$4:$Q34),"")</f>
        <v>4</v>
      </c>
    </row>
    <row r="35" spans="1:18" ht="14.25" customHeight="1" x14ac:dyDescent="0.3">
      <c r="A35" s="2" t="s">
        <v>541</v>
      </c>
      <c r="B35" s="2" t="s">
        <v>21</v>
      </c>
      <c r="C35" s="3" t="s">
        <v>542</v>
      </c>
      <c r="D35" s="3" t="s">
        <v>20</v>
      </c>
      <c r="E35" s="2" t="s">
        <v>184</v>
      </c>
      <c r="F35" s="2"/>
      <c r="G35" s="5">
        <v>46201</v>
      </c>
      <c r="H35" s="5">
        <v>46216</v>
      </c>
      <c r="I35" s="2" t="s">
        <v>17</v>
      </c>
      <c r="J35" s="6">
        <f t="shared" si="1"/>
        <v>15</v>
      </c>
      <c r="K35" s="4" t="str">
        <f t="shared" ca="1" si="2"/>
        <v>No</v>
      </c>
      <c r="L35" s="7">
        <f>IF(I35="Completed","0",IF($H35="","",$H35-'[2]Read Me'!$B$4))</f>
        <v>29</v>
      </c>
      <c r="M35" s="4" t="str">
        <f>IF($I35="Complete","Green",IF($H35="","Amber",IF($H35&lt;'[2]Read Me'!$B$4,"Red",IF($H35-'[2]Read Me'!$B$4&lt;=21,"Amber","Green"))))</f>
        <v>Green</v>
      </c>
      <c r="N35" s="3"/>
      <c r="O35" t="str">
        <f>IF($I35&lt;&gt;"Complete",IF(COUNTIFS($A$4:$A34,$A35,$B$4:$B34,$B35,$I$4:$I34,"&lt;&gt;Complete")=0,$A35&amp;"|"&amp;$B35,""),"")</f>
        <v/>
      </c>
      <c r="P35" t="str">
        <f ca="1">IF($K35="Yes",COUNTIFS($K$4:$K35,"Yes"),"")</f>
        <v/>
      </c>
      <c r="Q35">
        <f t="shared" ca="1" si="3"/>
        <v>0</v>
      </c>
      <c r="R35" t="str">
        <f ca="1">IF($Q35=1,SUM($Q$4:$Q35),"")</f>
        <v/>
      </c>
    </row>
    <row r="36" spans="1:18" ht="14.25" customHeight="1" x14ac:dyDescent="0.3">
      <c r="A36" s="2" t="s">
        <v>541</v>
      </c>
      <c r="B36" s="2" t="s">
        <v>21</v>
      </c>
      <c r="C36" s="3" t="s">
        <v>542</v>
      </c>
      <c r="D36" s="3" t="s">
        <v>543</v>
      </c>
      <c r="E36" s="2" t="s">
        <v>215</v>
      </c>
      <c r="F36" s="2" t="s">
        <v>79</v>
      </c>
      <c r="G36" s="5">
        <v>46203</v>
      </c>
      <c r="H36" s="5">
        <v>46218</v>
      </c>
      <c r="I36" s="2" t="s">
        <v>17</v>
      </c>
      <c r="J36" s="6">
        <f t="shared" si="1"/>
        <v>15</v>
      </c>
      <c r="K36" s="4" t="str">
        <f t="shared" ca="1" si="2"/>
        <v>No</v>
      </c>
      <c r="L36" s="7">
        <f>IF(I36="Completed","0",IF($H36="","",$H36-'[2]Read Me'!$B$4))</f>
        <v>31</v>
      </c>
      <c r="M36" s="4" t="str">
        <f>IF($I36="Complete","Green",IF($H36="","Amber",IF($H36&lt;'[2]Read Me'!$B$4,"Red",IF($H36-'[2]Read Me'!$B$4&lt;=21,"Amber","Green"))))</f>
        <v>Green</v>
      </c>
      <c r="N36" s="3"/>
      <c r="O36" t="str">
        <f>IF($I36&lt;&gt;"Complete",IF(COUNTIFS($A$4:$A35,$A36,$B$4:$B35,$B36,$I$4:$I35,"&lt;&gt;Complete")=0,$A36&amp;"|"&amp;$B36,""),"")</f>
        <v/>
      </c>
      <c r="P36" t="str">
        <f ca="1">IF($K36="Yes",COUNTIFS($K$4:$K36,"Yes"),"")</f>
        <v/>
      </c>
      <c r="Q36">
        <f t="shared" ca="1" si="3"/>
        <v>0</v>
      </c>
      <c r="R36" t="str">
        <f ca="1">IF($Q36=1,SUM($Q$4:$Q36),"")</f>
        <v/>
      </c>
    </row>
    <row r="37" spans="1:18" ht="14.25" customHeight="1" x14ac:dyDescent="0.3">
      <c r="A37" s="2" t="s">
        <v>544</v>
      </c>
      <c r="B37" s="2" t="s">
        <v>21</v>
      </c>
      <c r="C37" s="3" t="s">
        <v>542</v>
      </c>
      <c r="D37" s="3" t="s">
        <v>37</v>
      </c>
      <c r="E37" s="2" t="s">
        <v>215</v>
      </c>
      <c r="F37" s="2"/>
      <c r="G37" s="5">
        <v>46210</v>
      </c>
      <c r="H37" s="5">
        <v>46225</v>
      </c>
      <c r="I37" s="2" t="s">
        <v>17</v>
      </c>
      <c r="J37" s="6">
        <f t="shared" si="1"/>
        <v>15</v>
      </c>
      <c r="K37" s="4" t="str">
        <f t="shared" ca="1" si="2"/>
        <v>No</v>
      </c>
      <c r="L37" s="7">
        <f>IF(I37="Completed","0",IF($H37="","",$H37-'[2]Read Me'!$B$4))</f>
        <v>38</v>
      </c>
      <c r="M37" s="4" t="str">
        <f>IF($I37="Complete","Green",IF($H37="","Amber",IF($H37&lt;'[2]Read Me'!$B$4,"Red",IF($H37-'[2]Read Me'!$B$4&lt;=21,"Amber","Green"))))</f>
        <v>Green</v>
      </c>
      <c r="N37" s="3"/>
      <c r="O37" t="str">
        <f>IF($I37&lt;&gt;"Complete",IF(COUNTIFS($A$4:$A36,$A37,$B$4:$B36,$B37,$I$4:$I36,"&lt;&gt;Complete")=0,$A37&amp;"|"&amp;$B37,""),"")</f>
        <v>RW - Centeral Park|Landscape</v>
      </c>
      <c r="P37" t="str">
        <f ca="1">IF($K37="Yes",COUNTIFS($K$4:$K37,"Yes"),"")</f>
        <v/>
      </c>
      <c r="Q37">
        <f t="shared" ca="1" si="3"/>
        <v>0</v>
      </c>
      <c r="R37" t="str">
        <f ca="1">IF($Q37=1,SUM($Q$4:$Q37),"")</f>
        <v/>
      </c>
    </row>
    <row r="38" spans="1:18" ht="14.25" customHeight="1" x14ac:dyDescent="0.3">
      <c r="A38" s="2" t="s">
        <v>544</v>
      </c>
      <c r="B38" s="2" t="s">
        <v>21</v>
      </c>
      <c r="C38" s="3"/>
      <c r="D38" s="3"/>
      <c r="E38" s="2"/>
      <c r="F38" s="2"/>
      <c r="G38" s="5">
        <v>46288</v>
      </c>
      <c r="H38" s="5">
        <v>46320</v>
      </c>
      <c r="I38" s="2"/>
      <c r="J38" s="6">
        <f t="shared" si="1"/>
        <v>32</v>
      </c>
      <c r="K38" s="4" t="str">
        <f t="shared" ca="1" si="2"/>
        <v/>
      </c>
      <c r="L38" s="7">
        <f>IF(I38="Completed","0",IF($H38="","",$H38-'[2]Read Me'!$B$4))</f>
        <v>133</v>
      </c>
      <c r="M38" s="4" t="str">
        <f>IF($I38="Complete","Green",IF($H38="","Amber",IF($H38&lt;'[2]Read Me'!$B$4,"Red",IF($H38-'[2]Read Me'!$B$4&lt;=21,"Amber","Green"))))</f>
        <v>Green</v>
      </c>
      <c r="N38" s="3"/>
      <c r="O38" t="str">
        <f>IF($I38&lt;&gt;"Complete",IF(COUNTIFS($A$4:$A37,$A38,$B$4:$B37,$B38,$I$4:$I37,"&lt;&gt;Complete")=0,$A38&amp;"|"&amp;$B38,""),"")</f>
        <v/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544</v>
      </c>
      <c r="B39" s="2" t="s">
        <v>21</v>
      </c>
      <c r="C39" s="3" t="s">
        <v>545</v>
      </c>
      <c r="D39" s="3" t="s">
        <v>546</v>
      </c>
      <c r="E39" s="2" t="s">
        <v>215</v>
      </c>
      <c r="F39" s="2" t="s">
        <v>79</v>
      </c>
      <c r="G39" s="5">
        <v>46162</v>
      </c>
      <c r="H39" s="5">
        <v>46148</v>
      </c>
      <c r="I39" s="2" t="s">
        <v>31</v>
      </c>
      <c r="J39" s="6">
        <f t="shared" si="1"/>
        <v>-14</v>
      </c>
      <c r="K39" s="4" t="str">
        <f t="shared" ca="1" si="2"/>
        <v>-</v>
      </c>
      <c r="L39" s="7" t="str">
        <f>IF(I39="Completed","0",IF($H39="","",$H39-'[2]Read Me'!$B$4))</f>
        <v>0</v>
      </c>
      <c r="M39" s="4" t="str">
        <f>IF($I39="Complete","Green",IF($H39="","Amber",IF($H39&lt;'[2]Read Me'!$B$4,"Red",IF($H39-'[2]Read Me'!$B$4&lt;=21,"Amber","Green"))))</f>
        <v>Red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 t="s">
        <v>544</v>
      </c>
      <c r="B40" s="2" t="s">
        <v>21</v>
      </c>
      <c r="C40" s="3" t="s">
        <v>545</v>
      </c>
      <c r="D40" s="3" t="s">
        <v>32</v>
      </c>
      <c r="E40" s="2" t="s">
        <v>215</v>
      </c>
      <c r="F40" s="2"/>
      <c r="G40" s="5">
        <v>46169</v>
      </c>
      <c r="H40" s="5">
        <v>46153</v>
      </c>
      <c r="I40" s="2" t="s">
        <v>31</v>
      </c>
      <c r="J40" s="6">
        <f t="shared" si="1"/>
        <v>-16</v>
      </c>
      <c r="K40" s="4" t="str">
        <f t="shared" ca="1" si="2"/>
        <v>-</v>
      </c>
      <c r="L40" s="7" t="str">
        <f>IF(I40="Completed","0",IF($H40="","",$H40-'[2]Read Me'!$B$4))</f>
        <v>0</v>
      </c>
      <c r="M40" s="4" t="str">
        <f>IF($I40="Complete","Green",IF($H40="","Amber",IF($H40&lt;'[2]Read Me'!$B$4,"Red",IF($H40-'[2]Read Me'!$B$4&lt;=21,"Amber","Green"))))</f>
        <v>Red</v>
      </c>
      <c r="N40" s="3"/>
      <c r="O40" t="str">
        <f>IF($I40&lt;&gt;"Complete",IF(COUNTIFS($A$4:$A39,$A40,$B$4:$B39,$B40,$I$4:$I39,"&lt;&gt;Complete")=0,$A40&amp;"|"&amp;$B40,""),"")</f>
        <v/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 t="s">
        <v>544</v>
      </c>
      <c r="B41" s="2" t="s">
        <v>21</v>
      </c>
      <c r="C41" s="3" t="s">
        <v>545</v>
      </c>
      <c r="D41" s="3" t="s">
        <v>126</v>
      </c>
      <c r="E41" s="2" t="s">
        <v>215</v>
      </c>
      <c r="F41" s="2" t="s">
        <v>79</v>
      </c>
      <c r="G41" s="5">
        <v>46197</v>
      </c>
      <c r="H41" s="5">
        <v>46229</v>
      </c>
      <c r="I41" s="2" t="s">
        <v>17</v>
      </c>
      <c r="J41" s="6">
        <f t="shared" si="1"/>
        <v>32</v>
      </c>
      <c r="K41" s="4" t="str">
        <f t="shared" ca="1" si="2"/>
        <v>No</v>
      </c>
      <c r="L41" s="7">
        <f>IF(I41="Completed","0",IF($H41="","",$H41-'[2]Read Me'!$B$4))</f>
        <v>42</v>
      </c>
      <c r="M41" s="4" t="str">
        <f>IF($I41="Complete","Green",IF($H41="","Amber",IF($H41&lt;'[2]Read Me'!$B$4,"Red",IF($H41-'[2]Read Me'!$B$4&lt;=21,"Amber","Green"))))</f>
        <v>Green</v>
      </c>
      <c r="N41" s="3"/>
      <c r="O41" t="str">
        <f>IF($I41&lt;&gt;"Complete",IF(COUNTIFS($A$4:$A40,$A41,$B$4:$B40,$B41,$I$4:$I40,"&lt;&gt;Complete")=0,$A41&amp;"|"&amp;$B41,""),"")</f>
        <v/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 t="s">
        <v>544</v>
      </c>
      <c r="B42" s="2" t="s">
        <v>21</v>
      </c>
      <c r="C42" s="3" t="s">
        <v>545</v>
      </c>
      <c r="D42" s="3" t="s">
        <v>34</v>
      </c>
      <c r="E42" s="2" t="s">
        <v>215</v>
      </c>
      <c r="F42" s="2"/>
      <c r="G42" s="5">
        <v>46211</v>
      </c>
      <c r="H42" s="5">
        <v>46243</v>
      </c>
      <c r="I42" s="2" t="s">
        <v>17</v>
      </c>
      <c r="J42" s="6">
        <f t="shared" si="1"/>
        <v>32</v>
      </c>
      <c r="K42" s="4" t="str">
        <f t="shared" ca="1" si="2"/>
        <v>No</v>
      </c>
      <c r="L42" s="7">
        <f>IF(I42="Completed","0",IF($H42="","",$H42-'[2]Read Me'!$B$4))</f>
        <v>56</v>
      </c>
      <c r="M42" s="4" t="str">
        <f>IF($I42="Complete","Green",IF($H42="","Amber",IF($H42&lt;'[2]Read Me'!$B$4,"Red",IF($H42-'[2]Read Me'!$B$4&lt;=21,"Amber","Green"))))</f>
        <v>Green</v>
      </c>
      <c r="N42" s="3"/>
      <c r="O42" t="str">
        <f>IF($I42&lt;&gt;"Complete",IF(COUNTIFS($A$4:$A41,$A42,$B$4:$B41,$B42,$I$4:$I41,"&lt;&gt;Complete")=0,$A42&amp;"|"&amp;$B42,""),"")</f>
        <v/>
      </c>
      <c r="P42" t="str">
        <f ca="1">IF($K42="Yes",COUNTIFS($K$4:$K42,"Yes"),"")</f>
        <v/>
      </c>
      <c r="Q42">
        <f t="shared" ca="1" si="3"/>
        <v>0</v>
      </c>
      <c r="R42" t="str">
        <f ca="1">IF($Q42=1,SUM($Q$4:$Q42),"")</f>
        <v/>
      </c>
    </row>
    <row r="43" spans="1:18" ht="22.5" customHeight="1" x14ac:dyDescent="0.3">
      <c r="A43" s="2" t="s">
        <v>544</v>
      </c>
      <c r="B43" s="2" t="s">
        <v>21</v>
      </c>
      <c r="C43" s="3" t="s">
        <v>545</v>
      </c>
      <c r="D43" s="3" t="s">
        <v>127</v>
      </c>
      <c r="E43" s="2" t="s">
        <v>215</v>
      </c>
      <c r="F43" s="2" t="s">
        <v>79</v>
      </c>
      <c r="G43" s="5">
        <v>46239</v>
      </c>
      <c r="H43" s="5">
        <v>46271</v>
      </c>
      <c r="I43" s="2" t="s">
        <v>17</v>
      </c>
      <c r="J43" s="6">
        <f t="shared" si="1"/>
        <v>32</v>
      </c>
      <c r="K43" s="4" t="str">
        <f t="shared" ca="1" si="2"/>
        <v>No</v>
      </c>
      <c r="L43" s="7">
        <f>IF(I43="Completed","0",IF($H43="","",$H43-'[2]Read Me'!$B$4))</f>
        <v>84</v>
      </c>
      <c r="M43" s="4" t="str">
        <f>IF($I43="Complete","Green",IF($H43="","Amber",IF($H43&lt;'[2]Read Me'!$B$4,"Red",IF($H43-'[2]Read Me'!$B$4&lt;=21,"Amber","Green"))))</f>
        <v>Green</v>
      </c>
      <c r="N43" s="3"/>
      <c r="O43" t="str">
        <f>IF($I43&lt;&gt;"Complete",IF(COUNTIFS($A$4:$A42,$A43,$B$4:$B42,$B43,$I$4:$I42,"&lt;&gt;Complete")=0,$A43&amp;"|"&amp;$B43,""),"")</f>
        <v/>
      </c>
      <c r="P43" t="str">
        <f ca="1">IF($K43="Yes",COUNTIFS($K$4:$K43,"Yes"),"")</f>
        <v/>
      </c>
      <c r="Q43">
        <f t="shared" ca="1" si="3"/>
        <v>0</v>
      </c>
      <c r="R43" t="str">
        <f ca="1">IF($Q43=1,SUM($Q$4:$Q43),"")</f>
        <v/>
      </c>
    </row>
    <row r="44" spans="1:18" ht="14.25" customHeight="1" x14ac:dyDescent="0.3">
      <c r="A44" s="2" t="s">
        <v>544</v>
      </c>
      <c r="B44" s="2" t="s">
        <v>21</v>
      </c>
      <c r="C44" s="3" t="s">
        <v>545</v>
      </c>
      <c r="D44" s="3" t="s">
        <v>35</v>
      </c>
      <c r="E44" s="2" t="s">
        <v>215</v>
      </c>
      <c r="F44" s="2"/>
      <c r="G44" s="5">
        <v>46253</v>
      </c>
      <c r="H44" s="5">
        <v>46285</v>
      </c>
      <c r="I44" s="4" t="s">
        <v>17</v>
      </c>
      <c r="J44" s="6">
        <f t="shared" si="1"/>
        <v>32</v>
      </c>
      <c r="K44" s="4" t="str">
        <f t="shared" ca="1" si="2"/>
        <v>No</v>
      </c>
      <c r="L44" s="7">
        <f>IF(I44="Completed","0",IF($H44="","",$H44-'[2]Read Me'!$B$4))</f>
        <v>98</v>
      </c>
      <c r="M44" s="4" t="str">
        <f>IF($I44="Complete","Green",IF($H44="","Amber",IF($H44&lt;'[2]Read Me'!$B$4,"Red",IF($H44-'[2]Read Me'!$B$4&lt;=21,"Amber","Green"))))</f>
        <v>Green</v>
      </c>
      <c r="N44" s="3"/>
      <c r="O44" t="str">
        <f>IF($I44&lt;&gt;"Complete",IF(COUNTIFS($A$4:$A43,$A44,$B$4:$B43,$B44,$I$4:$I43,"&lt;&gt;Complete")=0,$A44&amp;"|"&amp;$B44,""),"")</f>
        <v/>
      </c>
      <c r="P44" t="str">
        <f ca="1">IF($K44="Yes",COUNTIFS($K$4:$K44,"Yes"),"")</f>
        <v/>
      </c>
      <c r="Q44">
        <f t="shared" ca="1" si="3"/>
        <v>0</v>
      </c>
      <c r="R44" t="str">
        <f ca="1">IF($Q44=1,SUM($Q$4:$Q44),"")</f>
        <v/>
      </c>
    </row>
    <row r="45" spans="1:18" ht="14.25" customHeight="1" x14ac:dyDescent="0.3">
      <c r="A45" s="2" t="s">
        <v>544</v>
      </c>
      <c r="B45" s="2" t="s">
        <v>21</v>
      </c>
      <c r="C45" s="3" t="s">
        <v>545</v>
      </c>
      <c r="D45" s="3" t="s">
        <v>16</v>
      </c>
      <c r="E45" s="2" t="s">
        <v>215</v>
      </c>
      <c r="F45" s="2" t="s">
        <v>79</v>
      </c>
      <c r="G45" s="5">
        <v>46274</v>
      </c>
      <c r="H45" s="5">
        <v>46306</v>
      </c>
      <c r="I45" s="4" t="s">
        <v>17</v>
      </c>
      <c r="J45" s="6">
        <f t="shared" si="1"/>
        <v>32</v>
      </c>
      <c r="K45" s="4" t="str">
        <f t="shared" ca="1" si="2"/>
        <v>No</v>
      </c>
      <c r="L45" s="7">
        <f>IF(I45="Completed","0",IF($H45="","",$H45-'[2]Read Me'!$B$4))</f>
        <v>119</v>
      </c>
      <c r="M45" s="4" t="str">
        <f>IF($I45="Complete","Green",IF($H45="","Amber",IF($H45&lt;'[2]Read Me'!$B$4,"Red",IF($H45-'[2]Read Me'!$B$4&lt;=21,"Amber","Green"))))</f>
        <v>Green</v>
      </c>
      <c r="N45" s="3"/>
      <c r="O45" t="str">
        <f>IF($I45&lt;&gt;"Complete",IF(COUNTIFS($A$4:$A44,$A45,$B$4:$B44,$B45,$I$4:$I44,"&lt;&gt;Complete")=0,$A45&amp;"|"&amp;$B45,""),"")</f>
        <v/>
      </c>
      <c r="P45" t="str">
        <f ca="1">IF($K45="Yes",COUNTIFS($K$4:$K45,"Yes"),"")</f>
        <v/>
      </c>
      <c r="Q45">
        <f t="shared" ca="1" si="3"/>
        <v>0</v>
      </c>
      <c r="R45" t="str">
        <f ca="1">IF($Q45=1,SUM($Q$4:$Q45),"")</f>
        <v/>
      </c>
    </row>
    <row r="46" spans="1:18" ht="22.5" customHeight="1" x14ac:dyDescent="0.3">
      <c r="A46" s="2" t="s">
        <v>544</v>
      </c>
      <c r="B46" s="2" t="s">
        <v>21</v>
      </c>
      <c r="C46" s="3" t="s">
        <v>545</v>
      </c>
      <c r="D46" s="3" t="s">
        <v>37</v>
      </c>
      <c r="E46" s="2" t="s">
        <v>215</v>
      </c>
      <c r="F46" s="2"/>
      <c r="G46" s="5">
        <v>46288</v>
      </c>
      <c r="H46" s="5">
        <v>46320</v>
      </c>
      <c r="I46" s="4" t="s">
        <v>17</v>
      </c>
      <c r="J46" s="6">
        <f t="shared" si="1"/>
        <v>32</v>
      </c>
      <c r="K46" s="4" t="str">
        <f t="shared" ca="1" si="2"/>
        <v>No</v>
      </c>
      <c r="L46" s="7">
        <f>IF(I46="Completed","0",IF($H46="","",$H46-'[2]Read Me'!$B$4))</f>
        <v>133</v>
      </c>
      <c r="M46" s="4" t="str">
        <f>IF($I46="Complete","Green",IF($H46="","Amber",IF($H46&lt;'[2]Read Me'!$B$4,"Red",IF($H46-'[2]Read Me'!$B$4&lt;=21,"Amber","Green"))))</f>
        <v>Green</v>
      </c>
      <c r="N46" s="3"/>
      <c r="O46" t="str">
        <f>IF($I46&lt;&gt;"Complete",IF(COUNTIFS($A$4:$A45,$A46,$B$4:$B45,$B46,$I$4:$I45,"&lt;&gt;Complete")=0,$A46&amp;"|"&amp;$B46,""),"")</f>
        <v/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 t="s">
        <v>547</v>
      </c>
      <c r="B47" s="2" t="s">
        <v>21</v>
      </c>
      <c r="C47" s="3"/>
      <c r="D47" s="3"/>
      <c r="E47" s="2"/>
      <c r="F47" s="2"/>
      <c r="G47" s="5">
        <v>46439</v>
      </c>
      <c r="H47" s="5">
        <v>46471</v>
      </c>
      <c r="I47" s="4"/>
      <c r="J47" s="6">
        <f t="shared" si="1"/>
        <v>32</v>
      </c>
      <c r="K47" s="4" t="str">
        <f t="shared" ca="1" si="2"/>
        <v/>
      </c>
      <c r="L47" s="7">
        <f>IF(I47="Completed","0",IF($H47="","",$H47-'[2]Read Me'!$B$4))</f>
        <v>284</v>
      </c>
      <c r="M47" s="4" t="str">
        <f>IF($I47="Complete","Green",IF($H47="","Amber",IF($H47&lt;'[2]Read Me'!$B$4,"Red",IF($H47-'[2]Read Me'!$B$4&lt;=21,"Amber","Green"))))</f>
        <v>Green</v>
      </c>
      <c r="N47" s="3"/>
      <c r="O47" t="str">
        <f>IF($I47&lt;&gt;"Complete",IF(COUNTIFS($A$4:$A46,$A47,$B$4:$B46,$B47,$I$4:$I46,"&lt;&gt;Complete")=0,$A47&amp;"|"&amp;$B47,""),"")</f>
        <v>CH - Centeral Park|Landscape</v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 t="s">
        <v>547</v>
      </c>
      <c r="B48" s="2" t="s">
        <v>21</v>
      </c>
      <c r="C48" s="3" t="s">
        <v>548</v>
      </c>
      <c r="D48" s="3" t="s">
        <v>549</v>
      </c>
      <c r="E48" s="2" t="s">
        <v>215</v>
      </c>
      <c r="F48" s="2" t="s">
        <v>79</v>
      </c>
      <c r="G48" s="5">
        <v>46313</v>
      </c>
      <c r="H48" s="5">
        <v>46345</v>
      </c>
      <c r="I48" s="4" t="s">
        <v>17</v>
      </c>
      <c r="J48" s="6">
        <f t="shared" si="1"/>
        <v>32</v>
      </c>
      <c r="K48" s="4" t="str">
        <f t="shared" ca="1" si="2"/>
        <v>No</v>
      </c>
      <c r="L48" s="7">
        <f>IF(I48="Completed","0",IF($H48="","",$H48-'[2]Read Me'!$B$4))</f>
        <v>158</v>
      </c>
      <c r="M48" s="4" t="str">
        <f>IF($I48="Complete","Green",IF($H48="","Amber",IF($H48&lt;'[2]Read Me'!$B$4,"Red",IF($H48-'[2]Read Me'!$B$4&lt;=21,"Amber","Green"))))</f>
        <v>Green</v>
      </c>
      <c r="N48" s="3"/>
      <c r="O48" t="str">
        <f>IF($I48&lt;&gt;"Complete",IF(COUNTIFS($A$4:$A47,$A48,$B$4:$B47,$B48,$I$4:$I47,"&lt;&gt;Complete")=0,$A48&amp;"|"&amp;$B48,""),"")</f>
        <v/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 t="s">
        <v>547</v>
      </c>
      <c r="B49" s="2" t="s">
        <v>21</v>
      </c>
      <c r="C49" s="3" t="s">
        <v>548</v>
      </c>
      <c r="D49" s="3" t="s">
        <v>32</v>
      </c>
      <c r="E49" s="2" t="s">
        <v>215</v>
      </c>
      <c r="F49" s="2"/>
      <c r="G49" s="5">
        <v>46320</v>
      </c>
      <c r="H49" s="5">
        <v>46352</v>
      </c>
      <c r="I49" s="4" t="s">
        <v>17</v>
      </c>
      <c r="J49" s="6">
        <f t="shared" si="1"/>
        <v>32</v>
      </c>
      <c r="K49" s="4" t="str">
        <f t="shared" ca="1" si="2"/>
        <v>No</v>
      </c>
      <c r="L49" s="7">
        <f>IF(I49="Completed","0",IF($H49="","",$H49-'[2]Read Me'!$B$4))</f>
        <v>165</v>
      </c>
      <c r="M49" s="4" t="str">
        <f>IF($I49="Complete","Green",IF($H49="","Amber",IF($H49&lt;'[2]Read Me'!$B$4,"Red",IF($H49-'[2]Read Me'!$B$4&lt;=21,"Amber","Green"))))</f>
        <v>Green</v>
      </c>
      <c r="N49" s="3"/>
      <c r="O49" t="str">
        <f>IF($I49&lt;&gt;"Complete",IF(COUNTIFS($A$4:$A48,$A49,$B$4:$B48,$B49,$I$4:$I48,"&lt;&gt;Complete")=0,$A49&amp;"|"&amp;$B49,""),"")</f>
        <v/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 t="s">
        <v>547</v>
      </c>
      <c r="B50" s="2" t="s">
        <v>21</v>
      </c>
      <c r="C50" s="3" t="s">
        <v>548</v>
      </c>
      <c r="D50" s="3" t="s">
        <v>126</v>
      </c>
      <c r="E50" s="2" t="s">
        <v>215</v>
      </c>
      <c r="F50" s="2" t="s">
        <v>79</v>
      </c>
      <c r="G50" s="5">
        <v>46348</v>
      </c>
      <c r="H50" s="5">
        <v>46380</v>
      </c>
      <c r="I50" s="4" t="s">
        <v>17</v>
      </c>
      <c r="J50" s="6">
        <f t="shared" si="1"/>
        <v>32</v>
      </c>
      <c r="K50" s="4" t="str">
        <f t="shared" ca="1" si="2"/>
        <v>No</v>
      </c>
      <c r="L50" s="7">
        <f>IF(I50="Completed","0",IF($H50="","",$H50-'[2]Read Me'!$B$4))</f>
        <v>193</v>
      </c>
      <c r="M50" s="4" t="str">
        <f>IF($I50="Complete","Green",IF($H50="","Amber",IF($H50&lt;'[2]Read Me'!$B$4,"Red",IF($H50-'[2]Read Me'!$B$4&lt;=21,"Amber","Green"))))</f>
        <v>Green</v>
      </c>
      <c r="N50" s="3"/>
      <c r="O50" t="str">
        <f>IF($I50&lt;&gt;"Complete",IF(COUNTIFS($A$4:$A49,$A50,$B$4:$B49,$B50,$I$4:$I49,"&lt;&gt;Complete")=0,$A50&amp;"|"&amp;$B50,""),"")</f>
        <v/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 t="s">
        <v>547</v>
      </c>
      <c r="B51" s="2" t="s">
        <v>21</v>
      </c>
      <c r="C51" s="3" t="s">
        <v>548</v>
      </c>
      <c r="D51" s="3" t="s">
        <v>34</v>
      </c>
      <c r="E51" s="2" t="s">
        <v>215</v>
      </c>
      <c r="F51" s="2"/>
      <c r="G51" s="5">
        <v>46362</v>
      </c>
      <c r="H51" s="5">
        <v>46394</v>
      </c>
      <c r="I51" s="4" t="s">
        <v>17</v>
      </c>
      <c r="J51" s="6">
        <f t="shared" si="1"/>
        <v>32</v>
      </c>
      <c r="K51" s="4" t="str">
        <f t="shared" ca="1" si="2"/>
        <v>No</v>
      </c>
      <c r="L51" s="7">
        <f>IF(I51="Completed","0",IF($H51="","",$H51-'[2]Read Me'!$B$4))</f>
        <v>207</v>
      </c>
      <c r="M51" s="4" t="str">
        <f>IF($I51="Complete","Green",IF($H51="","Amber",IF($H51&lt;'[2]Read Me'!$B$4,"Red",IF($H51-'[2]Read Me'!$B$4&lt;=21,"Amber","Green"))))</f>
        <v>Green</v>
      </c>
      <c r="N51" s="3"/>
      <c r="O51" t="str">
        <f>IF($I51&lt;&gt;"Complete",IF(COUNTIFS($A$4:$A50,$A51,$B$4:$B50,$B51,$I$4:$I50,"&lt;&gt;Complete")=0,$A51&amp;"|"&amp;$B51,""),"")</f>
        <v/>
      </c>
      <c r="P51" t="str">
        <f ca="1">IF($K51="Yes",COUNTIFS($K$4:$K51,"Yes"),"")</f>
        <v/>
      </c>
      <c r="Q51">
        <f t="shared" ca="1" si="3"/>
        <v>0</v>
      </c>
      <c r="R51" t="str">
        <f ca="1">IF($Q51=1,SUM($Q$4:$Q51),"")</f>
        <v/>
      </c>
    </row>
    <row r="52" spans="1:18" ht="33.75" customHeight="1" x14ac:dyDescent="0.3">
      <c r="A52" s="2" t="s">
        <v>547</v>
      </c>
      <c r="B52" s="2" t="s">
        <v>21</v>
      </c>
      <c r="C52" s="3" t="s">
        <v>548</v>
      </c>
      <c r="D52" s="3" t="s">
        <v>127</v>
      </c>
      <c r="E52" s="2" t="s">
        <v>215</v>
      </c>
      <c r="F52" s="2" t="s">
        <v>79</v>
      </c>
      <c r="G52" s="5">
        <v>46390</v>
      </c>
      <c r="H52" s="5">
        <v>46422</v>
      </c>
      <c r="I52" s="4" t="s">
        <v>17</v>
      </c>
      <c r="J52" s="6">
        <f t="shared" si="1"/>
        <v>32</v>
      </c>
      <c r="K52" s="4" t="str">
        <f t="shared" ca="1" si="2"/>
        <v>No</v>
      </c>
      <c r="L52" s="7">
        <f>IF(I52="Completed","0",IF($H52="","",$H52-'[2]Read Me'!$B$4))</f>
        <v>235</v>
      </c>
      <c r="M52" s="4" t="str">
        <f>IF($I52="Complete","Green",IF($H52="","Amber",IF($H52&lt;'[2]Read Me'!$B$4,"Red",IF($H52-'[2]Read Me'!$B$4&lt;=21,"Amber","Green"))))</f>
        <v>Green</v>
      </c>
      <c r="N52" s="3"/>
      <c r="O52" t="str">
        <f>IF($I52&lt;&gt;"Complete",IF(COUNTIFS($A$4:$A51,$A52,$B$4:$B51,$B52,$I$4:$I51,"&lt;&gt;Complete")=0,$A52&amp;"|"&amp;$B52,""),"")</f>
        <v/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 t="s">
        <v>547</v>
      </c>
      <c r="B53" s="2" t="s">
        <v>21</v>
      </c>
      <c r="C53" s="3" t="s">
        <v>548</v>
      </c>
      <c r="D53" s="3" t="s">
        <v>35</v>
      </c>
      <c r="E53" s="2" t="s">
        <v>215</v>
      </c>
      <c r="F53" s="2"/>
      <c r="G53" s="5">
        <v>46404</v>
      </c>
      <c r="H53" s="5">
        <v>46436</v>
      </c>
      <c r="I53" s="4" t="s">
        <v>17</v>
      </c>
      <c r="J53" s="6">
        <f t="shared" si="1"/>
        <v>32</v>
      </c>
      <c r="K53" s="4" t="str">
        <f t="shared" ca="1" si="2"/>
        <v>No</v>
      </c>
      <c r="L53" s="7">
        <f>IF(I53="Completed","0",IF($H53="","",$H53-'[2]Read Me'!$B$4))</f>
        <v>249</v>
      </c>
      <c r="M53" s="4" t="str">
        <f>IF($I53="Complete","Green",IF($H53="","Amber",IF($H53&lt;'[2]Read Me'!$B$4,"Red",IF($H53-'[2]Read Me'!$B$4&lt;=21,"Amber","Green"))))</f>
        <v>Green</v>
      </c>
      <c r="N53" s="3"/>
      <c r="O53" t="str">
        <f>IF($I53&lt;&gt;"Complete",IF(COUNTIFS($A$4:$A52,$A53,$B$4:$B52,$B53,$I$4:$I52,"&lt;&gt;Complete")=0,$A53&amp;"|"&amp;$B53,""),"")</f>
        <v/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 t="s">
        <v>547</v>
      </c>
      <c r="B54" s="2" t="s">
        <v>21</v>
      </c>
      <c r="C54" s="3" t="s">
        <v>548</v>
      </c>
      <c r="D54" s="3" t="s">
        <v>20</v>
      </c>
      <c r="E54" s="2" t="s">
        <v>215</v>
      </c>
      <c r="F54" s="2"/>
      <c r="G54" s="5">
        <v>46404</v>
      </c>
      <c r="H54" s="5">
        <v>46436</v>
      </c>
      <c r="I54" s="4" t="s">
        <v>17</v>
      </c>
      <c r="J54" s="6">
        <f t="shared" si="1"/>
        <v>32</v>
      </c>
      <c r="K54" s="4" t="str">
        <f t="shared" ca="1" si="2"/>
        <v>No</v>
      </c>
      <c r="L54" s="7">
        <f>IF(I54="Completed","0",IF($H54="","",$H54-'[2]Read Me'!$B$4))</f>
        <v>249</v>
      </c>
      <c r="M54" s="4" t="str">
        <f>IF($I54="Complete","Green",IF($H54="","Amber",IF($H54&lt;'[2]Read Me'!$B$4,"Red",IF($H54-'[2]Read Me'!$B$4&lt;=21,"Amber","Green"))))</f>
        <v>Green</v>
      </c>
      <c r="N54" s="3"/>
      <c r="O54" t="str">
        <f>IF($I54&lt;&gt;"Complete",IF(COUNTIFS($A$4:$A53,$A54,$B$4:$B53,$B54,$I$4:$I53,"&lt;&gt;Complete")=0,$A54&amp;"|"&amp;$B54,""),"")</f>
        <v/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 t="s">
        <v>547</v>
      </c>
      <c r="B55" s="2" t="s">
        <v>21</v>
      </c>
      <c r="C55" s="3" t="s">
        <v>548</v>
      </c>
      <c r="D55" s="3" t="s">
        <v>16</v>
      </c>
      <c r="E55" s="2" t="s">
        <v>215</v>
      </c>
      <c r="F55" s="2" t="s">
        <v>79</v>
      </c>
      <c r="G55" s="5">
        <v>46425</v>
      </c>
      <c r="H55" s="5">
        <v>46457</v>
      </c>
      <c r="I55" s="4" t="s">
        <v>17</v>
      </c>
      <c r="J55" s="6">
        <f t="shared" si="1"/>
        <v>32</v>
      </c>
      <c r="K55" s="4" t="str">
        <f t="shared" ca="1" si="2"/>
        <v>No</v>
      </c>
      <c r="L55" s="7">
        <f>IF(I55="Completed","0",IF($H55="","",$H55-'[2]Read Me'!$B$4))</f>
        <v>270</v>
      </c>
      <c r="M55" s="4" t="str">
        <f>IF($I55="Complete","Green",IF($H55="","Amber",IF($H55&lt;'[2]Read Me'!$B$4,"Red",IF($H55-'[2]Read Me'!$B$4&lt;=21,"Amber","Green"))))</f>
        <v>Green</v>
      </c>
      <c r="N55" s="3"/>
      <c r="O55" t="str">
        <f>IF($I55&lt;&gt;"Complete",IF(COUNTIFS($A$4:$A54,$A55,$B$4:$B54,$B55,$I$4:$I54,"&lt;&gt;Complete")=0,$A55&amp;"|"&amp;$B55,""),"")</f>
        <v/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 t="s">
        <v>547</v>
      </c>
      <c r="B56" s="2" t="s">
        <v>21</v>
      </c>
      <c r="C56" s="3" t="s">
        <v>548</v>
      </c>
      <c r="D56" s="3" t="s">
        <v>37</v>
      </c>
      <c r="E56" s="2" t="s">
        <v>215</v>
      </c>
      <c r="F56" s="2"/>
      <c r="G56" s="5">
        <v>46439</v>
      </c>
      <c r="H56" s="5">
        <v>46471</v>
      </c>
      <c r="I56" s="4" t="s">
        <v>17</v>
      </c>
      <c r="J56" s="6">
        <f t="shared" si="1"/>
        <v>32</v>
      </c>
      <c r="K56" s="4" t="str">
        <f t="shared" ca="1" si="2"/>
        <v>No</v>
      </c>
      <c r="L56" s="7">
        <f>IF(I56="Completed","0",IF($H56="","",$H56-'[2]Read Me'!$B$4))</f>
        <v>284</v>
      </c>
      <c r="M56" s="4" t="str">
        <f>IF($I56="Complete","Green",IF($H56="","Amber",IF($H56&lt;'[2]Read Me'!$B$4,"Red",IF($H56-'[2]Read Me'!$B$4&lt;=21,"Amber","Green"))))</f>
        <v>Green</v>
      </c>
      <c r="N56" s="3"/>
      <c r="O56" t="str">
        <f>IF($I56&lt;&gt;"Complete",IF(COUNTIFS($A$4:$A55,$A56,$B$4:$B55,$B56,$I$4:$I55,"&lt;&gt;Complete")=0,$A56&amp;"|"&amp;$B56,""),"")</f>
        <v/>
      </c>
      <c r="P56" t="str">
        <f ca="1">IF($K56="Yes",COUNTIFS($K$4:$K56,"Yes"),"")</f>
        <v/>
      </c>
      <c r="Q56">
        <f t="shared" ca="1" si="3"/>
        <v>0</v>
      </c>
      <c r="R56" t="str">
        <f ca="1">IF($Q56=1,SUM($Q$4:$Q56),"")</f>
        <v/>
      </c>
    </row>
    <row r="57" spans="1:18" ht="14.25" customHeight="1" x14ac:dyDescent="0.3">
      <c r="A57" s="2" t="s">
        <v>550</v>
      </c>
      <c r="B57" s="2" t="s">
        <v>21</v>
      </c>
      <c r="C57" s="3"/>
      <c r="D57" s="3"/>
      <c r="E57" s="2"/>
      <c r="F57" s="2"/>
      <c r="G57" s="5">
        <v>46315</v>
      </c>
      <c r="H57" s="5">
        <v>46330</v>
      </c>
      <c r="I57" s="4"/>
      <c r="J57" s="6">
        <f t="shared" si="1"/>
        <v>15</v>
      </c>
      <c r="K57" s="4" t="str">
        <f t="shared" ca="1" si="2"/>
        <v/>
      </c>
      <c r="L57" s="7">
        <f>IF(I57="Completed","0",IF($H57="","",$H57-'[2]Read Me'!$B$4))</f>
        <v>143</v>
      </c>
      <c r="M57" s="4" t="str">
        <f>IF($I57="Complete","Green",IF($H57="","Amber",IF($H57&lt;'[2]Read Me'!$B$4,"Red",IF($H57-'[2]Read Me'!$B$4&lt;=21,"Amber","Green"))))</f>
        <v>Green</v>
      </c>
      <c r="N57" s="3"/>
      <c r="O57" t="str">
        <f>IF($I57&lt;&gt;"Complete",IF(COUNTIFS($A$4:$A56,$A57,$B$4:$B56,$B57,$I$4:$I56,"&lt;&gt;Complete")=0,$A57&amp;"|"&amp;$B57,""),"")</f>
        <v>Kiosks - Centeral Park|Landscape</v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 t="s">
        <v>550</v>
      </c>
      <c r="B58" s="2" t="s">
        <v>21</v>
      </c>
      <c r="C58" s="3" t="s">
        <v>551</v>
      </c>
      <c r="D58" s="3" t="s">
        <v>549</v>
      </c>
      <c r="E58" s="2" t="s">
        <v>215</v>
      </c>
      <c r="F58" s="2" t="s">
        <v>79</v>
      </c>
      <c r="G58" s="5">
        <v>46203</v>
      </c>
      <c r="H58" s="5">
        <v>46218</v>
      </c>
      <c r="I58" s="4" t="s">
        <v>17</v>
      </c>
      <c r="J58" s="6">
        <f t="shared" si="1"/>
        <v>15</v>
      </c>
      <c r="K58" s="4" t="str">
        <f t="shared" ca="1" si="2"/>
        <v>No</v>
      </c>
      <c r="L58" s="7">
        <f>IF(I58="Completed","0",IF($H58="","",$H58-'[2]Read Me'!$B$4))</f>
        <v>31</v>
      </c>
      <c r="M58" s="4" t="str">
        <f>IF($I58="Complete","Green",IF($H58="","Amber",IF($H58&lt;'[2]Read Me'!$B$4,"Red",IF($H58-'[2]Read Me'!$B$4&lt;=21,"Amber","Green"))))</f>
        <v>Green</v>
      </c>
      <c r="N58" s="3"/>
      <c r="O58" t="str">
        <f>IF($I58&lt;&gt;"Complete",IF(COUNTIFS($A$4:$A57,$A58,$B$4:$B57,$B58,$I$4:$I57,"&lt;&gt;Complete")=0,$A58&amp;"|"&amp;$B58,""),"")</f>
        <v/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 t="s">
        <v>550</v>
      </c>
      <c r="B59" s="2" t="s">
        <v>21</v>
      </c>
      <c r="C59" s="3" t="s">
        <v>551</v>
      </c>
      <c r="D59" s="3" t="s">
        <v>32</v>
      </c>
      <c r="E59" s="2" t="s">
        <v>215</v>
      </c>
      <c r="F59" s="2"/>
      <c r="G59" s="5">
        <v>46210</v>
      </c>
      <c r="H59" s="5">
        <v>46225</v>
      </c>
      <c r="I59" s="4" t="s">
        <v>17</v>
      </c>
      <c r="J59" s="6">
        <f t="shared" si="1"/>
        <v>15</v>
      </c>
      <c r="K59" s="4" t="str">
        <f t="shared" ca="1" si="2"/>
        <v>No</v>
      </c>
      <c r="L59" s="7">
        <f>IF(I59="Completed","0",IF($H59="","",$H59-'[2]Read Me'!$B$4))</f>
        <v>38</v>
      </c>
      <c r="M59" s="4" t="str">
        <f>IF($I59="Complete","Green",IF($H59="","Amber",IF($H59&lt;'[2]Read Me'!$B$4,"Red",IF($H59-'[2]Read Me'!$B$4&lt;=21,"Amber","Green"))))</f>
        <v>Green</v>
      </c>
      <c r="N59" s="3"/>
      <c r="O59" t="str">
        <f>IF($I59&lt;&gt;"Complete",IF(COUNTIFS($A$4:$A58,$A59,$B$4:$B58,$B59,$I$4:$I58,"&lt;&gt;Complete")=0,$A59&amp;"|"&amp;$B59,""),"")</f>
        <v/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 t="s">
        <v>550</v>
      </c>
      <c r="B60" s="2" t="s">
        <v>21</v>
      </c>
      <c r="C60" s="3" t="s">
        <v>551</v>
      </c>
      <c r="D60" s="3" t="s">
        <v>126</v>
      </c>
      <c r="E60" s="2" t="s">
        <v>215</v>
      </c>
      <c r="F60" s="2" t="s">
        <v>79</v>
      </c>
      <c r="G60" s="5">
        <v>46238</v>
      </c>
      <c r="H60" s="5">
        <v>46253</v>
      </c>
      <c r="I60" s="4" t="s">
        <v>17</v>
      </c>
      <c r="J60" s="6">
        <f t="shared" si="1"/>
        <v>15</v>
      </c>
      <c r="K60" s="4" t="str">
        <f t="shared" ca="1" si="2"/>
        <v>No</v>
      </c>
      <c r="L60" s="7">
        <f>IF(I60="Completed","0",IF($H60="","",$H60-'[2]Read Me'!$B$4))</f>
        <v>66</v>
      </c>
      <c r="M60" s="4" t="str">
        <f>IF($I60="Complete","Green",IF($H60="","Amber",IF($H60&lt;'[2]Read Me'!$B$4,"Red",IF($H60-'[2]Read Me'!$B$4&lt;=21,"Amber","Green"))))</f>
        <v>Green</v>
      </c>
      <c r="N60" s="3"/>
      <c r="O60" t="str">
        <f>IF($I60&lt;&gt;"Complete",IF(COUNTIFS($A$4:$A59,$A60,$B$4:$B59,$B60,$I$4:$I59,"&lt;&gt;Complete")=0,$A60&amp;"|"&amp;$B60,""),"")</f>
        <v/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 t="s">
        <v>550</v>
      </c>
      <c r="B61" s="2" t="s">
        <v>21</v>
      </c>
      <c r="C61" s="3" t="s">
        <v>551</v>
      </c>
      <c r="D61" s="3" t="s">
        <v>34</v>
      </c>
      <c r="E61" s="2" t="s">
        <v>215</v>
      </c>
      <c r="F61" s="2"/>
      <c r="G61" s="5">
        <v>46252</v>
      </c>
      <c r="H61" s="5">
        <v>46267</v>
      </c>
      <c r="I61" s="4" t="s">
        <v>17</v>
      </c>
      <c r="J61" s="6">
        <f t="shared" si="1"/>
        <v>15</v>
      </c>
      <c r="K61" s="4" t="str">
        <f t="shared" ca="1" si="2"/>
        <v>No</v>
      </c>
      <c r="L61" s="7">
        <f>IF(I61="Completed","0",IF($H61="","",$H61-'[2]Read Me'!$B$4))</f>
        <v>80</v>
      </c>
      <c r="M61" s="4" t="str">
        <f>IF($I61="Complete","Green",IF($H61="","Amber",IF($H61&lt;'[2]Read Me'!$B$4,"Red",IF($H61-'[2]Read Me'!$B$4&lt;=21,"Amber","Green"))))</f>
        <v>Green</v>
      </c>
      <c r="N61" s="3"/>
      <c r="O61" t="str">
        <f>IF($I61&lt;&gt;"Complete",IF(COUNTIFS($A$4:$A60,$A61,$B$4:$B60,$B61,$I$4:$I60,"&lt;&gt;Complete")=0,$A61&amp;"|"&amp;$B61,""),"")</f>
        <v/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 t="s">
        <v>550</v>
      </c>
      <c r="B62" s="2" t="s">
        <v>21</v>
      </c>
      <c r="C62" s="3" t="s">
        <v>551</v>
      </c>
      <c r="D62" s="3" t="s">
        <v>127</v>
      </c>
      <c r="E62" s="2" t="s">
        <v>215</v>
      </c>
      <c r="F62" s="2" t="s">
        <v>79</v>
      </c>
      <c r="G62" s="5">
        <v>46266</v>
      </c>
      <c r="H62" s="5">
        <v>46281</v>
      </c>
      <c r="I62" s="4" t="s">
        <v>17</v>
      </c>
      <c r="J62" s="6">
        <f t="shared" si="1"/>
        <v>15</v>
      </c>
      <c r="K62" s="4" t="str">
        <f t="shared" ca="1" si="2"/>
        <v>No</v>
      </c>
      <c r="L62" s="7">
        <f>IF(I62="Completed","0",IF($H62="","",$H62-'[2]Read Me'!$B$4))</f>
        <v>94</v>
      </c>
      <c r="M62" s="4" t="str">
        <f>IF($I62="Complete","Green",IF($H62="","Amber",IF($H62&lt;'[2]Read Me'!$B$4,"Red",IF($H62-'[2]Read Me'!$B$4&lt;=21,"Amber","Green"))))</f>
        <v>Green</v>
      </c>
      <c r="N62" s="3"/>
      <c r="O62" t="str">
        <f>IF($I62&lt;&gt;"Complete",IF(COUNTIFS($A$4:$A61,$A62,$B$4:$B61,$B62,$I$4:$I61,"&lt;&gt;Complete")=0,$A62&amp;"|"&amp;$B62,""),"")</f>
        <v/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 t="s">
        <v>550</v>
      </c>
      <c r="B63" s="2" t="s">
        <v>21</v>
      </c>
      <c r="C63" s="3" t="s">
        <v>551</v>
      </c>
      <c r="D63" s="3" t="s">
        <v>35</v>
      </c>
      <c r="E63" s="2" t="s">
        <v>215</v>
      </c>
      <c r="F63" s="2"/>
      <c r="G63" s="5">
        <v>46280</v>
      </c>
      <c r="H63" s="5">
        <v>46295</v>
      </c>
      <c r="I63" s="4" t="s">
        <v>17</v>
      </c>
      <c r="J63" s="6">
        <f t="shared" si="1"/>
        <v>15</v>
      </c>
      <c r="K63" s="4" t="str">
        <f t="shared" ca="1" si="2"/>
        <v>No</v>
      </c>
      <c r="L63" s="7">
        <f>IF(I63="Completed","0",IF($H63="","",$H63-'[2]Read Me'!$B$4))</f>
        <v>108</v>
      </c>
      <c r="M63" s="4" t="str">
        <f>IF($I63="Complete","Green",IF($H63="","Amber",IF($H63&lt;'[2]Read Me'!$B$4,"Red",IF($H63-'[2]Read Me'!$B$4&lt;=21,"Amber","Green"))))</f>
        <v>Green</v>
      </c>
      <c r="N63" s="3"/>
      <c r="O63" t="str">
        <f>IF($I63&lt;&gt;"Complete",IF(COUNTIFS($A$4:$A62,$A63,$B$4:$B62,$B63,$I$4:$I62,"&lt;&gt;Complete")=0,$A63&amp;"|"&amp;$B63,""),"")</f>
        <v/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 t="s">
        <v>550</v>
      </c>
      <c r="B64" s="2" t="s">
        <v>21</v>
      </c>
      <c r="C64" s="3" t="s">
        <v>551</v>
      </c>
      <c r="D64" s="3" t="s">
        <v>16</v>
      </c>
      <c r="E64" s="2" t="s">
        <v>215</v>
      </c>
      <c r="F64" s="2" t="s">
        <v>79</v>
      </c>
      <c r="G64" s="5">
        <v>46301</v>
      </c>
      <c r="H64" s="5">
        <v>46316</v>
      </c>
      <c r="I64" s="4" t="s">
        <v>17</v>
      </c>
      <c r="J64" s="6">
        <f t="shared" si="1"/>
        <v>15</v>
      </c>
      <c r="K64" s="4" t="str">
        <f t="shared" ca="1" si="2"/>
        <v>No</v>
      </c>
      <c r="L64" s="7">
        <f>IF(I64="Completed","0",IF($H64="","",$H64-'[2]Read Me'!$B$4))</f>
        <v>129</v>
      </c>
      <c r="M64" s="4" t="str">
        <f>IF($I64="Complete","Green",IF($H64="","Amber",IF($H64&lt;'[2]Read Me'!$B$4,"Red",IF($H64-'[2]Read Me'!$B$4&lt;=21,"Amber","Green"))))</f>
        <v>Green</v>
      </c>
      <c r="N64" s="3"/>
      <c r="O64" t="str">
        <f>IF($I64&lt;&gt;"Complete",IF(COUNTIFS($A$4:$A63,$A64,$B$4:$B63,$B64,$I$4:$I63,"&lt;&gt;Complete")=0,$A64&amp;"|"&amp;$B64,""),"")</f>
        <v/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 t="s">
        <v>550</v>
      </c>
      <c r="B65" s="2" t="s">
        <v>21</v>
      </c>
      <c r="C65" s="3" t="s">
        <v>551</v>
      </c>
      <c r="D65" s="3" t="s">
        <v>37</v>
      </c>
      <c r="E65" s="2" t="s">
        <v>215</v>
      </c>
      <c r="F65" s="2"/>
      <c r="G65" s="5">
        <v>46315</v>
      </c>
      <c r="H65" s="5">
        <v>46330</v>
      </c>
      <c r="I65" s="4" t="s">
        <v>17</v>
      </c>
      <c r="J65" s="6">
        <f t="shared" si="1"/>
        <v>15</v>
      </c>
      <c r="K65" s="4" t="str">
        <f t="shared" ca="1" si="2"/>
        <v>No</v>
      </c>
      <c r="L65" s="7">
        <f>IF(I65="Completed","0",IF($H65="","",$H65-'[2]Read Me'!$B$4))</f>
        <v>143</v>
      </c>
      <c r="M65" s="4" t="str">
        <f>IF($I65="Complete","Green",IF($H65="","Amber",IF($H65&lt;'[2]Read Me'!$B$4,"Red",IF($H65-'[2]Read Me'!$B$4&lt;=21,"Amber","Green"))))</f>
        <v>Green</v>
      </c>
      <c r="N65" s="3"/>
      <c r="O65" t="str">
        <f>IF($I65&lt;&gt;"Complete",IF(COUNTIFS($A$4:$A64,$A65,$B$4:$B64,$B65,$I$4:$I64,"&lt;&gt;Complete")=0,$A65&amp;"|"&amp;$B65,""),"")</f>
        <v/>
      </c>
      <c r="P65" t="str">
        <f ca="1">IF($K65="Yes",COUNTIFS($K$4:$K65,"Yes"),"")</f>
        <v/>
      </c>
      <c r="Q65">
        <f t="shared" ca="1" si="3"/>
        <v>0</v>
      </c>
      <c r="R65" t="str">
        <f ca="1">IF($Q65=1,SUM($Q$4:$Q65),"")</f>
        <v/>
      </c>
    </row>
    <row r="66" spans="1:18" ht="22.5" customHeight="1" x14ac:dyDescent="0.3">
      <c r="A66" s="2" t="s">
        <v>552</v>
      </c>
      <c r="B66" s="2" t="s">
        <v>62</v>
      </c>
      <c r="C66" s="3"/>
      <c r="D66" s="3"/>
      <c r="E66" s="2"/>
      <c r="F66" s="2"/>
      <c r="G66" s="5">
        <v>46139</v>
      </c>
      <c r="H66" s="5">
        <v>46292</v>
      </c>
      <c r="I66" s="4"/>
      <c r="J66" s="6">
        <f t="shared" si="1"/>
        <v>153</v>
      </c>
      <c r="K66" s="4" t="str">
        <f t="shared" ca="1" si="2"/>
        <v/>
      </c>
      <c r="L66" s="7">
        <f>IF(I66="Completed","0",IF($H66="","",$H66-'[2]Read Me'!$B$4))</f>
        <v>105</v>
      </c>
      <c r="M66" s="4" t="str">
        <f>IF($I66="Complete","Green",IF($H66="","Amber",IF($H66&lt;'[2]Read Me'!$B$4,"Red",IF($H66-'[2]Read Me'!$B$4&lt;=21,"Amber","Green"))))</f>
        <v>Green</v>
      </c>
      <c r="N66" s="3"/>
      <c r="O66" t="str">
        <f>IF($I66&lt;&gt;"Complete",IF(COUNTIFS($A$4:$A65,$A66,$B$4:$B65,$B66,$I$4:$I65,"&lt;&gt;Complete")=0,$A66&amp;"|"&amp;$B66,""),"")</f>
        <v>Ph - 1A|Buildings</v>
      </c>
      <c r="P66" t="str">
        <f ca="1">IF($K66="Yes",COUNTIFS($K$4:$K66,"Yes"),"")</f>
        <v/>
      </c>
      <c r="Q66">
        <f t="shared" ca="1" si="3"/>
        <v>0</v>
      </c>
      <c r="R66" t="str">
        <f ca="1">IF($Q66=1,SUM($Q$4:$Q66),"")</f>
        <v/>
      </c>
    </row>
    <row r="67" spans="1:18" ht="22.5" customHeight="1" x14ac:dyDescent="0.3">
      <c r="A67" s="2" t="s">
        <v>552</v>
      </c>
      <c r="B67" s="2" t="s">
        <v>62</v>
      </c>
      <c r="C67" s="3" t="s">
        <v>553</v>
      </c>
      <c r="D67" s="3" t="s">
        <v>98</v>
      </c>
      <c r="E67" s="2" t="s">
        <v>554</v>
      </c>
      <c r="F67" s="2" t="s">
        <v>79</v>
      </c>
      <c r="G67" s="5">
        <v>45609</v>
      </c>
      <c r="H67" s="5">
        <v>45609</v>
      </c>
      <c r="I67" s="4" t="s">
        <v>31</v>
      </c>
      <c r="J67" s="6">
        <f t="shared" si="1"/>
        <v>0</v>
      </c>
      <c r="K67" s="4" t="str">
        <f t="shared" ca="1" si="2"/>
        <v>-</v>
      </c>
      <c r="L67" s="7" t="str">
        <f>IF(I67="Completed","0",IF($H67="","",$H67-'[2]Read Me'!$B$4))</f>
        <v>0</v>
      </c>
      <c r="M67" s="4" t="str">
        <f>IF($I67="Complete","Green",IF($H67="","Amber",IF($H67&lt;'[2]Read Me'!$B$4,"Red",IF($H67-'[2]Read Me'!$B$4&lt;=21,"Amber","Green"))))</f>
        <v>Red</v>
      </c>
      <c r="N67" s="3"/>
      <c r="O67" t="str">
        <f>IF($I67&lt;&gt;"Complete",IF(COUNTIFS($A$4:$A66,$A67,$B$4:$B66,$B67,$I$4:$I66,"&lt;&gt;Complete")=0,$A67&amp;"|"&amp;$B67,""),"")</f>
        <v/>
      </c>
      <c r="P67" t="str">
        <f ca="1">IF($K67="Yes",COUNTIFS($K$4:$K67,"Yes"),"")</f>
        <v/>
      </c>
      <c r="Q67">
        <f t="shared" ca="1" si="3"/>
        <v>0</v>
      </c>
      <c r="R67" t="str">
        <f ca="1">IF($Q67=1,SUM($Q$4:$Q67),"")</f>
        <v/>
      </c>
    </row>
    <row r="68" spans="1:18" ht="22.5" customHeight="1" x14ac:dyDescent="0.3">
      <c r="A68" s="2" t="s">
        <v>552</v>
      </c>
      <c r="B68" s="2" t="s">
        <v>62</v>
      </c>
      <c r="C68" s="3" t="s">
        <v>553</v>
      </c>
      <c r="D68" s="3" t="s">
        <v>47</v>
      </c>
      <c r="E68" s="2" t="s">
        <v>554</v>
      </c>
      <c r="F68" s="2"/>
      <c r="G68" s="5">
        <v>45628</v>
      </c>
      <c r="H68" s="5">
        <v>45628</v>
      </c>
      <c r="I68" s="4" t="s">
        <v>31</v>
      </c>
      <c r="J68" s="6">
        <f t="shared" ref="J68:J131" si="4">IF(OR($G68="",$H68=""),"",$H68-$G68)</f>
        <v>0</v>
      </c>
      <c r="K68" s="4" t="str">
        <f t="shared" ref="K68:K131" ca="1" si="5">IF(C68="","",IF(H68="","",IF($I68="completed","-",IF($H68&gt;TODAY(),"No","Yes"))))</f>
        <v>-</v>
      </c>
      <c r="L68" s="7" t="str">
        <f>IF(I68="Completed","0",IF($H68="","",$H68-'[2]Read Me'!$B$4))</f>
        <v>0</v>
      </c>
      <c r="M68" s="4" t="str">
        <f>IF($I68="Complete","Green",IF($H68="","Amber",IF($H68&lt;'[2]Read Me'!$B$4,"Red",IF($H68-'[2]Read Me'!$B$4&lt;=21,"Amber","Green"))))</f>
        <v>Red</v>
      </c>
      <c r="N68" s="3"/>
      <c r="O68" t="str">
        <f>IF($I68&lt;&gt;"Complete",IF(COUNTIFS($A$4:$A67,$A68,$B$4:$B67,$B68,$I$4:$I67,"&lt;&gt;Complete")=0,$A68&amp;"|"&amp;$B68,""),"")</f>
        <v/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 t="s">
        <v>552</v>
      </c>
      <c r="B69" s="2" t="s">
        <v>62</v>
      </c>
      <c r="C69" s="3" t="s">
        <v>553</v>
      </c>
      <c r="D69" s="3" t="s">
        <v>18</v>
      </c>
      <c r="E69" s="2" t="s">
        <v>554</v>
      </c>
      <c r="F69" s="2" t="s">
        <v>79</v>
      </c>
      <c r="G69" s="5">
        <v>45652</v>
      </c>
      <c r="H69" s="5">
        <v>45652</v>
      </c>
      <c r="I69" s="4" t="s">
        <v>31</v>
      </c>
      <c r="J69" s="6">
        <f t="shared" si="4"/>
        <v>0</v>
      </c>
      <c r="K69" s="4" t="str">
        <f t="shared" ca="1" si="5"/>
        <v>-</v>
      </c>
      <c r="L69" s="7" t="str">
        <f>IF(I69="Completed","0",IF($H69="","",$H69-'[2]Read Me'!$B$4))</f>
        <v>0</v>
      </c>
      <c r="M69" s="4" t="str">
        <f>IF($I69="Complete","Green",IF($H69="","Amber",IF($H69&lt;'[2]Read Me'!$B$4,"Red",IF($H69-'[2]Read Me'!$B$4&lt;=21,"Amber","Green"))))</f>
        <v>Red</v>
      </c>
      <c r="N69" s="3"/>
      <c r="O69" t="str">
        <f>IF($I69&lt;&gt;"Complete",IF(COUNTIFS($A$4:$A68,$A69,$B$4:$B68,$B69,$I$4:$I68,"&lt;&gt;Complete")=0,$A69&amp;"|"&amp;$B69,""),"")</f>
        <v/>
      </c>
      <c r="P69" t="str">
        <f ca="1">IF($K69="Yes",COUNTIFS($K$4:$K69,"Yes"),"")</f>
        <v/>
      </c>
      <c r="Q69">
        <f t="shared" ca="1" si="6"/>
        <v>0</v>
      </c>
      <c r="R69" t="str">
        <f ca="1">IF($Q69=1,SUM($Q$4:$Q69),"")</f>
        <v/>
      </c>
    </row>
    <row r="70" spans="1:18" ht="22.5" customHeight="1" x14ac:dyDescent="0.3">
      <c r="A70" s="2" t="s">
        <v>552</v>
      </c>
      <c r="B70" s="2" t="s">
        <v>62</v>
      </c>
      <c r="C70" s="3" t="s">
        <v>553</v>
      </c>
      <c r="D70" s="3" t="s">
        <v>32</v>
      </c>
      <c r="E70" s="2" t="s">
        <v>554</v>
      </c>
      <c r="F70" s="2"/>
      <c r="G70" s="5">
        <v>45669</v>
      </c>
      <c r="H70" s="5">
        <v>45669</v>
      </c>
      <c r="I70" s="4" t="s">
        <v>31</v>
      </c>
      <c r="J70" s="6">
        <f t="shared" si="4"/>
        <v>0</v>
      </c>
      <c r="K70" s="4" t="str">
        <f t="shared" ca="1" si="5"/>
        <v>-</v>
      </c>
      <c r="L70" s="7" t="str">
        <f>IF(I70="Completed","0",IF($H70="","",$H70-'[2]Read Me'!$B$4))</f>
        <v>0</v>
      </c>
      <c r="M70" s="4" t="str">
        <f>IF($I70="Complete","Green",IF($H70="","Amber",IF($H70&lt;'[2]Read Me'!$B$4,"Red",IF($H70-'[2]Read Me'!$B$4&lt;=21,"Amber","Green"))))</f>
        <v>Red</v>
      </c>
      <c r="N70" s="3"/>
      <c r="O70" t="str">
        <f>IF($I70&lt;&gt;"Complete",IF(COUNTIFS($A$4:$A69,$A70,$B$4:$B69,$B70,$I$4:$I69,"&lt;&gt;Complete")=0,$A70&amp;"|"&amp;$B70,""),"")</f>
        <v/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 t="s">
        <v>552</v>
      </c>
      <c r="B71" s="2" t="s">
        <v>62</v>
      </c>
      <c r="C71" s="3" t="s">
        <v>553</v>
      </c>
      <c r="D71" s="3" t="s">
        <v>19</v>
      </c>
      <c r="E71" s="2" t="s">
        <v>184</v>
      </c>
      <c r="F71" s="2"/>
      <c r="G71" s="5">
        <v>45683</v>
      </c>
      <c r="H71" s="5">
        <v>45683</v>
      </c>
      <c r="I71" s="4" t="s">
        <v>31</v>
      </c>
      <c r="J71" s="6">
        <f t="shared" si="4"/>
        <v>0</v>
      </c>
      <c r="K71" s="4" t="str">
        <f t="shared" ca="1" si="5"/>
        <v>-</v>
      </c>
      <c r="L71" s="7" t="str">
        <f>IF(I71="Completed","0",IF($H71="","",$H71-'[2]Read Me'!$B$4))</f>
        <v>0</v>
      </c>
      <c r="M71" s="4" t="str">
        <f>IF($I71="Complete","Green",IF($H71="","Amber",IF($H71&lt;'[2]Read Me'!$B$4,"Red",IF($H71-'[2]Read Me'!$B$4&lt;=21,"Amber","Green"))))</f>
        <v>Red</v>
      </c>
      <c r="N71" s="3"/>
      <c r="O71" t="str">
        <f>IF($I71&lt;&gt;"Complete",IF(COUNTIFS($A$4:$A70,$A71,$B$4:$B70,$B71,$I$4:$I70,"&lt;&gt;Complete")=0,$A71&amp;"|"&amp;$B71,""),"")</f>
        <v/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 t="s">
        <v>552</v>
      </c>
      <c r="B72" s="2" t="s">
        <v>62</v>
      </c>
      <c r="C72" s="3" t="s">
        <v>553</v>
      </c>
      <c r="D72" s="3" t="s">
        <v>14</v>
      </c>
      <c r="E72" s="2" t="s">
        <v>554</v>
      </c>
      <c r="F72" s="2" t="s">
        <v>79</v>
      </c>
      <c r="G72" s="5">
        <v>45719</v>
      </c>
      <c r="H72" s="5">
        <v>45719</v>
      </c>
      <c r="I72" s="4" t="s">
        <v>31</v>
      </c>
      <c r="J72" s="6">
        <f t="shared" si="4"/>
        <v>0</v>
      </c>
      <c r="K72" s="4" t="str">
        <f t="shared" ca="1" si="5"/>
        <v>-</v>
      </c>
      <c r="L72" s="7" t="str">
        <f>IF(I72="Completed","0",IF($H72="","",$H72-'[2]Read Me'!$B$4))</f>
        <v>0</v>
      </c>
      <c r="M72" s="4" t="str">
        <f>IF($I72="Complete","Green",IF($H72="","Amber",IF($H72&lt;'[2]Read Me'!$B$4,"Red",IF($H72-'[2]Read Me'!$B$4&lt;=21,"Amber","Green"))))</f>
        <v>Red</v>
      </c>
      <c r="N72" s="3"/>
      <c r="O72" t="str">
        <f>IF($I72&lt;&gt;"Complete",IF(COUNTIFS($A$4:$A71,$A72,$B$4:$B71,$B72,$I$4:$I71,"&lt;&gt;Complete")=0,$A72&amp;"|"&amp;$B72,""),"")</f>
        <v/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 t="s">
        <v>552</v>
      </c>
      <c r="B73" s="2" t="s">
        <v>62</v>
      </c>
      <c r="C73" s="3" t="s">
        <v>553</v>
      </c>
      <c r="D73" s="3" t="s">
        <v>34</v>
      </c>
      <c r="E73" s="2" t="s">
        <v>554</v>
      </c>
      <c r="F73" s="2"/>
      <c r="G73" s="5">
        <v>45804</v>
      </c>
      <c r="H73" s="5">
        <v>45804</v>
      </c>
      <c r="I73" s="4" t="s">
        <v>31</v>
      </c>
      <c r="J73" s="6">
        <f t="shared" si="4"/>
        <v>0</v>
      </c>
      <c r="K73" s="4" t="str">
        <f t="shared" ca="1" si="5"/>
        <v>-</v>
      </c>
      <c r="L73" s="7" t="str">
        <f>IF(I73="Completed","0",IF($H73="","",$H73-'[2]Read Me'!$B$4))</f>
        <v>0</v>
      </c>
      <c r="M73" s="4" t="str">
        <f>IF($I73="Complete","Green",IF($H73="","Amber",IF($H73&lt;'[2]Read Me'!$B$4,"Red",IF($H73-'[2]Read Me'!$B$4&lt;=21,"Amber","Green"))))</f>
        <v>Red</v>
      </c>
      <c r="N73" s="3"/>
      <c r="O73" t="str">
        <f>IF($I73&lt;&gt;"Complete",IF(COUNTIFS($A$4:$A72,$A73,$B$4:$B72,$B73,$I$4:$I72,"&lt;&gt;Complete")=0,$A73&amp;"|"&amp;$B73,""),"")</f>
        <v/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 t="s">
        <v>552</v>
      </c>
      <c r="B74" s="2" t="s">
        <v>62</v>
      </c>
      <c r="C74" s="3" t="s">
        <v>553</v>
      </c>
      <c r="D74" s="3" t="s">
        <v>15</v>
      </c>
      <c r="E74" s="2" t="s">
        <v>554</v>
      </c>
      <c r="F74" s="2" t="s">
        <v>79</v>
      </c>
      <c r="G74" s="5">
        <v>45887</v>
      </c>
      <c r="H74" s="5">
        <v>45887</v>
      </c>
      <c r="I74" s="4" t="s">
        <v>31</v>
      </c>
      <c r="J74" s="6">
        <f t="shared" si="4"/>
        <v>0</v>
      </c>
      <c r="K74" s="4" t="str">
        <f t="shared" ca="1" si="5"/>
        <v>-</v>
      </c>
      <c r="L74" s="7" t="str">
        <f>IF(I74="Completed","0",IF($H74="","",$H74-'[2]Read Me'!$B$4))</f>
        <v>0</v>
      </c>
      <c r="M74" s="4" t="str">
        <f>IF($I74="Complete","Green",IF($H74="","Amber",IF($H74&lt;'[2]Read Me'!$B$4,"Red",IF($H74-'[2]Read Me'!$B$4&lt;=21,"Amber","Green"))))</f>
        <v>Red</v>
      </c>
      <c r="N74" s="3"/>
      <c r="O74" t="str">
        <f>IF($I74&lt;&gt;"Complete",IF(COUNTIFS($A$4:$A73,$A74,$B$4:$B73,$B74,$I$4:$I73,"&lt;&gt;Complete")=0,$A74&amp;"|"&amp;$B74,""),"")</f>
        <v/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 t="s">
        <v>552</v>
      </c>
      <c r="B75" s="2" t="s">
        <v>62</v>
      </c>
      <c r="C75" s="3" t="s">
        <v>553</v>
      </c>
      <c r="D75" s="3" t="s">
        <v>35</v>
      </c>
      <c r="E75" s="2" t="s">
        <v>554</v>
      </c>
      <c r="F75" s="2"/>
      <c r="G75" s="5">
        <v>45901</v>
      </c>
      <c r="H75" s="5">
        <v>45901</v>
      </c>
      <c r="I75" s="4" t="s">
        <v>31</v>
      </c>
      <c r="J75" s="6">
        <f t="shared" si="4"/>
        <v>0</v>
      </c>
      <c r="K75" s="4" t="str">
        <f t="shared" ca="1" si="5"/>
        <v>-</v>
      </c>
      <c r="L75" s="7" t="str">
        <f>IF(I75="Completed","0",IF($H75="","",$H75-'[2]Read Me'!$B$4))</f>
        <v>0</v>
      </c>
      <c r="M75" s="4" t="str">
        <f>IF($I75="Complete","Green",IF($H75="","Amber",IF($H75&lt;'[2]Read Me'!$B$4,"Red",IF($H75-'[2]Read Me'!$B$4&lt;=21,"Amber","Green"))))</f>
        <v>Red</v>
      </c>
      <c r="N75" s="3"/>
      <c r="O75" t="str">
        <f>IF($I75&lt;&gt;"Complete",IF(COUNTIFS($A$4:$A74,$A75,$B$4:$B74,$B75,$I$4:$I74,"&lt;&gt;Complete")=0,$A75&amp;"|"&amp;$B75,""),"")</f>
        <v/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 t="s">
        <v>552</v>
      </c>
      <c r="B76" s="2" t="s">
        <v>62</v>
      </c>
      <c r="C76" s="3" t="s">
        <v>553</v>
      </c>
      <c r="D76" s="3" t="s">
        <v>20</v>
      </c>
      <c r="E76" s="2" t="s">
        <v>184</v>
      </c>
      <c r="F76" s="2"/>
      <c r="G76" s="5">
        <v>45901</v>
      </c>
      <c r="H76" s="5">
        <v>45901</v>
      </c>
      <c r="I76" s="4" t="s">
        <v>31</v>
      </c>
      <c r="J76" s="6">
        <f t="shared" si="4"/>
        <v>0</v>
      </c>
      <c r="K76" s="4" t="str">
        <f t="shared" ca="1" si="5"/>
        <v>-</v>
      </c>
      <c r="L76" s="7" t="str">
        <f>IF(I76="Completed","0",IF($H76="","",$H76-'[2]Read Me'!$B$4))</f>
        <v>0</v>
      </c>
      <c r="M76" s="4" t="str">
        <f>IF($I76="Complete","Green",IF($H76="","Amber",IF($H76&lt;'[2]Read Me'!$B$4,"Red",IF($H76-'[2]Read Me'!$B$4&lt;=21,"Amber","Green"))))</f>
        <v>Red</v>
      </c>
      <c r="N76" s="3"/>
      <c r="O76" t="str">
        <f>IF($I76&lt;&gt;"Complete",IF(COUNTIFS($A$4:$A75,$A76,$B$4:$B75,$B76,$I$4:$I75,"&lt;&gt;Complete")=0,$A76&amp;"|"&amp;$B76,""),"")</f>
        <v/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 t="s">
        <v>552</v>
      </c>
      <c r="B77" s="2" t="s">
        <v>62</v>
      </c>
      <c r="C77" s="3" t="s">
        <v>553</v>
      </c>
      <c r="D77" s="3" t="s">
        <v>100</v>
      </c>
      <c r="E77" s="2" t="s">
        <v>554</v>
      </c>
      <c r="F77" s="2" t="s">
        <v>79</v>
      </c>
      <c r="G77" s="5">
        <v>45930</v>
      </c>
      <c r="H77" s="5">
        <v>45930</v>
      </c>
      <c r="I77" s="4" t="s">
        <v>31</v>
      </c>
      <c r="J77" s="6">
        <f t="shared" si="4"/>
        <v>0</v>
      </c>
      <c r="K77" s="4" t="str">
        <f t="shared" ca="1" si="5"/>
        <v>-</v>
      </c>
      <c r="L77" s="7" t="str">
        <f>IF(I77="Completed","0",IF($H77="","",$H77-'[2]Read Me'!$B$4))</f>
        <v>0</v>
      </c>
      <c r="M77" s="4" t="str">
        <f>IF($I77="Complete","Green",IF($H77="","Amber",IF($H77&lt;'[2]Read Me'!$B$4,"Red",IF($H77-'[2]Read Me'!$B$4&lt;=21,"Amber","Green"))))</f>
        <v>Red</v>
      </c>
      <c r="N77" s="3"/>
      <c r="O77" t="str">
        <f>IF($I77&lt;&gt;"Complete",IF(COUNTIFS($A$4:$A76,$A77,$B$4:$B76,$B77,$I$4:$I76,"&lt;&gt;Complete")=0,$A77&amp;"|"&amp;$B77,""),"")</f>
        <v/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 t="s">
        <v>552</v>
      </c>
      <c r="B78" s="2" t="s">
        <v>62</v>
      </c>
      <c r="C78" s="3" t="s">
        <v>553</v>
      </c>
      <c r="D78" s="3" t="s">
        <v>16</v>
      </c>
      <c r="E78" s="2" t="s">
        <v>554</v>
      </c>
      <c r="F78" s="2" t="s">
        <v>79</v>
      </c>
      <c r="G78" s="5">
        <v>45932</v>
      </c>
      <c r="H78" s="5">
        <v>46099</v>
      </c>
      <c r="I78" s="4" t="s">
        <v>31</v>
      </c>
      <c r="J78" s="6">
        <f t="shared" si="4"/>
        <v>167</v>
      </c>
      <c r="K78" s="4" t="str">
        <f t="shared" ca="1" si="5"/>
        <v>-</v>
      </c>
      <c r="L78" s="7" t="str">
        <f>IF(I78="Completed","0",IF($H78="","",$H78-'[2]Read Me'!$B$4))</f>
        <v>0</v>
      </c>
      <c r="M78" s="4" t="str">
        <f>IF($I78="Complete","Green",IF($H78="","Amber",IF($H78&lt;'[2]Read Me'!$B$4,"Red",IF($H78-'[2]Read Me'!$B$4&lt;=21,"Amber","Green"))))</f>
        <v>Red</v>
      </c>
      <c r="N78" s="3"/>
      <c r="O78" t="str">
        <f>IF($I78&lt;&gt;"Complete",IF(COUNTIFS($A$4:$A77,$A78,$B$4:$B77,$B78,$I$4:$I77,"&lt;&gt;Complete")=0,$A78&amp;"|"&amp;$B78,""),"")</f>
        <v/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 t="s">
        <v>552</v>
      </c>
      <c r="B79" s="2" t="s">
        <v>62</v>
      </c>
      <c r="C79" s="3" t="s">
        <v>553</v>
      </c>
      <c r="D79" s="3" t="s">
        <v>37</v>
      </c>
      <c r="E79" s="2" t="s">
        <v>554</v>
      </c>
      <c r="F79" s="2"/>
      <c r="G79" s="5">
        <v>45946</v>
      </c>
      <c r="H79" s="5">
        <v>46117</v>
      </c>
      <c r="I79" s="4" t="s">
        <v>31</v>
      </c>
      <c r="J79" s="6">
        <f t="shared" si="4"/>
        <v>171</v>
      </c>
      <c r="K79" s="4" t="str">
        <f t="shared" ca="1" si="5"/>
        <v>-</v>
      </c>
      <c r="L79" s="7" t="str">
        <f>IF(I79="Completed","0",IF($H79="","",$H79-'[2]Read Me'!$B$4))</f>
        <v>0</v>
      </c>
      <c r="M79" s="4" t="str">
        <f>IF($I79="Complete","Green",IF($H79="","Amber",IF($H79&lt;'[2]Read Me'!$B$4,"Red",IF($H79-'[2]Read Me'!$B$4&lt;=21,"Amber","Green"))))</f>
        <v>Red</v>
      </c>
      <c r="N79" s="3"/>
      <c r="O79" t="str">
        <f>IF($I79&lt;&gt;"Complete",IF(COUNTIFS($A$4:$A78,$A79,$B$4:$B78,$B79,$I$4:$I78,"&lt;&gt;Complete")=0,$A79&amp;"|"&amp;$B79,""),"")</f>
        <v/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 t="s">
        <v>552</v>
      </c>
      <c r="B80" s="2" t="s">
        <v>49</v>
      </c>
      <c r="C80" s="3"/>
      <c r="D80" s="3"/>
      <c r="E80" s="2"/>
      <c r="F80" s="2"/>
      <c r="G80" s="5">
        <v>46139</v>
      </c>
      <c r="H80" s="5">
        <v>46292</v>
      </c>
      <c r="I80" s="4"/>
      <c r="J80" s="6">
        <f t="shared" si="4"/>
        <v>153</v>
      </c>
      <c r="K80" s="4" t="str">
        <f t="shared" ca="1" si="5"/>
        <v/>
      </c>
      <c r="L80" s="7">
        <f>IF(I80="Completed","0",IF($H80="","",$H80-'[2]Read Me'!$B$4))</f>
        <v>105</v>
      </c>
      <c r="M80" s="4" t="str">
        <f>IF($I80="Complete","Green",IF($H80="","Amber",IF($H80&lt;'[2]Read Me'!$B$4,"Red",IF($H80-'[2]Read Me'!$B$4&lt;=21,"Amber","Green"))))</f>
        <v>Green</v>
      </c>
      <c r="N80" s="3"/>
      <c r="O80" t="str">
        <f>IF($I80&lt;&gt;"Complete",IF(COUNTIFS($A$4:$A79,$A80,$B$4:$B79,$B80,$I$4:$I79,"&lt;&gt;Complete")=0,$A80&amp;"|"&amp;$B80,""),"")</f>
        <v>Ph - 1A|Authorities</v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 t="s">
        <v>552</v>
      </c>
      <c r="B81" s="2" t="s">
        <v>49</v>
      </c>
      <c r="C81" s="3" t="s">
        <v>555</v>
      </c>
      <c r="D81" s="3" t="s">
        <v>556</v>
      </c>
      <c r="E81" s="2" t="s">
        <v>104</v>
      </c>
      <c r="F81" s="2"/>
      <c r="G81" s="5">
        <v>45887</v>
      </c>
      <c r="H81" s="5">
        <v>45887</v>
      </c>
      <c r="I81" s="4" t="s">
        <v>31</v>
      </c>
      <c r="J81" s="6">
        <f t="shared" si="4"/>
        <v>0</v>
      </c>
      <c r="K81" s="4" t="str">
        <f t="shared" ca="1" si="5"/>
        <v>-</v>
      </c>
      <c r="L81" s="7" t="str">
        <f>IF(I81="Completed","0",IF($H81="","",$H81-'[2]Read Me'!$B$4))</f>
        <v>0</v>
      </c>
      <c r="M81" s="4" t="str">
        <f>IF($I81="Complete","Green",IF($H81="","Amber",IF($H81&lt;'[2]Read Me'!$B$4,"Red",IF($H81-'[2]Read Me'!$B$4&lt;=21,"Amber","Green"))))</f>
        <v>Red</v>
      </c>
      <c r="N81" s="3"/>
      <c r="O81" t="str">
        <f>IF($I81&lt;&gt;"Complete",IF(COUNTIFS($A$4:$A80,$A81,$B$4:$B80,$B81,$I$4:$I80,"&lt;&gt;Complete")=0,$A81&amp;"|"&amp;$B81,""),"")</f>
        <v/>
      </c>
      <c r="P81" t="str">
        <f ca="1">IF($K81="Yes",COUNTIFS($K$4:$K81,"Yes"),"")</f>
        <v/>
      </c>
      <c r="Q81">
        <f t="shared" ca="1" si="6"/>
        <v>0</v>
      </c>
      <c r="R81" t="str">
        <f ca="1">IF($Q81=1,SUM($Q$4:$Q81),"")</f>
        <v/>
      </c>
    </row>
    <row r="82" spans="1:18" ht="33.75" customHeight="1" x14ac:dyDescent="0.3">
      <c r="A82" s="2" t="s">
        <v>552</v>
      </c>
      <c r="B82" s="2" t="s">
        <v>49</v>
      </c>
      <c r="C82" s="3" t="s">
        <v>555</v>
      </c>
      <c r="D82" s="3" t="s">
        <v>110</v>
      </c>
      <c r="E82" s="2" t="s">
        <v>104</v>
      </c>
      <c r="F82" s="2"/>
      <c r="G82" s="5">
        <v>45999</v>
      </c>
      <c r="H82" s="5">
        <v>46106</v>
      </c>
      <c r="I82" s="4" t="s">
        <v>31</v>
      </c>
      <c r="J82" s="6">
        <f t="shared" si="4"/>
        <v>107</v>
      </c>
      <c r="K82" s="4" t="str">
        <f t="shared" ca="1" si="5"/>
        <v>-</v>
      </c>
      <c r="L82" s="7" t="str">
        <f>IF(I82="Completed","0",IF($H82="","",$H82-'[2]Read Me'!$B$4))</f>
        <v>0</v>
      </c>
      <c r="M82" s="4" t="str">
        <f>IF($I82="Complete","Green",IF($H82="","Amber",IF($H82&lt;'[2]Read Me'!$B$4,"Red",IF($H82-'[2]Read Me'!$B$4&lt;=21,"Amber","Green"))))</f>
        <v>Red</v>
      </c>
      <c r="N82" s="3"/>
      <c r="O82" t="str">
        <f>IF($I82&lt;&gt;"Complete",IF(COUNTIFS($A$4:$A81,$A82,$B$4:$B81,$B82,$I$4:$I81,"&lt;&gt;Complete")=0,$A82&amp;"|"&amp;$B82,""),"")</f>
        <v/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 t="s">
        <v>552</v>
      </c>
      <c r="B83" s="2" t="s">
        <v>49</v>
      </c>
      <c r="C83" s="3" t="s">
        <v>555</v>
      </c>
      <c r="D83" s="3" t="s">
        <v>91</v>
      </c>
      <c r="E83" s="2" t="s">
        <v>104</v>
      </c>
      <c r="F83" s="2"/>
      <c r="G83" s="5">
        <v>46041</v>
      </c>
      <c r="H83" s="5">
        <v>46208</v>
      </c>
      <c r="I83" s="4" t="s">
        <v>46</v>
      </c>
      <c r="J83" s="6">
        <f t="shared" si="4"/>
        <v>167</v>
      </c>
      <c r="K83" s="4" t="str">
        <f t="shared" ca="1" si="5"/>
        <v>No</v>
      </c>
      <c r="L83" s="7">
        <f>IF(I83="Completed","0",IF($H83="","",$H83-'[2]Read Me'!$B$4))</f>
        <v>21</v>
      </c>
      <c r="M83" s="4" t="str">
        <f>IF($I83="Complete","Green",IF($H83="","Amber",IF($H83&lt;'[2]Read Me'!$B$4,"Red",IF($H83-'[2]Read Me'!$B$4&lt;=21,"Amber","Green"))))</f>
        <v>Amber</v>
      </c>
      <c r="N83" s="3"/>
      <c r="O83" t="str">
        <f>IF($I83&lt;&gt;"Complete",IF(COUNTIFS($A$4:$A82,$A83,$B$4:$B82,$B83,$I$4:$I82,"&lt;&gt;Complete")=0,$A83&amp;"|"&amp;$B83,""),"")</f>
        <v/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 t="s">
        <v>552</v>
      </c>
      <c r="B84" s="2" t="s">
        <v>49</v>
      </c>
      <c r="C84" s="3" t="s">
        <v>555</v>
      </c>
      <c r="D84" s="3" t="s">
        <v>93</v>
      </c>
      <c r="E84" s="2" t="s">
        <v>104</v>
      </c>
      <c r="F84" s="2"/>
      <c r="G84" s="5">
        <v>46083</v>
      </c>
      <c r="H84" s="5">
        <v>46236</v>
      </c>
      <c r="I84" s="4" t="s">
        <v>17</v>
      </c>
      <c r="J84" s="6">
        <f t="shared" si="4"/>
        <v>153</v>
      </c>
      <c r="K84" s="4" t="str">
        <f t="shared" ca="1" si="5"/>
        <v>No</v>
      </c>
      <c r="L84" s="7">
        <f>IF(I84="Completed","0",IF($H84="","",$H84-'[2]Read Me'!$B$4))</f>
        <v>49</v>
      </c>
      <c r="M84" s="4" t="str">
        <f>IF($I84="Complete","Green",IF($H84="","Amber",IF($H84&lt;'[2]Read Me'!$B$4,"Red",IF($H84-'[2]Read Me'!$B$4&lt;=21,"Amber","Green"))))</f>
        <v>Green</v>
      </c>
      <c r="N84" s="3"/>
      <c r="O84" t="str">
        <f>IF($I84&lt;&gt;"Complete",IF(COUNTIFS($A$4:$A83,$A84,$B$4:$B83,$B84,$I$4:$I83,"&lt;&gt;Complete")=0,$A84&amp;"|"&amp;$B84,""),"")</f>
        <v/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 t="s">
        <v>552</v>
      </c>
      <c r="B85" s="2" t="s">
        <v>49</v>
      </c>
      <c r="C85" s="3" t="s">
        <v>555</v>
      </c>
      <c r="D85" s="3" t="s">
        <v>94</v>
      </c>
      <c r="E85" s="2" t="s">
        <v>104</v>
      </c>
      <c r="F85" s="2"/>
      <c r="G85" s="5">
        <v>46139</v>
      </c>
      <c r="H85" s="5">
        <v>46292</v>
      </c>
      <c r="I85" s="4" t="s">
        <v>17</v>
      </c>
      <c r="J85" s="6">
        <f t="shared" si="4"/>
        <v>153</v>
      </c>
      <c r="K85" s="4" t="str">
        <f t="shared" ca="1" si="5"/>
        <v>No</v>
      </c>
      <c r="L85" s="7">
        <f>IF(I85="Completed","0",IF($H85="","",$H85-'[2]Read Me'!$B$4))</f>
        <v>105</v>
      </c>
      <c r="M85" s="4" t="str">
        <f>IF($I85="Complete","Green",IF($H85="","Amber",IF($H85&lt;'[2]Read Me'!$B$4,"Red",IF($H85-'[2]Read Me'!$B$4&lt;=21,"Amber","Green"))))</f>
        <v>Green</v>
      </c>
      <c r="N85" s="3"/>
      <c r="O85" t="str">
        <f>IF($I85&lt;&gt;"Complete",IF(COUNTIFS($A$4:$A84,$A85,$B$4:$B84,$B85,$I$4:$I84,"&lt;&gt;Complete")=0,$A85&amp;"|"&amp;$B85,""),"")</f>
        <v/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 t="s">
        <v>552</v>
      </c>
      <c r="B86" s="2" t="s">
        <v>186</v>
      </c>
      <c r="C86" s="3"/>
      <c r="D86" s="3"/>
      <c r="E86" s="2"/>
      <c r="F86" s="2"/>
      <c r="G86" s="5">
        <v>46201</v>
      </c>
      <c r="H86" s="5">
        <v>46232</v>
      </c>
      <c r="I86" s="4"/>
      <c r="J86" s="6">
        <f t="shared" si="4"/>
        <v>31</v>
      </c>
      <c r="K86" s="4" t="str">
        <f t="shared" ca="1" si="5"/>
        <v/>
      </c>
      <c r="L86" s="7">
        <f>IF(I86="Completed","0",IF($H86="","",$H86-'[2]Read Me'!$B$4))</f>
        <v>45</v>
      </c>
      <c r="M86" s="4" t="str">
        <f>IF($I86="Complete","Green",IF($H86="","Amber",IF($H86&lt;'[2]Read Me'!$B$4,"Red",IF($H86-'[2]Read Me'!$B$4&lt;=21,"Amber","Green"))))</f>
        <v>Green</v>
      </c>
      <c r="N86" s="3"/>
      <c r="O86" t="str">
        <f>IF($I86&lt;&gt;"Complete",IF(COUNTIFS($A$4:$A85,$A86,$B$4:$B85,$B86,$I$4:$I85,"&lt;&gt;Complete")=0,$A86&amp;"|"&amp;$B86,""),"")</f>
        <v>Ph - 1A|Plot Fences</v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 t="s">
        <v>552</v>
      </c>
      <c r="B87" s="2" t="s">
        <v>186</v>
      </c>
      <c r="C87" s="3" t="s">
        <v>557</v>
      </c>
      <c r="D87" s="3" t="s">
        <v>127</v>
      </c>
      <c r="E87" s="2" t="s">
        <v>554</v>
      </c>
      <c r="F87" s="2" t="s">
        <v>79</v>
      </c>
      <c r="G87" s="5">
        <v>46159</v>
      </c>
      <c r="H87" s="5">
        <v>46190</v>
      </c>
      <c r="I87" s="4" t="s">
        <v>31</v>
      </c>
      <c r="J87" s="6">
        <f t="shared" si="4"/>
        <v>31</v>
      </c>
      <c r="K87" s="4" t="str">
        <f t="shared" ca="1" si="5"/>
        <v>-</v>
      </c>
      <c r="L87" s="7" t="str">
        <f>IF(I87="Completed","0",IF($H87="","",$H87-'[2]Read Me'!$B$4))</f>
        <v>0</v>
      </c>
      <c r="M87" s="4" t="str">
        <f>IF($I87="Complete","Green",IF($H87="","Amber",IF($H87&lt;'[2]Read Me'!$B$4,"Red",IF($H87-'[2]Read Me'!$B$4&lt;=21,"Amber","Green"))))</f>
        <v>Amber</v>
      </c>
      <c r="N87" s="3"/>
      <c r="O87" t="str">
        <f>IF($I87&lt;&gt;"Complete",IF(COUNTIFS($A$4:$A86,$A87,$B$4:$B86,$B87,$I$4:$I86,"&lt;&gt;Complete")=0,$A87&amp;"|"&amp;$B87,""),"")</f>
        <v/>
      </c>
      <c r="P87" t="str">
        <f ca="1">IF($K87="Yes",COUNTIFS($K$4:$K87,"Yes"),"")</f>
        <v/>
      </c>
      <c r="Q87">
        <f t="shared" ca="1" si="6"/>
        <v>0</v>
      </c>
      <c r="R87" t="str">
        <f ca="1">IF($Q87=1,SUM($Q$4:$Q87),"")</f>
        <v/>
      </c>
    </row>
    <row r="88" spans="1:18" ht="33.75" customHeight="1" x14ac:dyDescent="0.3">
      <c r="A88" s="2" t="s">
        <v>552</v>
      </c>
      <c r="B88" s="2" t="s">
        <v>186</v>
      </c>
      <c r="C88" s="3" t="s">
        <v>557</v>
      </c>
      <c r="D88" s="3" t="s">
        <v>35</v>
      </c>
      <c r="E88" s="2" t="s">
        <v>554</v>
      </c>
      <c r="F88" s="2"/>
      <c r="G88" s="5">
        <v>46173</v>
      </c>
      <c r="H88" s="5">
        <v>46204</v>
      </c>
      <c r="I88" s="4" t="s">
        <v>46</v>
      </c>
      <c r="J88" s="6">
        <f t="shared" si="4"/>
        <v>31</v>
      </c>
      <c r="K88" s="4" t="str">
        <f t="shared" ca="1" si="5"/>
        <v>Yes</v>
      </c>
      <c r="L88" s="7">
        <f>IF(I88="Completed","0",IF($H88="","",$H88-'[2]Read Me'!$B$4))</f>
        <v>17</v>
      </c>
      <c r="M88" s="4" t="str">
        <f>IF($I88="Complete","Green",IF($H88="","Amber",IF($H88&lt;'[2]Read Me'!$B$4,"Red",IF($H88-'[2]Read Me'!$B$4&lt;=21,"Amber","Green"))))</f>
        <v>Amber</v>
      </c>
      <c r="N88" s="3"/>
      <c r="O88" t="str">
        <f>IF($I88&lt;&gt;"Complete",IF(COUNTIFS($A$4:$A87,$A88,$B$4:$B87,$B88,$I$4:$I87,"&lt;&gt;Complete")=0,$A88&amp;"|"&amp;$B88,""),"")</f>
        <v/>
      </c>
      <c r="P88">
        <f ca="1">IF($K88="Yes",COUNTIFS($K$4:$K88,"Yes"),"")</f>
        <v>5</v>
      </c>
      <c r="Q88">
        <f t="shared" ca="1" si="6"/>
        <v>1</v>
      </c>
      <c r="R88">
        <f ca="1">IF($Q88=1,SUM($Q$4:$Q88),"")</f>
        <v>5</v>
      </c>
    </row>
    <row r="89" spans="1:18" ht="33.75" customHeight="1" x14ac:dyDescent="0.3">
      <c r="A89" s="2" t="s">
        <v>552</v>
      </c>
      <c r="B89" s="2" t="s">
        <v>186</v>
      </c>
      <c r="C89" s="3" t="s">
        <v>557</v>
      </c>
      <c r="D89" s="3" t="s">
        <v>16</v>
      </c>
      <c r="E89" s="2" t="s">
        <v>554</v>
      </c>
      <c r="F89" s="2" t="s">
        <v>79</v>
      </c>
      <c r="G89" s="5">
        <v>46187</v>
      </c>
      <c r="H89" s="5">
        <v>46218</v>
      </c>
      <c r="I89" s="4" t="s">
        <v>17</v>
      </c>
      <c r="J89" s="6">
        <f t="shared" si="4"/>
        <v>31</v>
      </c>
      <c r="K89" s="4" t="str">
        <f t="shared" ca="1" si="5"/>
        <v>No</v>
      </c>
      <c r="L89" s="7">
        <f>IF(I89="Completed","0",IF($H89="","",$H89-'[2]Read Me'!$B$4))</f>
        <v>31</v>
      </c>
      <c r="M89" s="4" t="str">
        <f>IF($I89="Complete","Green",IF($H89="","Amber",IF($H89&lt;'[2]Read Me'!$B$4,"Red",IF($H89-'[2]Read Me'!$B$4&lt;=21,"Amber","Green"))))</f>
        <v>Green</v>
      </c>
      <c r="N89" s="3"/>
      <c r="O89" t="str">
        <f>IF($I89&lt;&gt;"Complete",IF(COUNTIFS($A$4:$A88,$A89,$B$4:$B88,$B89,$I$4:$I88,"&lt;&gt;Complete")=0,$A89&amp;"|"&amp;$B89,""),"")</f>
        <v/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 t="s">
        <v>552</v>
      </c>
      <c r="B90" s="2" t="s">
        <v>186</v>
      </c>
      <c r="C90" s="3" t="s">
        <v>557</v>
      </c>
      <c r="D90" s="3" t="s">
        <v>37</v>
      </c>
      <c r="E90" s="2" t="s">
        <v>554</v>
      </c>
      <c r="F90" s="2"/>
      <c r="G90" s="5">
        <v>46201</v>
      </c>
      <c r="H90" s="5">
        <v>46232</v>
      </c>
      <c r="I90" s="4" t="s">
        <v>17</v>
      </c>
      <c r="J90" s="6">
        <f t="shared" si="4"/>
        <v>31</v>
      </c>
      <c r="K90" s="4" t="str">
        <f t="shared" ca="1" si="5"/>
        <v>No</v>
      </c>
      <c r="L90" s="7">
        <f>IF(I90="Completed","0",IF($H90="","",$H90-'[2]Read Me'!$B$4))</f>
        <v>45</v>
      </c>
      <c r="M90" s="4" t="str">
        <f>IF($I90="Complete","Green",IF($H90="","Amber",IF($H90&lt;'[2]Read Me'!$B$4,"Red",IF($H90-'[2]Read Me'!$B$4&lt;=21,"Amber","Green"))))</f>
        <v>Green</v>
      </c>
      <c r="N90" s="3"/>
      <c r="O90" t="str">
        <f>IF($I90&lt;&gt;"Complete",IF(COUNTIFS($A$4:$A89,$A90,$B$4:$B89,$B90,$I$4:$I89,"&lt;&gt;Complete")=0,$A90&amp;"|"&amp;$B90,""),"")</f>
        <v/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 t="s">
        <v>552</v>
      </c>
      <c r="B91" s="2" t="s">
        <v>41</v>
      </c>
      <c r="C91" s="3"/>
      <c r="D91" s="3"/>
      <c r="E91" s="2"/>
      <c r="F91" s="2"/>
      <c r="G91" s="5">
        <v>46215</v>
      </c>
      <c r="H91" s="5">
        <v>46352</v>
      </c>
      <c r="I91" s="4"/>
      <c r="J91" s="6">
        <f t="shared" si="4"/>
        <v>137</v>
      </c>
      <c r="K91" s="4" t="str">
        <f t="shared" ca="1" si="5"/>
        <v/>
      </c>
      <c r="L91" s="7">
        <f>IF(I91="Completed","0",IF($H91="","",$H91-'[2]Read Me'!$B$4))</f>
        <v>165</v>
      </c>
      <c r="M91" s="4" t="str">
        <f>IF($I91="Complete","Green",IF($H91="","Amber",IF($H91&lt;'[2]Read Me'!$B$4,"Red",IF($H91-'[2]Read Me'!$B$4&lt;=21,"Amber","Green"))))</f>
        <v>Green</v>
      </c>
      <c r="N91" s="3"/>
      <c r="O91" t="str">
        <f>IF($I91&lt;&gt;"Complete",IF(COUNTIFS($A$4:$A90,$A91,$B$4:$B90,$B91,$I$4:$I90,"&lt;&gt;Complete")=0,$A91&amp;"|"&amp;$B91,""),"")</f>
        <v>Ph - 1A|Fit-out</v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 t="s">
        <v>552</v>
      </c>
      <c r="B92" s="2" t="s">
        <v>41</v>
      </c>
      <c r="C92" s="3" t="s">
        <v>558</v>
      </c>
      <c r="D92" s="3" t="s">
        <v>559</v>
      </c>
      <c r="E92" s="2" t="s">
        <v>554</v>
      </c>
      <c r="F92" s="2"/>
      <c r="G92" s="5">
        <v>45973</v>
      </c>
      <c r="H92" s="5">
        <v>46009</v>
      </c>
      <c r="I92" s="4" t="s">
        <v>31</v>
      </c>
      <c r="J92" s="6">
        <f t="shared" si="4"/>
        <v>36</v>
      </c>
      <c r="K92" s="4" t="str">
        <f t="shared" ca="1" si="5"/>
        <v>-</v>
      </c>
      <c r="L92" s="7" t="str">
        <f>IF(I92="Completed","0",IF($H92="","",$H92-'[2]Read Me'!$B$4))</f>
        <v>0</v>
      </c>
      <c r="M92" s="4" t="str">
        <f>IF($I92="Complete","Green",IF($H92="","Amber",IF($H92&lt;'[2]Read Me'!$B$4,"Red",IF($H92-'[2]Read Me'!$B$4&lt;=21,"Amber","Green"))))</f>
        <v>Red</v>
      </c>
      <c r="N92" s="3"/>
      <c r="O92" t="str">
        <f>IF($I92&lt;&gt;"Complete",IF(COUNTIFS($A$4:$A91,$A92,$B$4:$B91,$B92,$I$4:$I91,"&lt;&gt;Complete")=0,$A92&amp;"|"&amp;$B92,""),"")</f>
        <v/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 t="s">
        <v>552</v>
      </c>
      <c r="B93" s="2" t="s">
        <v>41</v>
      </c>
      <c r="C93" s="3" t="s">
        <v>558</v>
      </c>
      <c r="D93" s="3" t="s">
        <v>18</v>
      </c>
      <c r="E93" s="2" t="s">
        <v>554</v>
      </c>
      <c r="F93" s="2" t="s">
        <v>79</v>
      </c>
      <c r="G93" s="5">
        <v>46015</v>
      </c>
      <c r="H93" s="5">
        <v>46051</v>
      </c>
      <c r="I93" s="4" t="s">
        <v>31</v>
      </c>
      <c r="J93" s="6">
        <f t="shared" si="4"/>
        <v>36</v>
      </c>
      <c r="K93" s="4" t="str">
        <f t="shared" ca="1" si="5"/>
        <v>-</v>
      </c>
      <c r="L93" s="7" t="str">
        <f>IF(I93="Completed","0",IF($H93="","",$H93-'[2]Read Me'!$B$4))</f>
        <v>0</v>
      </c>
      <c r="M93" s="4" t="str">
        <f>IF($I93="Complete","Green",IF($H93="","Amber",IF($H93&lt;'[2]Read Me'!$B$4,"Red",IF($H93-'[2]Read Me'!$B$4&lt;=21,"Amber","Green"))))</f>
        <v>Red</v>
      </c>
      <c r="N93" s="3"/>
      <c r="O93" t="str">
        <f>IF($I93&lt;&gt;"Complete",IF(COUNTIFS($A$4:$A92,$A93,$B$4:$B92,$B93,$I$4:$I92,"&lt;&gt;Complete")=0,$A93&amp;"|"&amp;$B93,""),"")</f>
        <v/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 t="s">
        <v>552</v>
      </c>
      <c r="B94" s="2" t="s">
        <v>41</v>
      </c>
      <c r="C94" s="3" t="s">
        <v>558</v>
      </c>
      <c r="D94" s="3" t="s">
        <v>32</v>
      </c>
      <c r="E94" s="2" t="s">
        <v>554</v>
      </c>
      <c r="F94" s="2"/>
      <c r="G94" s="5">
        <v>46029</v>
      </c>
      <c r="H94" s="5">
        <v>46061</v>
      </c>
      <c r="I94" s="4" t="s">
        <v>31</v>
      </c>
      <c r="J94" s="6">
        <f t="shared" si="4"/>
        <v>32</v>
      </c>
      <c r="K94" s="4" t="str">
        <f t="shared" ca="1" si="5"/>
        <v>-</v>
      </c>
      <c r="L94" s="7" t="str">
        <f>IF(I94="Completed","0",IF($H94="","",$H94-'[2]Read Me'!$B$4))</f>
        <v>0</v>
      </c>
      <c r="M94" s="4" t="str">
        <f>IF($I94="Complete","Green",IF($H94="","Amber",IF($H94&lt;'[2]Read Me'!$B$4,"Red",IF($H94-'[2]Read Me'!$B$4&lt;=21,"Amber","Green"))))</f>
        <v>Red</v>
      </c>
      <c r="N94" s="3"/>
      <c r="O94" t="str">
        <f>IF($I94&lt;&gt;"Complete",IF(COUNTIFS($A$4:$A93,$A94,$B$4:$B93,$B94,$I$4:$I93,"&lt;&gt;Complete")=0,$A94&amp;"|"&amp;$B94,""),"")</f>
        <v/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 t="s">
        <v>552</v>
      </c>
      <c r="B95" s="2" t="s">
        <v>41</v>
      </c>
      <c r="C95" s="3" t="s">
        <v>558</v>
      </c>
      <c r="D95" s="3" t="s">
        <v>126</v>
      </c>
      <c r="E95" s="2" t="s">
        <v>554</v>
      </c>
      <c r="F95" s="2" t="s">
        <v>79</v>
      </c>
      <c r="G95" s="5">
        <v>46057</v>
      </c>
      <c r="H95" s="5">
        <v>46146</v>
      </c>
      <c r="I95" s="4" t="s">
        <v>31</v>
      </c>
      <c r="J95" s="6">
        <f t="shared" si="4"/>
        <v>89</v>
      </c>
      <c r="K95" s="4" t="str">
        <f t="shared" ca="1" si="5"/>
        <v>-</v>
      </c>
      <c r="L95" s="7" t="str">
        <f>IF(I95="Completed","0",IF($H95="","",$H95-'[2]Read Me'!$B$4))</f>
        <v>0</v>
      </c>
      <c r="M95" s="4" t="str">
        <f>IF($I95="Complete","Green",IF($H95="","Amber",IF($H95&lt;'[2]Read Me'!$B$4,"Red",IF($H95-'[2]Read Me'!$B$4&lt;=21,"Amber","Green"))))</f>
        <v>Red</v>
      </c>
      <c r="N95" s="3"/>
      <c r="O95" t="str">
        <f>IF($I95&lt;&gt;"Complete",IF(COUNTIFS($A$4:$A94,$A95,$B$4:$B94,$B95,$I$4:$I94,"&lt;&gt;Complete")=0,$A95&amp;"|"&amp;$B95,""),"")</f>
        <v/>
      </c>
      <c r="P95" t="str">
        <f ca="1">IF($K95="Yes",COUNTIFS($K$4:$K95,"Yes"),"")</f>
        <v/>
      </c>
      <c r="Q95">
        <f t="shared" ca="1" si="6"/>
        <v>0</v>
      </c>
      <c r="R95" t="str">
        <f ca="1">IF($Q95=1,SUM($Q$4:$Q95),"")</f>
        <v/>
      </c>
    </row>
    <row r="96" spans="1:18" ht="33.75" customHeight="1" x14ac:dyDescent="0.3">
      <c r="A96" s="2" t="s">
        <v>552</v>
      </c>
      <c r="B96" s="2" t="s">
        <v>41</v>
      </c>
      <c r="C96" s="3" t="s">
        <v>558</v>
      </c>
      <c r="D96" s="3" t="s">
        <v>34</v>
      </c>
      <c r="E96" s="2" t="s">
        <v>554</v>
      </c>
      <c r="F96" s="2"/>
      <c r="G96" s="5">
        <v>46071</v>
      </c>
      <c r="H96" s="5">
        <v>46167</v>
      </c>
      <c r="I96" s="4" t="s">
        <v>31</v>
      </c>
      <c r="J96" s="6">
        <f t="shared" si="4"/>
        <v>96</v>
      </c>
      <c r="K96" s="4" t="str">
        <f t="shared" ca="1" si="5"/>
        <v>-</v>
      </c>
      <c r="L96" s="7" t="str">
        <f>IF(I96="Completed","0",IF($H96="","",$H96-'[2]Read Me'!$B$4))</f>
        <v>0</v>
      </c>
      <c r="M96" s="4" t="str">
        <f>IF($I96="Complete","Green",IF($H96="","Amber",IF($H96&lt;'[2]Read Me'!$B$4,"Red",IF($H96-'[2]Read Me'!$B$4&lt;=21,"Amber","Green"))))</f>
        <v>Red</v>
      </c>
      <c r="N96" s="3"/>
      <c r="O96" t="str">
        <f>IF($I96&lt;&gt;"Complete",IF(COUNTIFS($A$4:$A95,$A96,$B$4:$B95,$B96,$I$4:$I95,"&lt;&gt;Complete")=0,$A96&amp;"|"&amp;$B96,""),"")</f>
        <v/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 t="s">
        <v>552</v>
      </c>
      <c r="B97" s="2" t="s">
        <v>41</v>
      </c>
      <c r="C97" s="3" t="s">
        <v>558</v>
      </c>
      <c r="D97" s="3" t="s">
        <v>127</v>
      </c>
      <c r="E97" s="2" t="s">
        <v>554</v>
      </c>
      <c r="F97" s="2" t="s">
        <v>79</v>
      </c>
      <c r="G97" s="5"/>
      <c r="H97" s="5">
        <v>46202</v>
      </c>
      <c r="I97" s="4" t="s">
        <v>46</v>
      </c>
      <c r="J97" s="6" t="str">
        <f t="shared" si="4"/>
        <v/>
      </c>
      <c r="K97" s="4" t="str">
        <f t="shared" ca="1" si="5"/>
        <v>Yes</v>
      </c>
      <c r="L97" s="7">
        <f>IF(I97="Completed","0",IF($H97="","",$H97-'[2]Read Me'!$B$4))</f>
        <v>15</v>
      </c>
      <c r="M97" s="4" t="str">
        <f>IF($I97="Complete","Green",IF($H97="","Amber",IF($H97&lt;'[2]Read Me'!$B$4,"Red",IF($H97-'[2]Read Me'!$B$4&lt;=21,"Amber","Green"))))</f>
        <v>Amber</v>
      </c>
      <c r="N97" s="3"/>
      <c r="O97" t="str">
        <f>IF($I97&lt;&gt;"Complete",IF(COUNTIFS($A$4:$A96,$A97,$B$4:$B96,$B97,$I$4:$I96,"&lt;&gt;Complete")=0,$A97&amp;"|"&amp;$B97,""),"")</f>
        <v/>
      </c>
      <c r="P97">
        <f ca="1">IF($K97="Yes",COUNTIFS($K$4:$K97,"Yes"),"")</f>
        <v>6</v>
      </c>
      <c r="Q97">
        <f t="shared" ca="1" si="6"/>
        <v>1</v>
      </c>
      <c r="R97">
        <f ca="1">IF($Q97=1,SUM($Q$4:$Q97),"")</f>
        <v>6</v>
      </c>
    </row>
    <row r="98" spans="1:18" ht="33.75" customHeight="1" x14ac:dyDescent="0.3">
      <c r="A98" s="2" t="s">
        <v>552</v>
      </c>
      <c r="B98" s="2" t="s">
        <v>41</v>
      </c>
      <c r="C98" s="3" t="s">
        <v>558</v>
      </c>
      <c r="D98" s="3" t="s">
        <v>35</v>
      </c>
      <c r="E98" s="2" t="s">
        <v>554</v>
      </c>
      <c r="F98" s="2"/>
      <c r="G98" s="5"/>
      <c r="H98" s="5">
        <v>46209</v>
      </c>
      <c r="I98" s="4" t="s">
        <v>17</v>
      </c>
      <c r="J98" s="6" t="str">
        <f t="shared" si="4"/>
        <v/>
      </c>
      <c r="K98" s="4" t="str">
        <f t="shared" ca="1" si="5"/>
        <v>No</v>
      </c>
      <c r="L98" s="7">
        <f>IF(I98="Completed","0",IF($H98="","",$H98-'[2]Read Me'!$B$4))</f>
        <v>22</v>
      </c>
      <c r="M98" s="4" t="str">
        <f>IF($I98="Complete","Green",IF($H98="","Amber",IF($H98&lt;'[2]Read Me'!$B$4,"Red",IF($H98-'[2]Read Me'!$B$4&lt;=21,"Amber","Green"))))</f>
        <v>Green</v>
      </c>
      <c r="N98" s="3"/>
      <c r="O98" t="str">
        <f>IF($I98&lt;&gt;"Complete",IF(COUNTIFS($A$4:$A97,$A98,$B$4:$B97,$B98,$I$4:$I97,"&lt;&gt;Complete")=0,$A98&amp;"|"&amp;$B98,""),"")</f>
        <v/>
      </c>
      <c r="P98" t="str">
        <f ca="1">IF($K98="Yes",COUNTIFS($K$4:$K98,"Yes"),"")</f>
        <v/>
      </c>
      <c r="Q98">
        <f t="shared" ca="1" si="6"/>
        <v>0</v>
      </c>
      <c r="R98" t="str">
        <f ca="1">IF($Q98=1,SUM($Q$4:$Q98),"")</f>
        <v/>
      </c>
    </row>
    <row r="99" spans="1:18" ht="33.75" customHeight="1" x14ac:dyDescent="0.3">
      <c r="A99" s="2" t="s">
        <v>552</v>
      </c>
      <c r="B99" s="2" t="s">
        <v>41</v>
      </c>
      <c r="C99" s="3" t="s">
        <v>558</v>
      </c>
      <c r="D99" s="3" t="s">
        <v>20</v>
      </c>
      <c r="E99" s="2" t="s">
        <v>184</v>
      </c>
      <c r="F99" s="2"/>
      <c r="G99" s="5">
        <v>46071</v>
      </c>
      <c r="H99" s="5">
        <v>46216</v>
      </c>
      <c r="I99" s="4" t="s">
        <v>17</v>
      </c>
      <c r="J99" s="6">
        <f t="shared" si="4"/>
        <v>145</v>
      </c>
      <c r="K99" s="4" t="str">
        <f t="shared" ca="1" si="5"/>
        <v>No</v>
      </c>
      <c r="L99" s="7">
        <f>IF(I99="Completed","0",IF($H99="","",$H99-'[2]Read Me'!$B$4))</f>
        <v>29</v>
      </c>
      <c r="M99" s="4" t="str">
        <f>IF($I99="Complete","Green",IF($H99="","Amber",IF($H99&lt;'[2]Read Me'!$B$4,"Red",IF($H99-'[2]Read Me'!$B$4&lt;=21,"Amber","Green"))))</f>
        <v>Green</v>
      </c>
      <c r="N99" s="3"/>
      <c r="O99" t="str">
        <f>IF($I99&lt;&gt;"Complete",IF(COUNTIFS($A$4:$A98,$A99,$B$4:$B98,$B99,$I$4:$I98,"&lt;&gt;Complete")=0,$A99&amp;"|"&amp;$B99,""),"")</f>
        <v/>
      </c>
      <c r="P99" t="str">
        <f ca="1">IF($K99="Yes",COUNTIFS($K$4:$K99,"Yes"),"")</f>
        <v/>
      </c>
      <c r="Q99">
        <f t="shared" ca="1" si="6"/>
        <v>0</v>
      </c>
      <c r="R99" t="str">
        <f ca="1">IF($Q99=1,SUM($Q$4:$Q99),"")</f>
        <v/>
      </c>
    </row>
    <row r="100" spans="1:18" ht="33.75" customHeight="1" x14ac:dyDescent="0.3">
      <c r="A100" s="2" t="s">
        <v>552</v>
      </c>
      <c r="B100" s="2" t="s">
        <v>41</v>
      </c>
      <c r="C100" s="3" t="s">
        <v>558</v>
      </c>
      <c r="D100" s="3" t="s">
        <v>16</v>
      </c>
      <c r="E100" s="2" t="s">
        <v>554</v>
      </c>
      <c r="F100" s="2" t="s">
        <v>79</v>
      </c>
      <c r="G100" s="5">
        <v>46089</v>
      </c>
      <c r="H100" s="5">
        <v>46226</v>
      </c>
      <c r="I100" s="4" t="s">
        <v>17</v>
      </c>
      <c r="J100" s="6">
        <f t="shared" si="4"/>
        <v>137</v>
      </c>
      <c r="K100" s="4" t="str">
        <f t="shared" ca="1" si="5"/>
        <v>No</v>
      </c>
      <c r="L100" s="7">
        <f>IF(I100="Completed","0",IF($H100="","",$H100-'[2]Read Me'!$B$4))</f>
        <v>39</v>
      </c>
      <c r="M100" s="4" t="str">
        <f>IF($I100="Complete","Green",IF($H100="","Amber",IF($H100&lt;'[2]Read Me'!$B$4,"Red",IF($H100-'[2]Read Me'!$B$4&lt;=21,"Amber","Green"))))</f>
        <v>Green</v>
      </c>
      <c r="N100" s="3"/>
      <c r="O100" t="str">
        <f>IF($I100&lt;&gt;"Complete",IF(COUNTIFS($A$4:$A99,$A100,$B$4:$B99,$B100,$I$4:$I99,"&lt;&gt;Complete")=0,$A100&amp;"|"&amp;$B100,""),"")</f>
        <v/>
      </c>
      <c r="P100" t="str">
        <f ca="1">IF($K100="Yes",COUNTIFS($K$4:$K100,"Yes"),"")</f>
        <v/>
      </c>
      <c r="Q100">
        <f t="shared" ca="1" si="6"/>
        <v>0</v>
      </c>
      <c r="R100" t="str">
        <f ca="1">IF($Q100=1,SUM($Q$4:$Q100),"")</f>
        <v/>
      </c>
    </row>
    <row r="101" spans="1:18" ht="33.75" customHeight="1" x14ac:dyDescent="0.3">
      <c r="A101" s="2" t="s">
        <v>552</v>
      </c>
      <c r="B101" s="2" t="s">
        <v>41</v>
      </c>
      <c r="C101" s="3" t="s">
        <v>558</v>
      </c>
      <c r="D101" s="3" t="s">
        <v>37</v>
      </c>
      <c r="E101" s="2" t="s">
        <v>554</v>
      </c>
      <c r="F101" s="2"/>
      <c r="G101" s="5">
        <v>46103</v>
      </c>
      <c r="H101" s="5">
        <v>46240</v>
      </c>
      <c r="I101" s="4" t="s">
        <v>17</v>
      </c>
      <c r="J101" s="6">
        <f t="shared" si="4"/>
        <v>137</v>
      </c>
      <c r="K101" s="4" t="str">
        <f t="shared" ca="1" si="5"/>
        <v>No</v>
      </c>
      <c r="L101" s="7">
        <f>IF(I101="Completed","0",IF($H101="","",$H101-'[2]Read Me'!$B$4))</f>
        <v>53</v>
      </c>
      <c r="M101" s="4" t="str">
        <f>IF($I101="Complete","Green",IF($H101="","Amber",IF($H101&lt;'[2]Read Me'!$B$4,"Red",IF($H101-'[2]Read Me'!$B$4&lt;=21,"Amber","Green"))))</f>
        <v>Green</v>
      </c>
      <c r="N101" s="3"/>
      <c r="O101" t="str">
        <f>IF($I101&lt;&gt;"Complete",IF(COUNTIFS($A$4:$A100,$A101,$B$4:$B100,$B101,$I$4:$I100,"&lt;&gt;Complete")=0,$A101&amp;"|"&amp;$B101,""),"")</f>
        <v/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/>
      <c r="B102" s="2"/>
      <c r="C102" s="3" t="s">
        <v>558</v>
      </c>
      <c r="D102" s="3" t="s">
        <v>560</v>
      </c>
      <c r="E102" s="2"/>
      <c r="F102" s="2" t="s">
        <v>79</v>
      </c>
      <c r="G102" s="5">
        <v>46131</v>
      </c>
      <c r="H102" s="5">
        <v>46268</v>
      </c>
      <c r="I102" s="4" t="s">
        <v>17</v>
      </c>
      <c r="J102" s="6">
        <f t="shared" si="4"/>
        <v>137</v>
      </c>
      <c r="K102" s="4" t="str">
        <f t="shared" ca="1" si="5"/>
        <v>No</v>
      </c>
      <c r="L102" s="7">
        <f>IF(I102="Completed","0",IF($H102="","",$H102-'[2]Read Me'!$B$4))</f>
        <v>81</v>
      </c>
      <c r="M102" s="4" t="str">
        <f>IF($I102="Complete","Green",IF($H102="","Amber",IF($H102&lt;'[2]Read Me'!$B$4,"Red",IF($H102-'[2]Read Me'!$B$4&lt;=21,"Amber","Green"))))</f>
        <v>Green</v>
      </c>
      <c r="N102" s="3"/>
      <c r="O102" t="str">
        <f>IF($I102&lt;&gt;"Complete",IF(COUNTIFS($A$4:$A101,$A102,$B$4:$B101,$B102,$I$4:$I101,"&lt;&gt;Complete")=0,$A102&amp;"|"&amp;$B102,""),"")</f>
        <v>|</v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/>
      <c r="B103" s="2"/>
      <c r="C103" s="3" t="s">
        <v>558</v>
      </c>
      <c r="D103" s="3" t="s">
        <v>144</v>
      </c>
      <c r="E103" s="2"/>
      <c r="F103" s="2"/>
      <c r="G103" s="5">
        <v>46215</v>
      </c>
      <c r="H103" s="5">
        <v>46352</v>
      </c>
      <c r="I103" s="4" t="s">
        <v>17</v>
      </c>
      <c r="J103" s="6">
        <f t="shared" si="4"/>
        <v>137</v>
      </c>
      <c r="K103" s="4" t="str">
        <f t="shared" ca="1" si="5"/>
        <v>No</v>
      </c>
      <c r="L103" s="7">
        <f>IF(I103="Completed","0",IF($H103="","",$H103-'[2]Read Me'!$B$4))</f>
        <v>165</v>
      </c>
      <c r="M103" s="4" t="str">
        <f>IF($I103="Complete","Green",IF($H103="","Amber",IF($H103&lt;'[2]Read Me'!$B$4,"Red",IF($H103-'[2]Read Me'!$B$4&lt;=21,"Amber","Green"))))</f>
        <v>Green</v>
      </c>
      <c r="N103" s="3"/>
      <c r="O103" t="str">
        <f>IF($I103&lt;&gt;"Complete",IF(COUNTIFS($A$4:$A102,$A103,$B$4:$B102,$B103,$I$4:$I102,"&lt;&gt;Complete")=0,$A103&amp;"|"&amp;$B103,""),"")</f>
        <v>|</v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 t="s">
        <v>552</v>
      </c>
      <c r="B104" s="2" t="s">
        <v>140</v>
      </c>
      <c r="C104" s="3"/>
      <c r="D104" s="3"/>
      <c r="E104" s="2"/>
      <c r="F104" s="2"/>
      <c r="G104" s="5">
        <v>45964</v>
      </c>
      <c r="H104" s="5">
        <v>46118</v>
      </c>
      <c r="I104" s="4"/>
      <c r="J104" s="6">
        <f t="shared" si="4"/>
        <v>154</v>
      </c>
      <c r="K104" s="4" t="str">
        <f t="shared" ca="1" si="5"/>
        <v/>
      </c>
      <c r="L104" s="7">
        <f>IF(I104="Completed","0",IF($H104="","",$H104-'[2]Read Me'!$B$4))</f>
        <v>-69</v>
      </c>
      <c r="M104" s="4" t="str">
        <f>IF($I104="Complete","Green",IF($H104="","Amber",IF($H104&lt;'[2]Read Me'!$B$4,"Red",IF($H104-'[2]Read Me'!$B$4&lt;=21,"Amber","Green"))))</f>
        <v>Red</v>
      </c>
      <c r="N104" s="3"/>
      <c r="O104" t="str">
        <f>IF($I104&lt;&gt;"Complete",IF(COUNTIFS($A$4:$A103,$A104,$B$4:$B103,$B104,$I$4:$I103,"&lt;&gt;Complete")=0,$A104&amp;"|"&amp;$B104,""),"")</f>
        <v>Ph - 1A|Masterplan</v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 t="s">
        <v>552</v>
      </c>
      <c r="B105" s="2" t="s">
        <v>140</v>
      </c>
      <c r="C105" s="3" t="s">
        <v>561</v>
      </c>
      <c r="D105" s="3" t="s">
        <v>97</v>
      </c>
      <c r="E105" s="2" t="s">
        <v>554</v>
      </c>
      <c r="F105" s="2" t="s">
        <v>79</v>
      </c>
      <c r="G105" s="5">
        <v>45606</v>
      </c>
      <c r="H105" s="5">
        <v>45606</v>
      </c>
      <c r="I105" s="4" t="s">
        <v>31</v>
      </c>
      <c r="J105" s="6">
        <f t="shared" si="4"/>
        <v>0</v>
      </c>
      <c r="K105" s="4" t="str">
        <f t="shared" ca="1" si="5"/>
        <v>-</v>
      </c>
      <c r="L105" s="7" t="str">
        <f>IF(I105="Completed","0",IF($H105="","",$H105-'[2]Read Me'!$B$4))</f>
        <v>0</v>
      </c>
      <c r="M105" s="4" t="str">
        <f>IF($I105="Complete","Green",IF($H105="","Amber",IF($H105&lt;'[2]Read Me'!$B$4,"Red",IF($H105-'[2]Read Me'!$B$4&lt;=21,"Amber","Green"))))</f>
        <v>Red</v>
      </c>
      <c r="N105" s="3"/>
      <c r="O105" t="str">
        <f>IF($I105&lt;&gt;"Complete",IF(COUNTIFS($A$4:$A104,$A105,$B$4:$B104,$B105,$I$4:$I104,"&lt;&gt;Complete")=0,$A105&amp;"|"&amp;$B105,""),"")</f>
        <v/>
      </c>
      <c r="P105" t="str">
        <f ca="1">IF($K105="Yes",COUNTIFS($K$4:$K105,"Yes"),"")</f>
        <v/>
      </c>
      <c r="Q105">
        <f t="shared" ca="1" si="6"/>
        <v>0</v>
      </c>
      <c r="R105" t="str">
        <f ca="1">IF($Q105=1,SUM($Q$4:$Q105),"")</f>
        <v/>
      </c>
    </row>
    <row r="106" spans="1:18" ht="22.5" customHeight="1" x14ac:dyDescent="0.3">
      <c r="A106" s="2" t="s">
        <v>552</v>
      </c>
      <c r="B106" s="2" t="s">
        <v>140</v>
      </c>
      <c r="C106" s="3" t="s">
        <v>561</v>
      </c>
      <c r="D106" s="3" t="s">
        <v>70</v>
      </c>
      <c r="E106" s="2" t="s">
        <v>554</v>
      </c>
      <c r="F106" s="2"/>
      <c r="G106" s="5">
        <v>45627</v>
      </c>
      <c r="H106" s="5">
        <v>45627</v>
      </c>
      <c r="I106" s="4" t="s">
        <v>31</v>
      </c>
      <c r="J106" s="6">
        <f t="shared" si="4"/>
        <v>0</v>
      </c>
      <c r="K106" s="4" t="str">
        <f t="shared" ca="1" si="5"/>
        <v>-</v>
      </c>
      <c r="L106" s="7" t="str">
        <f>IF(I106="Completed","0",IF($H106="","",$H106-'[2]Read Me'!$B$4))</f>
        <v>0</v>
      </c>
      <c r="M106" s="4" t="str">
        <f>IF($I106="Complete","Green",IF($H106="","Amber",IF($H106&lt;'[2]Read Me'!$B$4,"Red",IF($H106-'[2]Read Me'!$B$4&lt;=21,"Amber","Green"))))</f>
        <v>Red</v>
      </c>
      <c r="N106" s="3"/>
      <c r="O106" t="str">
        <f>IF($I106&lt;&gt;"Complete",IF(COUNTIFS($A$4:$A105,$A106,$B$4:$B105,$B106,$I$4:$I105,"&lt;&gt;Complete")=0,$A106&amp;"|"&amp;$B106,""),"")</f>
        <v/>
      </c>
      <c r="P106" t="str">
        <f ca="1">IF($K106="Yes",COUNTIFS($K$4:$K106,"Yes"),"")</f>
        <v/>
      </c>
      <c r="Q106">
        <f t="shared" ca="1" si="6"/>
        <v>0</v>
      </c>
      <c r="R106" t="str">
        <f ca="1">IF($Q106=1,SUM($Q$4:$Q106),"")</f>
        <v/>
      </c>
    </row>
    <row r="107" spans="1:18" ht="22.5" customHeight="1" x14ac:dyDescent="0.3">
      <c r="A107" s="2" t="s">
        <v>552</v>
      </c>
      <c r="B107" s="2" t="s">
        <v>140</v>
      </c>
      <c r="C107" s="3" t="s">
        <v>561</v>
      </c>
      <c r="D107" s="3" t="s">
        <v>562</v>
      </c>
      <c r="E107" s="2" t="s">
        <v>554</v>
      </c>
      <c r="F107" s="2" t="s">
        <v>79</v>
      </c>
      <c r="G107" s="5">
        <v>45641</v>
      </c>
      <c r="H107" s="5">
        <v>45641</v>
      </c>
      <c r="I107" s="4" t="s">
        <v>31</v>
      </c>
      <c r="J107" s="6">
        <f t="shared" si="4"/>
        <v>0</v>
      </c>
      <c r="K107" s="4" t="str">
        <f t="shared" ca="1" si="5"/>
        <v>-</v>
      </c>
      <c r="L107" s="7" t="str">
        <f>IF(I107="Completed","0",IF($H107="","",$H107-'[2]Read Me'!$B$4))</f>
        <v>0</v>
      </c>
      <c r="M107" s="4" t="str">
        <f>IF($I107="Complete","Green",IF($H107="","Amber",IF($H107&lt;'[2]Read Me'!$B$4,"Red",IF($H107-'[2]Read Me'!$B$4&lt;=21,"Amber","Green"))))</f>
        <v>Red</v>
      </c>
      <c r="N107" s="3"/>
      <c r="O107" t="str">
        <f>IF($I107&lt;&gt;"Complete",IF(COUNTIFS($A$4:$A106,$A107,$B$4:$B106,$B107,$I$4:$I106,"&lt;&gt;Complete")=0,$A107&amp;"|"&amp;$B107,""),"")</f>
        <v/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 t="s">
        <v>552</v>
      </c>
      <c r="B108" s="2" t="s">
        <v>140</v>
      </c>
      <c r="C108" s="3" t="s">
        <v>561</v>
      </c>
      <c r="D108" s="3" t="s">
        <v>47</v>
      </c>
      <c r="E108" s="2" t="s">
        <v>554</v>
      </c>
      <c r="F108" s="2"/>
      <c r="G108" s="5">
        <v>45655</v>
      </c>
      <c r="H108" s="5">
        <v>45655</v>
      </c>
      <c r="I108" s="4" t="s">
        <v>31</v>
      </c>
      <c r="J108" s="6">
        <f t="shared" si="4"/>
        <v>0</v>
      </c>
      <c r="K108" s="4" t="str">
        <f t="shared" ca="1" si="5"/>
        <v>-</v>
      </c>
      <c r="L108" s="7" t="str">
        <f>IF(I108="Completed","0",IF($H108="","",$H108-'[2]Read Me'!$B$4))</f>
        <v>0</v>
      </c>
      <c r="M108" s="4" t="str">
        <f>IF($I108="Complete","Green",IF($H108="","Amber",IF($H108&lt;'[2]Read Me'!$B$4,"Red",IF($H108-'[2]Read Me'!$B$4&lt;=21,"Amber","Green"))))</f>
        <v>Red</v>
      </c>
      <c r="N108" s="3"/>
      <c r="O108" t="str">
        <f>IF($I108&lt;&gt;"Complete",IF(COUNTIFS($A$4:$A107,$A108,$B$4:$B107,$B108,$I$4:$I107,"&lt;&gt;Complete")=0,$A108&amp;"|"&amp;$B108,""),"")</f>
        <v/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 t="s">
        <v>552</v>
      </c>
      <c r="B109" s="2" t="s">
        <v>140</v>
      </c>
      <c r="C109" s="3" t="s">
        <v>561</v>
      </c>
      <c r="D109" s="3" t="s">
        <v>563</v>
      </c>
      <c r="E109" s="2" t="s">
        <v>554</v>
      </c>
      <c r="F109" s="2" t="s">
        <v>79</v>
      </c>
      <c r="G109" s="5">
        <v>45669</v>
      </c>
      <c r="H109" s="5">
        <v>45669</v>
      </c>
      <c r="I109" s="4" t="s">
        <v>31</v>
      </c>
      <c r="J109" s="6">
        <f t="shared" si="4"/>
        <v>0</v>
      </c>
      <c r="K109" s="4" t="str">
        <f t="shared" ca="1" si="5"/>
        <v>-</v>
      </c>
      <c r="L109" s="7" t="str">
        <f>IF(I109="Completed","0",IF($H109="","",$H109-'[2]Read Me'!$B$4))</f>
        <v>0</v>
      </c>
      <c r="M109" s="4" t="str">
        <f>IF($I109="Complete","Green",IF($H109="","Amber",IF($H109&lt;'[2]Read Me'!$B$4,"Red",IF($H109-'[2]Read Me'!$B$4&lt;=21,"Amber","Green"))))</f>
        <v>Red</v>
      </c>
      <c r="N109" s="3"/>
      <c r="O109" t="str">
        <f>IF($I109&lt;&gt;"Complete",IF(COUNTIFS($A$4:$A108,$A109,$B$4:$B108,$B109,$I$4:$I108,"&lt;&gt;Complete")=0,$A109&amp;"|"&amp;$B109,""),"")</f>
        <v/>
      </c>
      <c r="P109" t="str">
        <f ca="1">IF($K109="Yes",COUNTIFS($K$4:$K109,"Yes"),"")</f>
        <v/>
      </c>
      <c r="Q109">
        <f t="shared" ca="1" si="6"/>
        <v>0</v>
      </c>
      <c r="R109" t="str">
        <f ca="1">IF($Q109=1,SUM($Q$4:$Q109),"")</f>
        <v/>
      </c>
    </row>
    <row r="110" spans="1:18" ht="22.5" customHeight="1" x14ac:dyDescent="0.3">
      <c r="A110" s="2" t="s">
        <v>552</v>
      </c>
      <c r="B110" s="2" t="s">
        <v>140</v>
      </c>
      <c r="C110" s="3" t="s">
        <v>561</v>
      </c>
      <c r="D110" s="3" t="s">
        <v>32</v>
      </c>
      <c r="E110" s="2" t="s">
        <v>554</v>
      </c>
      <c r="F110" s="2"/>
      <c r="G110" s="5">
        <v>45683</v>
      </c>
      <c r="H110" s="5">
        <v>45683</v>
      </c>
      <c r="I110" s="4" t="s">
        <v>31</v>
      </c>
      <c r="J110" s="6">
        <f t="shared" si="4"/>
        <v>0</v>
      </c>
      <c r="K110" s="4" t="str">
        <f t="shared" ca="1" si="5"/>
        <v>-</v>
      </c>
      <c r="L110" s="7" t="str">
        <f>IF(I110="Completed","0",IF($H110="","",$H110-'[2]Read Me'!$B$4))</f>
        <v>0</v>
      </c>
      <c r="M110" s="4" t="str">
        <f>IF($I110="Complete","Green",IF($H110="","Amber",IF($H110&lt;'[2]Read Me'!$B$4,"Red",IF($H110-'[2]Read Me'!$B$4&lt;=21,"Amber","Green"))))</f>
        <v>Red</v>
      </c>
      <c r="N110" s="3"/>
      <c r="O110" t="str">
        <f>IF($I110&lt;&gt;"Complete",IF(COUNTIFS($A$4:$A109,$A110,$B$4:$B109,$B110,$I$4:$I109,"&lt;&gt;Complete")=0,$A110&amp;"|"&amp;$B110,""),"")</f>
        <v/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 t="s">
        <v>552</v>
      </c>
      <c r="B111" s="2" t="s">
        <v>140</v>
      </c>
      <c r="C111" s="3" t="s">
        <v>561</v>
      </c>
      <c r="D111" s="3" t="s">
        <v>14</v>
      </c>
      <c r="E111" s="2" t="s">
        <v>554</v>
      </c>
      <c r="F111" s="2" t="s">
        <v>79</v>
      </c>
      <c r="G111" s="5">
        <v>45732</v>
      </c>
      <c r="H111" s="5">
        <v>45732</v>
      </c>
      <c r="I111" s="4" t="s">
        <v>31</v>
      </c>
      <c r="J111" s="6">
        <f t="shared" si="4"/>
        <v>0</v>
      </c>
      <c r="K111" s="4" t="str">
        <f t="shared" ca="1" si="5"/>
        <v>-</v>
      </c>
      <c r="L111" s="7" t="str">
        <f>IF(I111="Completed","0",IF($H111="","",$H111-'[2]Read Me'!$B$4))</f>
        <v>0</v>
      </c>
      <c r="M111" s="4" t="str">
        <f>IF($I111="Complete","Green",IF($H111="","Amber",IF($H111&lt;'[2]Read Me'!$B$4,"Red",IF($H111-'[2]Read Me'!$B$4&lt;=21,"Amber","Green"))))</f>
        <v>Red</v>
      </c>
      <c r="N111" s="3"/>
      <c r="O111" t="str">
        <f>IF($I111&lt;&gt;"Complete",IF(COUNTIFS($A$4:$A110,$A111,$B$4:$B110,$B111,$I$4:$I110,"&lt;&gt;Complete")=0,$A111&amp;"|"&amp;$B111,""),"")</f>
        <v/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 t="s">
        <v>552</v>
      </c>
      <c r="B112" s="2" t="s">
        <v>140</v>
      </c>
      <c r="C112" s="3" t="s">
        <v>561</v>
      </c>
      <c r="D112" s="3" t="s">
        <v>34</v>
      </c>
      <c r="E112" s="2" t="s">
        <v>554</v>
      </c>
      <c r="F112" s="2"/>
      <c r="G112" s="5">
        <v>45746</v>
      </c>
      <c r="H112" s="5">
        <v>45746</v>
      </c>
      <c r="I112" s="4" t="s">
        <v>31</v>
      </c>
      <c r="J112" s="6">
        <f t="shared" si="4"/>
        <v>0</v>
      </c>
      <c r="K112" s="4" t="str">
        <f t="shared" ca="1" si="5"/>
        <v>-</v>
      </c>
      <c r="L112" s="7" t="str">
        <f>IF(I112="Completed","0",IF($H112="","",$H112-'[2]Read Me'!$B$4))</f>
        <v>0</v>
      </c>
      <c r="M112" s="4" t="str">
        <f>IF($I112="Complete","Green",IF($H112="","Amber",IF($H112&lt;'[2]Read Me'!$B$4,"Red",IF($H112-'[2]Read Me'!$B$4&lt;=21,"Amber","Green"))))</f>
        <v>Red</v>
      </c>
      <c r="N112" s="3"/>
      <c r="O112" t="str">
        <f>IF($I112&lt;&gt;"Complete",IF(COUNTIFS($A$4:$A111,$A112,$B$4:$B111,$B112,$I$4:$I111,"&lt;&gt;Complete")=0,$A112&amp;"|"&amp;$B112,""),"")</f>
        <v/>
      </c>
      <c r="P112" t="str">
        <f ca="1">IF($K112="Yes",COUNTIFS($K$4:$K112,"Yes"),"")</f>
        <v/>
      </c>
      <c r="Q112">
        <f t="shared" ca="1" si="6"/>
        <v>0</v>
      </c>
      <c r="R112" t="str">
        <f ca="1">IF($Q112=1,SUM($Q$4:$Q112),"")</f>
        <v/>
      </c>
    </row>
    <row r="113" spans="1:18" ht="22.5" customHeight="1" x14ac:dyDescent="0.3">
      <c r="A113" s="2" t="s">
        <v>552</v>
      </c>
      <c r="B113" s="2" t="s">
        <v>140</v>
      </c>
      <c r="C113" s="3" t="s">
        <v>561</v>
      </c>
      <c r="D113" s="3" t="s">
        <v>15</v>
      </c>
      <c r="E113" s="2" t="s">
        <v>554</v>
      </c>
      <c r="F113" s="2" t="s">
        <v>79</v>
      </c>
      <c r="G113" s="5">
        <v>45802</v>
      </c>
      <c r="H113" s="5">
        <v>45802</v>
      </c>
      <c r="I113" s="4" t="s">
        <v>31</v>
      </c>
      <c r="J113" s="6">
        <f t="shared" si="4"/>
        <v>0</v>
      </c>
      <c r="K113" s="4" t="str">
        <f t="shared" ca="1" si="5"/>
        <v>-</v>
      </c>
      <c r="L113" s="7" t="str">
        <f>IF(I113="Completed","0",IF($H113="","",$H113-'[2]Read Me'!$B$4))</f>
        <v>0</v>
      </c>
      <c r="M113" s="4" t="str">
        <f>IF($I113="Complete","Green",IF($H113="","Amber",IF($H113&lt;'[2]Read Me'!$B$4,"Red",IF($H113-'[2]Read Me'!$B$4&lt;=21,"Amber","Green"))))</f>
        <v>Red</v>
      </c>
      <c r="N113" s="3"/>
      <c r="O113" t="str">
        <f>IF($I113&lt;&gt;"Complete",IF(COUNTIFS($A$4:$A112,$A113,$B$4:$B112,$B113,$I$4:$I112,"&lt;&gt;Complete")=0,$A113&amp;"|"&amp;$B113,""),"")</f>
        <v/>
      </c>
      <c r="P113" t="str">
        <f ca="1">IF($K113="Yes",COUNTIFS($K$4:$K113,"Yes"),"")</f>
        <v/>
      </c>
      <c r="Q113">
        <f t="shared" ca="1" si="6"/>
        <v>0</v>
      </c>
      <c r="R113" t="str">
        <f ca="1">IF($Q113=1,SUM($Q$4:$Q113),"")</f>
        <v/>
      </c>
    </row>
    <row r="114" spans="1:18" ht="22.5" customHeight="1" x14ac:dyDescent="0.3">
      <c r="A114" s="2" t="s">
        <v>552</v>
      </c>
      <c r="B114" s="2" t="s">
        <v>140</v>
      </c>
      <c r="C114" s="3" t="s">
        <v>561</v>
      </c>
      <c r="D114" s="3" t="s">
        <v>35</v>
      </c>
      <c r="E114" s="2" t="s">
        <v>554</v>
      </c>
      <c r="F114" s="2"/>
      <c r="G114" s="5">
        <v>45816</v>
      </c>
      <c r="H114" s="5">
        <v>45816</v>
      </c>
      <c r="I114" s="4" t="s">
        <v>31</v>
      </c>
      <c r="J114" s="6">
        <f t="shared" si="4"/>
        <v>0</v>
      </c>
      <c r="K114" s="4" t="str">
        <f t="shared" ca="1" si="5"/>
        <v>-</v>
      </c>
      <c r="L114" s="7" t="str">
        <f>IF(I114="Completed","0",IF($H114="","",$H114-'[2]Read Me'!$B$4))</f>
        <v>0</v>
      </c>
      <c r="M114" s="4" t="str">
        <f>IF($I114="Complete","Green",IF($H114="","Amber",IF($H114&lt;'[2]Read Me'!$B$4,"Red",IF($H114-'[2]Read Me'!$B$4&lt;=21,"Amber","Green"))))</f>
        <v>Red</v>
      </c>
      <c r="N114" s="3"/>
      <c r="O114" t="str">
        <f>IF($I114&lt;&gt;"Complete",IF(COUNTIFS($A$4:$A113,$A114,$B$4:$B113,$B114,$I$4:$I113,"&lt;&gt;Complete")=0,$A114&amp;"|"&amp;$B114,""),"")</f>
        <v/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 t="s">
        <v>552</v>
      </c>
      <c r="B115" s="2" t="s">
        <v>140</v>
      </c>
      <c r="C115" s="3" t="s">
        <v>561</v>
      </c>
      <c r="D115" s="3" t="s">
        <v>564</v>
      </c>
      <c r="E115" s="2" t="s">
        <v>554</v>
      </c>
      <c r="F115" s="2" t="s">
        <v>79</v>
      </c>
      <c r="G115" s="5">
        <v>45830</v>
      </c>
      <c r="H115" s="5">
        <v>45830</v>
      </c>
      <c r="I115" s="4" t="s">
        <v>31</v>
      </c>
      <c r="J115" s="6">
        <f t="shared" si="4"/>
        <v>0</v>
      </c>
      <c r="K115" s="4" t="str">
        <f t="shared" ca="1" si="5"/>
        <v>-</v>
      </c>
      <c r="L115" s="7" t="str">
        <f>IF(I115="Completed","0",IF($H115="","",$H115-'[2]Read Me'!$B$4))</f>
        <v>0</v>
      </c>
      <c r="M115" s="4" t="str">
        <f>IF($I115="Complete","Green",IF($H115="","Amber",IF($H115&lt;'[2]Read Me'!$B$4,"Red",IF($H115-'[2]Read Me'!$B$4&lt;=21,"Amber","Green"))))</f>
        <v>Red</v>
      </c>
      <c r="N115" s="3"/>
      <c r="O115" t="str">
        <f>IF($I115&lt;&gt;"Complete",IF(COUNTIFS($A$4:$A114,$A115,$B$4:$B114,$B115,$I$4:$I114,"&lt;&gt;Complete")=0,$A115&amp;"|"&amp;$B115,""),"")</f>
        <v/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 t="s">
        <v>552</v>
      </c>
      <c r="B116" s="2" t="s">
        <v>140</v>
      </c>
      <c r="C116" s="3" t="s">
        <v>561</v>
      </c>
      <c r="D116" s="3" t="s">
        <v>16</v>
      </c>
      <c r="E116" s="2" t="s">
        <v>554</v>
      </c>
      <c r="F116" s="2" t="s">
        <v>79</v>
      </c>
      <c r="G116" s="5">
        <v>45936</v>
      </c>
      <c r="H116" s="5">
        <v>46099</v>
      </c>
      <c r="I116" s="4" t="s">
        <v>31</v>
      </c>
      <c r="J116" s="6">
        <f t="shared" si="4"/>
        <v>163</v>
      </c>
      <c r="K116" s="4" t="str">
        <f t="shared" ca="1" si="5"/>
        <v>-</v>
      </c>
      <c r="L116" s="7" t="str">
        <f>IF(I116="Completed","0",IF($H116="","",$H116-'[2]Read Me'!$B$4))</f>
        <v>0</v>
      </c>
      <c r="M116" s="4" t="str">
        <f>IF($I116="Complete","Green",IF($H116="","Amber",IF($H116&lt;'[2]Read Me'!$B$4,"Red",IF($H116-'[2]Read Me'!$B$4&lt;=21,"Amber","Green"))))</f>
        <v>Red</v>
      </c>
      <c r="N116" s="3"/>
      <c r="O116" t="str">
        <f>IF($I116&lt;&gt;"Complete",IF(COUNTIFS($A$4:$A115,$A116,$B$4:$B115,$B116,$I$4:$I115,"&lt;&gt;Complete")=0,$A116&amp;"|"&amp;$B116,""),"")</f>
        <v/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 t="s">
        <v>552</v>
      </c>
      <c r="B117" s="2" t="s">
        <v>140</v>
      </c>
      <c r="C117" s="3" t="s">
        <v>561</v>
      </c>
      <c r="D117" s="3" t="s">
        <v>37</v>
      </c>
      <c r="E117" s="2" t="s">
        <v>554</v>
      </c>
      <c r="F117" s="2"/>
      <c r="G117" s="5">
        <v>45950</v>
      </c>
      <c r="H117" s="5">
        <v>46117</v>
      </c>
      <c r="I117" s="4" t="s">
        <v>31</v>
      </c>
      <c r="J117" s="6">
        <f t="shared" si="4"/>
        <v>167</v>
      </c>
      <c r="K117" s="4" t="str">
        <f t="shared" ca="1" si="5"/>
        <v>-</v>
      </c>
      <c r="L117" s="7" t="str">
        <f>IF(I117="Completed","0",IF($H117="","",$H117-'[2]Read Me'!$B$4))</f>
        <v>0</v>
      </c>
      <c r="M117" s="4" t="str">
        <f>IF($I117="Complete","Green",IF($H117="","Amber",IF($H117&lt;'[2]Read Me'!$B$4,"Red",IF($H117-'[2]Read Me'!$B$4&lt;=21,"Amber","Green"))))</f>
        <v>Red</v>
      </c>
      <c r="N117" s="3"/>
      <c r="O117" t="str">
        <f>IF($I117&lt;&gt;"Complete",IF(COUNTIFS($A$4:$A116,$A117,$B$4:$B116,$B117,$I$4:$I116,"&lt;&gt;Complete")=0,$A117&amp;"|"&amp;$B117,""),"")</f>
        <v/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 t="s">
        <v>552</v>
      </c>
      <c r="B118" s="2" t="s">
        <v>140</v>
      </c>
      <c r="C118" s="3" t="s">
        <v>561</v>
      </c>
      <c r="D118" s="3" t="s">
        <v>387</v>
      </c>
      <c r="E118" s="2" t="s">
        <v>554</v>
      </c>
      <c r="F118" s="2"/>
      <c r="G118" s="5">
        <v>45964</v>
      </c>
      <c r="H118" s="5">
        <v>46118</v>
      </c>
      <c r="I118" s="4" t="s">
        <v>31</v>
      </c>
      <c r="J118" s="6">
        <f t="shared" si="4"/>
        <v>154</v>
      </c>
      <c r="K118" s="4" t="str">
        <f t="shared" ca="1" si="5"/>
        <v>-</v>
      </c>
      <c r="L118" s="7" t="str">
        <f>IF(I118="Completed","0",IF($H118="","",$H118-'[2]Read Me'!$B$4))</f>
        <v>0</v>
      </c>
      <c r="M118" s="4" t="str">
        <f>IF($I118="Complete","Green",IF($H118="","Amber",IF($H118&lt;'[2]Read Me'!$B$4,"Red",IF($H118-'[2]Read Me'!$B$4&lt;=21,"Amber","Green"))))</f>
        <v>Red</v>
      </c>
      <c r="N118" s="3"/>
      <c r="O118" t="str">
        <f>IF($I118&lt;&gt;"Complete",IF(COUNTIFS($A$4:$A117,$A118,$B$4:$B117,$B118,$I$4:$I117,"&lt;&gt;Complete")=0,$A118&amp;"|"&amp;$B118,""),"")</f>
        <v/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 t="s">
        <v>552</v>
      </c>
      <c r="B119" s="2" t="s">
        <v>171</v>
      </c>
      <c r="C119" s="3"/>
      <c r="D119" s="3"/>
      <c r="E119" s="2"/>
      <c r="F119" s="2"/>
      <c r="G119" s="5">
        <v>46069</v>
      </c>
      <c r="H119" s="5">
        <v>46223</v>
      </c>
      <c r="I119" s="4"/>
      <c r="J119" s="6">
        <f t="shared" si="4"/>
        <v>154</v>
      </c>
      <c r="K119" s="4" t="str">
        <f t="shared" ca="1" si="5"/>
        <v/>
      </c>
      <c r="L119" s="7">
        <f>IF(I119="Completed","0",IF($H119="","",$H119-'[2]Read Me'!$B$4))</f>
        <v>36</v>
      </c>
      <c r="M119" s="4" t="str">
        <f>IF($I119="Complete","Green",IF($H119="","Amber",IF($H119&lt;'[2]Read Me'!$B$4,"Red",IF($H119-'[2]Read Me'!$B$4&lt;=21,"Amber","Green"))))</f>
        <v>Green</v>
      </c>
      <c r="N119" s="3"/>
      <c r="O119" t="str">
        <f>IF($I119&lt;&gt;"Complete",IF(COUNTIFS($A$4:$A118,$A119,$B$4:$B118,$B119,$I$4:$I118,"&lt;&gt;Complete")=0,$A119&amp;"|"&amp;$B119,""),"")</f>
        <v>Ph - 1A|Infrastructure</v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 t="s">
        <v>552</v>
      </c>
      <c r="B120" s="2" t="s">
        <v>171</v>
      </c>
      <c r="C120" s="3" t="s">
        <v>565</v>
      </c>
      <c r="D120" s="3" t="s">
        <v>97</v>
      </c>
      <c r="E120" s="2" t="s">
        <v>554</v>
      </c>
      <c r="F120" s="2" t="s">
        <v>79</v>
      </c>
      <c r="G120" s="5">
        <v>45606</v>
      </c>
      <c r="H120" s="5">
        <v>45606</v>
      </c>
      <c r="I120" s="4" t="s">
        <v>31</v>
      </c>
      <c r="J120" s="6">
        <f t="shared" si="4"/>
        <v>0</v>
      </c>
      <c r="K120" s="4" t="str">
        <f t="shared" ca="1" si="5"/>
        <v>-</v>
      </c>
      <c r="L120" s="7" t="str">
        <f>IF(I120="Completed","0",IF($H120="","",$H120-'[2]Read Me'!$B$4))</f>
        <v>0</v>
      </c>
      <c r="M120" s="4" t="str">
        <f>IF($I120="Complete","Green",IF($H120="","Amber",IF($H120&lt;'[2]Read Me'!$B$4,"Red",IF($H120-'[2]Read Me'!$B$4&lt;=21,"Amber","Green"))))</f>
        <v>Red</v>
      </c>
      <c r="N120" s="3"/>
      <c r="O120" t="str">
        <f>IF($I120&lt;&gt;"Complete",IF(COUNTIFS($A$4:$A119,$A120,$B$4:$B119,$B120,$I$4:$I119,"&lt;&gt;Complete")=0,$A120&amp;"|"&amp;$B120,""),"")</f>
        <v/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 t="s">
        <v>552</v>
      </c>
      <c r="B121" s="2" t="s">
        <v>171</v>
      </c>
      <c r="C121" s="3" t="s">
        <v>565</v>
      </c>
      <c r="D121" s="3" t="s">
        <v>70</v>
      </c>
      <c r="E121" s="2" t="s">
        <v>554</v>
      </c>
      <c r="F121" s="2"/>
      <c r="G121" s="5">
        <v>45627</v>
      </c>
      <c r="H121" s="5">
        <v>45627</v>
      </c>
      <c r="I121" s="4" t="s">
        <v>31</v>
      </c>
      <c r="J121" s="6">
        <f t="shared" si="4"/>
        <v>0</v>
      </c>
      <c r="K121" s="4" t="str">
        <f t="shared" ca="1" si="5"/>
        <v>-</v>
      </c>
      <c r="L121" s="7" t="str">
        <f>IF(I121="Completed","0",IF($H121="","",$H121-'[2]Read Me'!$B$4))</f>
        <v>0</v>
      </c>
      <c r="M121" s="4" t="str">
        <f>IF($I121="Complete","Green",IF($H121="","Amber",IF($H121&lt;'[2]Read Me'!$B$4,"Red",IF($H121-'[2]Read Me'!$B$4&lt;=21,"Amber","Green"))))</f>
        <v>Red</v>
      </c>
      <c r="N121" s="3"/>
      <c r="O121" t="str">
        <f>IF($I121&lt;&gt;"Complete",IF(COUNTIFS($A$4:$A120,$A121,$B$4:$B120,$B121,$I$4:$I120,"&lt;&gt;Complete")=0,$A121&amp;"|"&amp;$B121,""),"")</f>
        <v/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 t="s">
        <v>552</v>
      </c>
      <c r="B122" s="2" t="s">
        <v>171</v>
      </c>
      <c r="C122" s="3" t="s">
        <v>565</v>
      </c>
      <c r="D122" s="3" t="s">
        <v>562</v>
      </c>
      <c r="E122" s="2" t="s">
        <v>554</v>
      </c>
      <c r="F122" s="2" t="s">
        <v>79</v>
      </c>
      <c r="G122" s="5">
        <v>45641</v>
      </c>
      <c r="H122" s="5">
        <v>45641</v>
      </c>
      <c r="I122" s="4" t="s">
        <v>31</v>
      </c>
      <c r="J122" s="6">
        <f t="shared" si="4"/>
        <v>0</v>
      </c>
      <c r="K122" s="4" t="str">
        <f t="shared" ca="1" si="5"/>
        <v>-</v>
      </c>
      <c r="L122" s="7" t="str">
        <f>IF(I122="Completed","0",IF($H122="","",$H122-'[2]Read Me'!$B$4))</f>
        <v>0</v>
      </c>
      <c r="M122" s="4" t="str">
        <f>IF($I122="Complete","Green",IF($H122="","Amber",IF($H122&lt;'[2]Read Me'!$B$4,"Red",IF($H122-'[2]Read Me'!$B$4&lt;=21,"Amber","Green"))))</f>
        <v>Red</v>
      </c>
      <c r="N122" s="3"/>
      <c r="O122" t="str">
        <f>IF($I122&lt;&gt;"Complete",IF(COUNTIFS($A$4:$A121,$A122,$B$4:$B121,$B122,$I$4:$I121,"&lt;&gt;Complete")=0,$A122&amp;"|"&amp;$B122,""),"")</f>
        <v/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 t="s">
        <v>552</v>
      </c>
      <c r="B123" s="2" t="s">
        <v>171</v>
      </c>
      <c r="C123" s="3" t="s">
        <v>565</v>
      </c>
      <c r="D123" s="3" t="s">
        <v>47</v>
      </c>
      <c r="E123" s="2" t="s">
        <v>554</v>
      </c>
      <c r="F123" s="2"/>
      <c r="G123" s="5">
        <v>45655</v>
      </c>
      <c r="H123" s="5">
        <v>45655</v>
      </c>
      <c r="I123" s="4" t="s">
        <v>31</v>
      </c>
      <c r="J123" s="6">
        <f t="shared" si="4"/>
        <v>0</v>
      </c>
      <c r="K123" s="4" t="str">
        <f t="shared" ca="1" si="5"/>
        <v>-</v>
      </c>
      <c r="L123" s="7" t="str">
        <f>IF(I123="Completed","0",IF($H123="","",$H123-'[2]Read Me'!$B$4))</f>
        <v>0</v>
      </c>
      <c r="M123" s="4" t="str">
        <f>IF($I123="Complete","Green",IF($H123="","Amber",IF($H123&lt;'[2]Read Me'!$B$4,"Red",IF($H123-'[2]Read Me'!$B$4&lt;=21,"Amber","Green"))))</f>
        <v>Red</v>
      </c>
      <c r="N123" s="3"/>
      <c r="O123" t="str">
        <f>IF($I123&lt;&gt;"Complete",IF(COUNTIFS($A$4:$A122,$A123,$B$4:$B122,$B123,$I$4:$I122,"&lt;&gt;Complete")=0,$A123&amp;"|"&amp;$B123,""),"")</f>
        <v/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 t="s">
        <v>552</v>
      </c>
      <c r="B124" s="2" t="s">
        <v>171</v>
      </c>
      <c r="C124" s="3" t="s">
        <v>565</v>
      </c>
      <c r="D124" s="3" t="s">
        <v>563</v>
      </c>
      <c r="E124" s="2" t="s">
        <v>554</v>
      </c>
      <c r="F124" s="2" t="s">
        <v>79</v>
      </c>
      <c r="G124" s="5">
        <v>45669</v>
      </c>
      <c r="H124" s="5">
        <v>45669</v>
      </c>
      <c r="I124" s="4" t="s">
        <v>31</v>
      </c>
      <c r="J124" s="6">
        <f t="shared" si="4"/>
        <v>0</v>
      </c>
      <c r="K124" s="4" t="str">
        <f t="shared" ca="1" si="5"/>
        <v>-</v>
      </c>
      <c r="L124" s="7" t="str">
        <f>IF(I124="Completed","0",IF($H124="","",$H124-'[2]Read Me'!$B$4))</f>
        <v>0</v>
      </c>
      <c r="M124" s="4" t="str">
        <f>IF($I124="Complete","Green",IF($H124="","Amber",IF($H124&lt;'[2]Read Me'!$B$4,"Red",IF($H124-'[2]Read Me'!$B$4&lt;=21,"Amber","Green"))))</f>
        <v>Red</v>
      </c>
      <c r="N124" s="3"/>
      <c r="O124" t="str">
        <f>IF($I124&lt;&gt;"Complete",IF(COUNTIFS($A$4:$A123,$A124,$B$4:$B123,$B124,$I$4:$I123,"&lt;&gt;Complete")=0,$A124&amp;"|"&amp;$B124,""),"")</f>
        <v/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 t="s">
        <v>552</v>
      </c>
      <c r="B125" s="2" t="s">
        <v>171</v>
      </c>
      <c r="C125" s="3" t="s">
        <v>565</v>
      </c>
      <c r="D125" s="3" t="s">
        <v>32</v>
      </c>
      <c r="E125" s="2" t="s">
        <v>554</v>
      </c>
      <c r="F125" s="2"/>
      <c r="G125" s="5">
        <v>45683</v>
      </c>
      <c r="H125" s="5">
        <v>45683</v>
      </c>
      <c r="I125" s="4" t="s">
        <v>31</v>
      </c>
      <c r="J125" s="6">
        <f t="shared" si="4"/>
        <v>0</v>
      </c>
      <c r="K125" s="4" t="str">
        <f t="shared" ca="1" si="5"/>
        <v>-</v>
      </c>
      <c r="L125" s="7" t="str">
        <f>IF(I125="Completed","0",IF($H125="","",$H125-'[2]Read Me'!$B$4))</f>
        <v>0</v>
      </c>
      <c r="M125" s="4" t="str">
        <f>IF($I125="Complete","Green",IF($H125="","Amber",IF($H125&lt;'[2]Read Me'!$B$4,"Red",IF($H125-'[2]Read Me'!$B$4&lt;=21,"Amber","Green"))))</f>
        <v>Red</v>
      </c>
      <c r="N125" s="3"/>
      <c r="O125" t="str">
        <f>IF($I125&lt;&gt;"Complete",IF(COUNTIFS($A$4:$A124,$A125,$B$4:$B124,$B125,$I$4:$I124,"&lt;&gt;Complete")=0,$A125&amp;"|"&amp;$B125,""),"")</f>
        <v/>
      </c>
      <c r="P125" t="str">
        <f ca="1">IF($K125="Yes",COUNTIFS($K$4:$K125,"Yes"),"")</f>
        <v/>
      </c>
      <c r="Q125">
        <f t="shared" ca="1" si="6"/>
        <v>0</v>
      </c>
      <c r="R125" t="str">
        <f ca="1">IF($Q125=1,SUM($Q$4:$Q125),"")</f>
        <v/>
      </c>
    </row>
    <row r="126" spans="1:18" ht="22.5" customHeight="1" x14ac:dyDescent="0.3">
      <c r="A126" s="2" t="s">
        <v>552</v>
      </c>
      <c r="B126" s="2" t="s">
        <v>171</v>
      </c>
      <c r="C126" s="3" t="s">
        <v>565</v>
      </c>
      <c r="D126" s="3" t="s">
        <v>14</v>
      </c>
      <c r="E126" s="2" t="s">
        <v>554</v>
      </c>
      <c r="F126" s="2" t="s">
        <v>79</v>
      </c>
      <c r="G126" s="5">
        <v>45732</v>
      </c>
      <c r="H126" s="5">
        <v>45732</v>
      </c>
      <c r="I126" s="4" t="s">
        <v>31</v>
      </c>
      <c r="J126" s="6">
        <f t="shared" si="4"/>
        <v>0</v>
      </c>
      <c r="K126" s="4" t="str">
        <f t="shared" ca="1" si="5"/>
        <v>-</v>
      </c>
      <c r="L126" s="7" t="str">
        <f>IF(I126="Completed","0",IF($H126="","",$H126-'[2]Read Me'!$B$4))</f>
        <v>0</v>
      </c>
      <c r="M126" s="4" t="str">
        <f>IF($I126="Complete","Green",IF($H126="","Amber",IF($H126&lt;'[2]Read Me'!$B$4,"Red",IF($H126-'[2]Read Me'!$B$4&lt;=21,"Amber","Green"))))</f>
        <v>Red</v>
      </c>
      <c r="N126" s="3"/>
      <c r="O126" t="str">
        <f>IF($I126&lt;&gt;"Complete",IF(COUNTIFS($A$4:$A125,$A126,$B$4:$B125,$B126,$I$4:$I125,"&lt;&gt;Complete")=0,$A126&amp;"|"&amp;$B126,""),"")</f>
        <v/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 t="s">
        <v>552</v>
      </c>
      <c r="B127" s="2" t="s">
        <v>171</v>
      </c>
      <c r="C127" s="3" t="s">
        <v>565</v>
      </c>
      <c r="D127" s="3" t="s">
        <v>34</v>
      </c>
      <c r="E127" s="2" t="s">
        <v>554</v>
      </c>
      <c r="F127" s="2"/>
      <c r="G127" s="5">
        <v>45816</v>
      </c>
      <c r="H127" s="5">
        <v>45816</v>
      </c>
      <c r="I127" s="4" t="s">
        <v>31</v>
      </c>
      <c r="J127" s="6">
        <f t="shared" si="4"/>
        <v>0</v>
      </c>
      <c r="K127" s="4" t="str">
        <f t="shared" ca="1" si="5"/>
        <v>-</v>
      </c>
      <c r="L127" s="7" t="str">
        <f>IF(I127="Completed","0",IF($H127="","",$H127-'[2]Read Me'!$B$4))</f>
        <v>0</v>
      </c>
      <c r="M127" s="4" t="str">
        <f>IF($I127="Complete","Green",IF($H127="","Amber",IF($H127&lt;'[2]Read Me'!$B$4,"Red",IF($H127-'[2]Read Me'!$B$4&lt;=21,"Amber","Green"))))</f>
        <v>Red</v>
      </c>
      <c r="N127" s="3"/>
      <c r="O127" t="str">
        <f>IF($I127&lt;&gt;"Complete",IF(COUNTIFS($A$4:$A126,$A127,$B$4:$B126,$B127,$I$4:$I126,"&lt;&gt;Complete")=0,$A127&amp;"|"&amp;$B127,""),"")</f>
        <v/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 t="s">
        <v>552</v>
      </c>
      <c r="B128" s="2" t="s">
        <v>171</v>
      </c>
      <c r="C128" s="3" t="s">
        <v>565</v>
      </c>
      <c r="D128" s="3" t="s">
        <v>15</v>
      </c>
      <c r="E128" s="2" t="s">
        <v>554</v>
      </c>
      <c r="F128" s="2" t="s">
        <v>79</v>
      </c>
      <c r="G128" s="5">
        <v>45900</v>
      </c>
      <c r="H128" s="5">
        <v>45900</v>
      </c>
      <c r="I128" s="4" t="s">
        <v>31</v>
      </c>
      <c r="J128" s="6">
        <f t="shared" si="4"/>
        <v>0</v>
      </c>
      <c r="K128" s="4" t="str">
        <f t="shared" ca="1" si="5"/>
        <v>-</v>
      </c>
      <c r="L128" s="7" t="str">
        <f>IF(I128="Completed","0",IF($H128="","",$H128-'[2]Read Me'!$B$4))</f>
        <v>0</v>
      </c>
      <c r="M128" s="4" t="str">
        <f>IF($I128="Complete","Green",IF($H128="","Amber",IF($H128&lt;'[2]Read Me'!$B$4,"Red",IF($H128-'[2]Read Me'!$B$4&lt;=21,"Amber","Green"))))</f>
        <v>Red</v>
      </c>
      <c r="N128" s="3"/>
      <c r="O128" t="str">
        <f>IF($I128&lt;&gt;"Complete",IF(COUNTIFS($A$4:$A127,$A128,$B$4:$B127,$B128,$I$4:$I127,"&lt;&gt;Complete")=0,$A128&amp;"|"&amp;$B128,""),"")</f>
        <v/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 t="s">
        <v>552</v>
      </c>
      <c r="B129" s="2" t="s">
        <v>171</v>
      </c>
      <c r="C129" s="3" t="s">
        <v>565</v>
      </c>
      <c r="D129" s="3" t="s">
        <v>35</v>
      </c>
      <c r="E129" s="2" t="s">
        <v>554</v>
      </c>
      <c r="F129" s="2"/>
      <c r="G129" s="5">
        <v>45914</v>
      </c>
      <c r="H129" s="5">
        <v>45914</v>
      </c>
      <c r="I129" s="4" t="s">
        <v>31</v>
      </c>
      <c r="J129" s="6">
        <f t="shared" si="4"/>
        <v>0</v>
      </c>
      <c r="K129" s="4" t="str">
        <f t="shared" ca="1" si="5"/>
        <v>-</v>
      </c>
      <c r="L129" s="7" t="str">
        <f>IF(I129="Completed","0",IF($H129="","",$H129-'[2]Read Me'!$B$4))</f>
        <v>0</v>
      </c>
      <c r="M129" s="4" t="str">
        <f>IF($I129="Complete","Green",IF($H129="","Amber",IF($H129&lt;'[2]Read Me'!$B$4,"Red",IF($H129-'[2]Read Me'!$B$4&lt;=21,"Amber","Green"))))</f>
        <v>Red</v>
      </c>
      <c r="N129" s="3"/>
      <c r="O129" t="str">
        <f>IF($I129&lt;&gt;"Complete",IF(COUNTIFS($A$4:$A128,$A129,$B$4:$B128,$B129,$I$4:$I128,"&lt;&gt;Complete")=0,$A129&amp;"|"&amp;$B129,""),"")</f>
        <v/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 t="s">
        <v>552</v>
      </c>
      <c r="B130" s="2" t="s">
        <v>171</v>
      </c>
      <c r="C130" s="3" t="s">
        <v>565</v>
      </c>
      <c r="D130" s="3" t="s">
        <v>16</v>
      </c>
      <c r="E130" s="2" t="s">
        <v>554</v>
      </c>
      <c r="F130" s="2" t="s">
        <v>79</v>
      </c>
      <c r="G130" s="5">
        <v>45936</v>
      </c>
      <c r="H130" s="5">
        <v>46121</v>
      </c>
      <c r="I130" s="4" t="s">
        <v>31</v>
      </c>
      <c r="J130" s="6">
        <f t="shared" si="4"/>
        <v>185</v>
      </c>
      <c r="K130" s="4" t="str">
        <f t="shared" ca="1" si="5"/>
        <v>-</v>
      </c>
      <c r="L130" s="7" t="str">
        <f>IF(I130="Completed","0",IF($H130="","",$H130-'[2]Read Me'!$B$4))</f>
        <v>0</v>
      </c>
      <c r="M130" s="4" t="str">
        <f>IF($I130="Complete","Green",IF($H130="","Amber",IF($H130&lt;'[2]Read Me'!$B$4,"Red",IF($H130-'[2]Read Me'!$B$4&lt;=21,"Amber","Green"))))</f>
        <v>Red</v>
      </c>
      <c r="N130" s="3"/>
      <c r="O130" t="str">
        <f>IF($I130&lt;&gt;"Complete",IF(COUNTIFS($A$4:$A129,$A130,$B$4:$B129,$B130,$I$4:$I129,"&lt;&gt;Complete")=0,$A130&amp;"|"&amp;$B130,""),"")</f>
        <v/>
      </c>
      <c r="P130" t="str">
        <f ca="1">IF($K130="Yes",COUNTIFS($K$4:$K130,"Yes"),"")</f>
        <v/>
      </c>
      <c r="Q130">
        <f t="shared" ca="1" si="6"/>
        <v>0</v>
      </c>
      <c r="R130" t="str">
        <f ca="1">IF($Q130=1,SUM($Q$4:$Q130),"")</f>
        <v/>
      </c>
    </row>
    <row r="131" spans="1:18" ht="22.5" customHeight="1" x14ac:dyDescent="0.3">
      <c r="A131" s="2" t="s">
        <v>552</v>
      </c>
      <c r="B131" s="2" t="s">
        <v>171</v>
      </c>
      <c r="C131" s="3" t="s">
        <v>565</v>
      </c>
      <c r="D131" s="3" t="s">
        <v>37</v>
      </c>
      <c r="E131" s="2" t="s">
        <v>554</v>
      </c>
      <c r="F131" s="2"/>
      <c r="G131" s="5">
        <v>45950</v>
      </c>
      <c r="H131" s="5">
        <v>46147</v>
      </c>
      <c r="I131" s="4" t="s">
        <v>31</v>
      </c>
      <c r="J131" s="6">
        <f t="shared" si="4"/>
        <v>197</v>
      </c>
      <c r="K131" s="4" t="str">
        <f t="shared" ca="1" si="5"/>
        <v>-</v>
      </c>
      <c r="L131" s="7" t="str">
        <f>IF(I131="Completed","0",IF($H131="","",$H131-'[2]Read Me'!$B$4))</f>
        <v>0</v>
      </c>
      <c r="M131" s="4" t="str">
        <f>IF($I131="Complete","Green",IF($H131="","Amber",IF($H131&lt;'[2]Read Me'!$B$4,"Red",IF($H131-'[2]Read Me'!$B$4&lt;=21,"Amber","Green"))))</f>
        <v>Red</v>
      </c>
      <c r="N131" s="3"/>
      <c r="O131" t="str">
        <f>IF($I131&lt;&gt;"Complete",IF(COUNTIFS($A$4:$A130,$A131,$B$4:$B130,$B131,$I$4:$I130,"&lt;&gt;Complete")=0,$A131&amp;"|"&amp;$B131,""),"")</f>
        <v/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 t="s">
        <v>552</v>
      </c>
      <c r="B132" s="2" t="s">
        <v>171</v>
      </c>
      <c r="C132" s="3" t="s">
        <v>565</v>
      </c>
      <c r="D132" s="3" t="s">
        <v>566</v>
      </c>
      <c r="E132" s="2" t="s">
        <v>567</v>
      </c>
      <c r="F132" s="2"/>
      <c r="G132" s="5">
        <v>46055</v>
      </c>
      <c r="H132" s="5">
        <v>46209</v>
      </c>
      <c r="I132" s="4" t="s">
        <v>46</v>
      </c>
      <c r="J132" s="6">
        <f t="shared" ref="J132:J195" si="7">IF(OR($G132="",$H132=""),"",$H132-$G132)</f>
        <v>154</v>
      </c>
      <c r="K132" s="4" t="str">
        <f t="shared" ref="K132:K195" ca="1" si="8">IF(C132="","",IF(H132="","",IF($I132="completed","-",IF($H132&gt;TODAY(),"No","Yes"))))</f>
        <v>No</v>
      </c>
      <c r="L132" s="7">
        <f>IF(I132="Completed","0",IF($H132="","",$H132-'[2]Read Me'!$B$4))</f>
        <v>22</v>
      </c>
      <c r="M132" s="4" t="str">
        <f>IF($I132="Complete","Green",IF($H132="","Amber",IF($H132&lt;'[2]Read Me'!$B$4,"Red",IF($H132-'[2]Read Me'!$B$4&lt;=21,"Amber","Green"))))</f>
        <v>Green</v>
      </c>
      <c r="N132" s="3"/>
      <c r="O132" t="str">
        <f>IF($I132&lt;&gt;"Complete",IF(COUNTIFS($A$4:$A131,$A132,$B$4:$B131,$B132,$I$4:$I131,"&lt;&gt;Complete")=0,$A132&amp;"|"&amp;$B132,""),"")</f>
        <v/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 t="s">
        <v>552</v>
      </c>
      <c r="B133" s="2" t="s">
        <v>171</v>
      </c>
      <c r="C133" s="3" t="s">
        <v>565</v>
      </c>
      <c r="D133" s="3" t="s">
        <v>568</v>
      </c>
      <c r="E133" s="2" t="s">
        <v>554</v>
      </c>
      <c r="F133" s="2"/>
      <c r="G133" s="5">
        <v>46069</v>
      </c>
      <c r="H133" s="5">
        <v>46223</v>
      </c>
      <c r="I133" s="4" t="s">
        <v>17</v>
      </c>
      <c r="J133" s="6">
        <f t="shared" si="7"/>
        <v>154</v>
      </c>
      <c r="K133" s="4" t="str">
        <f t="shared" ca="1" si="8"/>
        <v>No</v>
      </c>
      <c r="L133" s="7">
        <f>IF(I133="Completed","0",IF($H133="","",$H133-'[2]Read Me'!$B$4))</f>
        <v>36</v>
      </c>
      <c r="M133" s="4" t="str">
        <f>IF($I133="Complete","Green",IF($H133="","Amber",IF($H133&lt;'[2]Read Me'!$B$4,"Red",IF($H133-'[2]Read Me'!$B$4&lt;=21,"Amber","Green"))))</f>
        <v>Green</v>
      </c>
      <c r="N133" s="3"/>
      <c r="O133" t="str">
        <f>IF($I133&lt;&gt;"Complete",IF(COUNTIFS($A$4:$A132,$A133,$B$4:$B132,$B133,$I$4:$I132,"&lt;&gt;Complete")=0,$A133&amp;"|"&amp;$B133,""),"")</f>
        <v/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 t="s">
        <v>569</v>
      </c>
      <c r="B134" s="2" t="s">
        <v>49</v>
      </c>
      <c r="C134" s="3"/>
      <c r="D134" s="3"/>
      <c r="E134" s="2"/>
      <c r="F134" s="2"/>
      <c r="G134" s="5">
        <v>46139</v>
      </c>
      <c r="H134" s="5">
        <v>46362</v>
      </c>
      <c r="I134" s="4"/>
      <c r="J134" s="6">
        <f t="shared" si="7"/>
        <v>223</v>
      </c>
      <c r="K134" s="4" t="str">
        <f t="shared" ca="1" si="8"/>
        <v/>
      </c>
      <c r="L134" s="7">
        <f>IF(I134="Completed","0",IF($H134="","",$H134-'[2]Read Me'!$B$4))</f>
        <v>175</v>
      </c>
      <c r="M134" s="4" t="str">
        <f>IF($I134="Complete","Green",IF($H134="","Amber",IF($H134&lt;'[2]Read Me'!$B$4,"Red",IF($H134-'[2]Read Me'!$B$4&lt;=21,"Amber","Green"))))</f>
        <v>Green</v>
      </c>
      <c r="N134" s="3"/>
      <c r="O134" t="str">
        <f>IF($I134&lt;&gt;"Complete",IF(COUNTIFS($A$4:$A133,$A134,$B$4:$B133,$B134,$I$4:$I133,"&lt;&gt;Complete")=0,$A134&amp;"|"&amp;$B134,""),"")</f>
        <v>Ph - 1A Ancillary Buildings|Authorities</v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 t="s">
        <v>552</v>
      </c>
      <c r="B135" s="2" t="s">
        <v>49</v>
      </c>
      <c r="C135" s="3" t="s">
        <v>570</v>
      </c>
      <c r="D135" s="3" t="s">
        <v>110</v>
      </c>
      <c r="E135" s="2" t="s">
        <v>104</v>
      </c>
      <c r="F135" s="2"/>
      <c r="G135" s="5">
        <v>45999</v>
      </c>
      <c r="H135" s="5">
        <v>46278</v>
      </c>
      <c r="I135" s="4" t="s">
        <v>46</v>
      </c>
      <c r="J135" s="6">
        <f t="shared" si="7"/>
        <v>279</v>
      </c>
      <c r="K135" s="4" t="str">
        <f t="shared" ca="1" si="8"/>
        <v>No</v>
      </c>
      <c r="L135" s="7">
        <f>IF(I135="Completed","0",IF($H135="","",$H135-'[2]Read Me'!$B$4))</f>
        <v>91</v>
      </c>
      <c r="M135" s="4" t="str">
        <f>IF($I135="Complete","Green",IF($H135="","Amber",IF($H135&lt;'[2]Read Me'!$B$4,"Red",IF($H135-'[2]Read Me'!$B$4&lt;=21,"Amber","Green"))))</f>
        <v>Green</v>
      </c>
      <c r="N135" s="3"/>
      <c r="O135" t="str">
        <f>IF($I135&lt;&gt;"Complete",IF(COUNTIFS($A$4:$A134,$A135,$B$4:$B134,$B135,$I$4:$I134,"&lt;&gt;Complete")=0,$A135&amp;"|"&amp;$B135,""),"")</f>
        <v/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 t="s">
        <v>552</v>
      </c>
      <c r="B136" s="2" t="s">
        <v>49</v>
      </c>
      <c r="C136" s="3" t="s">
        <v>570</v>
      </c>
      <c r="D136" s="3" t="s">
        <v>571</v>
      </c>
      <c r="E136" s="2" t="s">
        <v>104</v>
      </c>
      <c r="F136" s="2"/>
      <c r="G136" s="5">
        <v>46139</v>
      </c>
      <c r="H136" s="5">
        <v>46362</v>
      </c>
      <c r="I136" s="4" t="s">
        <v>17</v>
      </c>
      <c r="J136" s="6">
        <f t="shared" si="7"/>
        <v>223</v>
      </c>
      <c r="K136" s="4" t="str">
        <f t="shared" ca="1" si="8"/>
        <v>No</v>
      </c>
      <c r="L136" s="7">
        <f>IF(I136="Completed","0",IF($H136="","",$H136-'[2]Read Me'!$B$4))</f>
        <v>175</v>
      </c>
      <c r="M136" s="4" t="str">
        <f>IF($I136="Complete","Green",IF($H136="","Amber",IF($H136&lt;'[2]Read Me'!$B$4,"Red",IF($H136-'[2]Read Me'!$B$4&lt;=21,"Amber","Green"))))</f>
        <v>Green</v>
      </c>
      <c r="N136" s="3"/>
      <c r="O136" t="str">
        <f>IF($I136&lt;&gt;"Complete",IF(COUNTIFS($A$4:$A135,$A136,$B$4:$B135,$B136,$I$4:$I135,"&lt;&gt;Complete")=0,$A136&amp;"|"&amp;$B136,""),"")</f>
        <v/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 t="s">
        <v>552</v>
      </c>
      <c r="B137" s="2" t="s">
        <v>21</v>
      </c>
      <c r="C137" s="3"/>
      <c r="D137" s="3"/>
      <c r="E137" s="2"/>
      <c r="F137" s="2"/>
      <c r="G137" s="5">
        <v>46652</v>
      </c>
      <c r="H137" s="5">
        <v>46301</v>
      </c>
      <c r="I137" s="4"/>
      <c r="J137" s="6">
        <f t="shared" si="7"/>
        <v>-351</v>
      </c>
      <c r="K137" s="4" t="str">
        <f t="shared" ca="1" si="8"/>
        <v/>
      </c>
      <c r="L137" s="7">
        <f>IF(I137="Completed","0",IF($H137="","",$H137-'[2]Read Me'!$B$4))</f>
        <v>114</v>
      </c>
      <c r="M137" s="4" t="str">
        <f>IF($I137="Complete","Green",IF($H137="","Amber",IF($H137&lt;'[2]Read Me'!$B$4,"Red",IF($H137-'[2]Read Me'!$B$4&lt;=21,"Amber","Green"))))</f>
        <v>Green</v>
      </c>
      <c r="N137" s="3"/>
      <c r="O137" t="str">
        <f>IF($I137&lt;&gt;"Complete",IF(COUNTIFS($A$4:$A136,$A137,$B$4:$B136,$B137,$I$4:$I136,"&lt;&gt;Complete")=0,$A137&amp;"|"&amp;$B137,""),"")</f>
        <v>Ph - 1A|Landscape</v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 t="s">
        <v>552</v>
      </c>
      <c r="B138" s="2" t="s">
        <v>21</v>
      </c>
      <c r="C138" s="3" t="s">
        <v>572</v>
      </c>
      <c r="D138" s="3" t="s">
        <v>126</v>
      </c>
      <c r="E138" s="2" t="s">
        <v>215</v>
      </c>
      <c r="F138" s="2" t="s">
        <v>79</v>
      </c>
      <c r="G138" s="5">
        <v>46176</v>
      </c>
      <c r="H138" s="5">
        <v>46196</v>
      </c>
      <c r="I138" s="4" t="s">
        <v>46</v>
      </c>
      <c r="J138" s="6">
        <f t="shared" si="7"/>
        <v>20</v>
      </c>
      <c r="K138" s="4" t="str">
        <f t="shared" ca="1" si="8"/>
        <v>Yes</v>
      </c>
      <c r="L138" s="7">
        <f>IF(I138="Completed","0",IF($H138="","",$H138-'[2]Read Me'!$B$4))</f>
        <v>9</v>
      </c>
      <c r="M138" s="4" t="str">
        <f>IF($I138="Complete","Green",IF($H138="","Amber",IF($H138&lt;'[2]Read Me'!$B$4,"Red",IF($H138-'[2]Read Me'!$B$4&lt;=21,"Amber","Green"))))</f>
        <v>Amber</v>
      </c>
      <c r="N138" s="3"/>
      <c r="O138" t="str">
        <f>IF($I138&lt;&gt;"Complete",IF(COUNTIFS($A$4:$A137,$A138,$B$4:$B137,$B138,$I$4:$I137,"&lt;&gt;Complete")=0,$A138&amp;"|"&amp;$B138,""),"")</f>
        <v/>
      </c>
      <c r="P138">
        <f ca="1">IF($K138="Yes",COUNTIFS($K$4:$K138,"Yes"),"")</f>
        <v>7</v>
      </c>
      <c r="Q138">
        <f t="shared" ca="1" si="9"/>
        <v>1</v>
      </c>
      <c r="R138">
        <f ca="1">IF($Q138=1,SUM($Q$4:$Q138),"")</f>
        <v>7</v>
      </c>
    </row>
    <row r="139" spans="1:18" ht="22.5" customHeight="1" x14ac:dyDescent="0.3">
      <c r="A139" s="2" t="s">
        <v>552</v>
      </c>
      <c r="B139" s="2" t="s">
        <v>21</v>
      </c>
      <c r="C139" s="3" t="s">
        <v>572</v>
      </c>
      <c r="D139" s="3" t="s">
        <v>34</v>
      </c>
      <c r="E139" s="2" t="s">
        <v>215</v>
      </c>
      <c r="F139" s="2"/>
      <c r="G139" s="5">
        <v>46190</v>
      </c>
      <c r="H139" s="5">
        <v>46210</v>
      </c>
      <c r="I139" s="4" t="s">
        <v>17</v>
      </c>
      <c r="J139" s="6">
        <f t="shared" si="7"/>
        <v>20</v>
      </c>
      <c r="K139" s="4" t="str">
        <f t="shared" ca="1" si="8"/>
        <v>No</v>
      </c>
      <c r="L139" s="7">
        <f>IF(I139="Completed","0",IF($H139="","",$H139-'[2]Read Me'!$B$4))</f>
        <v>23</v>
      </c>
      <c r="M139" s="4" t="str">
        <f>IF($I139="Complete","Green",IF($H139="","Amber",IF($H139&lt;'[2]Read Me'!$B$4,"Red",IF($H139-'[2]Read Me'!$B$4&lt;=21,"Amber","Green"))))</f>
        <v>Green</v>
      </c>
      <c r="N139" s="3"/>
      <c r="O139" t="str">
        <f>IF($I139&lt;&gt;"Complete",IF(COUNTIFS($A$4:$A138,$A139,$B$4:$B138,$B139,$I$4:$I138,"&lt;&gt;Complete")=0,$A139&amp;"|"&amp;$B139,""),"")</f>
        <v/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 t="s">
        <v>552</v>
      </c>
      <c r="B140" s="2" t="s">
        <v>21</v>
      </c>
      <c r="C140" s="3" t="s">
        <v>572</v>
      </c>
      <c r="D140" s="3" t="s">
        <v>127</v>
      </c>
      <c r="E140" s="2" t="s">
        <v>215</v>
      </c>
      <c r="F140" s="2" t="s">
        <v>79</v>
      </c>
      <c r="G140" s="5">
        <v>46218</v>
      </c>
      <c r="H140" s="5">
        <v>46238</v>
      </c>
      <c r="I140" s="4" t="s">
        <v>17</v>
      </c>
      <c r="J140" s="6">
        <f t="shared" si="7"/>
        <v>20</v>
      </c>
      <c r="K140" s="4" t="str">
        <f t="shared" ca="1" si="8"/>
        <v>No</v>
      </c>
      <c r="L140" s="7">
        <f>IF(I140="Completed","0",IF($H140="","",$H140-'[2]Read Me'!$B$4))</f>
        <v>51</v>
      </c>
      <c r="M140" s="4" t="str">
        <f>IF($I140="Complete","Green",IF($H140="","Amber",IF($H140&lt;'[2]Read Me'!$B$4,"Red",IF($H140-'[2]Read Me'!$B$4&lt;=21,"Amber","Green"))))</f>
        <v>Green</v>
      </c>
      <c r="N140" s="3"/>
      <c r="O140" t="str">
        <f>IF($I140&lt;&gt;"Complete",IF(COUNTIFS($A$4:$A139,$A140,$B$4:$B139,$B140,$I$4:$I139,"&lt;&gt;Complete")=0,$A140&amp;"|"&amp;$B140,""),"")</f>
        <v/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 t="s">
        <v>552</v>
      </c>
      <c r="B141" s="2" t="s">
        <v>21</v>
      </c>
      <c r="C141" s="3" t="s">
        <v>572</v>
      </c>
      <c r="D141" s="3" t="s">
        <v>35</v>
      </c>
      <c r="E141" s="2" t="s">
        <v>215</v>
      </c>
      <c r="F141" s="2"/>
      <c r="G141" s="5">
        <v>46232</v>
      </c>
      <c r="H141" s="5">
        <v>46252</v>
      </c>
      <c r="I141" s="4" t="s">
        <v>17</v>
      </c>
      <c r="J141" s="6">
        <f t="shared" si="7"/>
        <v>20</v>
      </c>
      <c r="K141" s="4" t="str">
        <f t="shared" ca="1" si="8"/>
        <v>No</v>
      </c>
      <c r="L141" s="7">
        <f>IF(I141="Completed","0",IF($H141="","",$H141-'[2]Read Me'!$B$4))</f>
        <v>65</v>
      </c>
      <c r="M141" s="4" t="str">
        <f>IF($I141="Complete","Green",IF($H141="","Amber",IF($H141&lt;'[2]Read Me'!$B$4,"Red",IF($H141-'[2]Read Me'!$B$4&lt;=21,"Amber","Green"))))</f>
        <v>Green</v>
      </c>
      <c r="N141" s="3"/>
      <c r="O141" t="str">
        <f>IF($I141&lt;&gt;"Complete",IF(COUNTIFS($A$4:$A140,$A141,$B$4:$B140,$B141,$I$4:$I140,"&lt;&gt;Complete")=0,$A141&amp;"|"&amp;$B141,""),"")</f>
        <v/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 t="s">
        <v>552</v>
      </c>
      <c r="B142" s="2" t="s">
        <v>21</v>
      </c>
      <c r="C142" s="3" t="s">
        <v>572</v>
      </c>
      <c r="D142" s="3" t="s">
        <v>20</v>
      </c>
      <c r="E142" s="2" t="s">
        <v>184</v>
      </c>
      <c r="F142" s="2"/>
      <c r="G142" s="5">
        <v>46232</v>
      </c>
      <c r="H142" s="5">
        <v>46252</v>
      </c>
      <c r="I142" s="4" t="s">
        <v>17</v>
      </c>
      <c r="J142" s="6">
        <f t="shared" si="7"/>
        <v>20</v>
      </c>
      <c r="K142" s="4" t="str">
        <f t="shared" ca="1" si="8"/>
        <v>No</v>
      </c>
      <c r="L142" s="7">
        <f>IF(I142="Completed","0",IF($H142="","",$H142-'[2]Read Me'!$B$4))</f>
        <v>65</v>
      </c>
      <c r="M142" s="4" t="str">
        <f>IF($I142="Complete","Green",IF($H142="","Amber",IF($H142&lt;'[2]Read Me'!$B$4,"Red",IF($H142-'[2]Read Me'!$B$4&lt;=21,"Amber","Green"))))</f>
        <v>Green</v>
      </c>
      <c r="N142" s="3"/>
      <c r="O142" t="str">
        <f>IF($I142&lt;&gt;"Complete",IF(COUNTIFS($A$4:$A141,$A142,$B$4:$B141,$B142,$I$4:$I141,"&lt;&gt;Complete")=0,$A142&amp;"|"&amp;$B142,""),"")</f>
        <v/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 t="s">
        <v>552</v>
      </c>
      <c r="B143" s="2" t="s">
        <v>21</v>
      </c>
      <c r="C143" s="3" t="s">
        <v>572</v>
      </c>
      <c r="D143" s="3" t="s">
        <v>573</v>
      </c>
      <c r="E143" s="2" t="s">
        <v>215</v>
      </c>
      <c r="F143" s="2" t="s">
        <v>79</v>
      </c>
      <c r="G143" s="5">
        <v>46253</v>
      </c>
      <c r="H143" s="5">
        <v>46273</v>
      </c>
      <c r="I143" s="4" t="s">
        <v>17</v>
      </c>
      <c r="J143" s="6">
        <f t="shared" si="7"/>
        <v>20</v>
      </c>
      <c r="K143" s="4" t="str">
        <f t="shared" ca="1" si="8"/>
        <v>No</v>
      </c>
      <c r="L143" s="7">
        <f>IF(I143="Completed","0",IF($H143="","",$H143-'[2]Read Me'!$B$4))</f>
        <v>86</v>
      </c>
      <c r="M143" s="4" t="str">
        <f>IF($I143="Complete","Green",IF($H143="","Amber",IF($H143&lt;'[2]Read Me'!$B$4,"Red",IF($H143-'[2]Read Me'!$B$4&lt;=21,"Amber","Green"))))</f>
        <v>Green</v>
      </c>
      <c r="N143" s="3"/>
      <c r="O143" t="str">
        <f>IF($I143&lt;&gt;"Complete",IF(COUNTIFS($A$4:$A142,$A143,$B$4:$B142,$B143,$I$4:$I142,"&lt;&gt;Complete")=0,$A143&amp;"|"&amp;$B143,""),"")</f>
        <v/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 t="s">
        <v>552</v>
      </c>
      <c r="B144" s="2" t="s">
        <v>21</v>
      </c>
      <c r="C144" s="3" t="s">
        <v>572</v>
      </c>
      <c r="D144" s="3" t="s">
        <v>574</v>
      </c>
      <c r="E144" s="2" t="s">
        <v>215</v>
      </c>
      <c r="F144" s="2"/>
      <c r="G144" s="5">
        <v>46267</v>
      </c>
      <c r="H144" s="5">
        <v>46287</v>
      </c>
      <c r="I144" s="4" t="s">
        <v>17</v>
      </c>
      <c r="J144" s="6">
        <f t="shared" si="7"/>
        <v>20</v>
      </c>
      <c r="K144" s="4" t="str">
        <f t="shared" ca="1" si="8"/>
        <v>No</v>
      </c>
      <c r="L144" s="7">
        <f>IF(I144="Completed","0",IF($H144="","",$H144-'[2]Read Me'!$B$4))</f>
        <v>100</v>
      </c>
      <c r="M144" s="4" t="str">
        <f>IF($I144="Complete","Green",IF($H144="","Amber",IF($H144&lt;'[2]Read Me'!$B$4,"Red",IF($H144-'[2]Read Me'!$B$4&lt;=21,"Amber","Green"))))</f>
        <v>Green</v>
      </c>
      <c r="N144" s="3"/>
      <c r="O144" t="str">
        <f>IF($I144&lt;&gt;"Complete",IF(COUNTIFS($A$4:$A143,$A144,$B$4:$B143,$B144,$I$4:$I143,"&lt;&gt;Complete")=0,$A144&amp;"|"&amp;$B144,""),"")</f>
        <v/>
      </c>
      <c r="P144" t="str">
        <f ca="1">IF($K144="Yes",COUNTIFS($K$4:$K144,"Yes"),"")</f>
        <v/>
      </c>
      <c r="Q144">
        <f t="shared" ca="1" si="9"/>
        <v>0</v>
      </c>
      <c r="R144" t="str">
        <f ca="1">IF($Q144=1,SUM($Q$4:$Q144),"")</f>
        <v/>
      </c>
    </row>
    <row r="145" spans="1:18" ht="22.5" customHeight="1" x14ac:dyDescent="0.3">
      <c r="A145" s="2" t="s">
        <v>552</v>
      </c>
      <c r="B145" s="2" t="s">
        <v>21</v>
      </c>
      <c r="C145" s="3" t="s">
        <v>572</v>
      </c>
      <c r="D145" s="3" t="s">
        <v>575</v>
      </c>
      <c r="E145" s="2" t="s">
        <v>215</v>
      </c>
      <c r="F145" s="2" t="s">
        <v>79</v>
      </c>
      <c r="G145" s="5">
        <v>46274</v>
      </c>
      <c r="H145" s="5">
        <v>46294</v>
      </c>
      <c r="I145" s="4" t="s">
        <v>17</v>
      </c>
      <c r="J145" s="6">
        <f t="shared" si="7"/>
        <v>20</v>
      </c>
      <c r="K145" s="4" t="str">
        <f t="shared" ca="1" si="8"/>
        <v>No</v>
      </c>
      <c r="L145" s="7">
        <f>IF(I145="Completed","0",IF($H145="","",$H145-'[2]Read Me'!$B$4))</f>
        <v>107</v>
      </c>
      <c r="M145" s="4" t="str">
        <f>IF($I145="Complete","Green",IF($H145="","Amber",IF($H145&lt;'[2]Read Me'!$B$4,"Red",IF($H145-'[2]Read Me'!$B$4&lt;=21,"Amber","Green"))))</f>
        <v>Green</v>
      </c>
      <c r="N145" s="3"/>
      <c r="O145" t="str">
        <f>IF($I145&lt;&gt;"Complete",IF(COUNTIFS($A$4:$A144,$A145,$B$4:$B144,$B145,$I$4:$I144,"&lt;&gt;Complete")=0,$A145&amp;"|"&amp;$B145,""),"")</f>
        <v/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 t="s">
        <v>552</v>
      </c>
      <c r="B146" s="2" t="s">
        <v>21</v>
      </c>
      <c r="C146" s="3" t="s">
        <v>572</v>
      </c>
      <c r="D146" s="3" t="s">
        <v>576</v>
      </c>
      <c r="E146" s="2" t="s">
        <v>215</v>
      </c>
      <c r="F146" s="2"/>
      <c r="G146" s="5">
        <v>46281</v>
      </c>
      <c r="H146" s="5">
        <v>46301</v>
      </c>
      <c r="I146" s="4" t="s">
        <v>17</v>
      </c>
      <c r="J146" s="6">
        <f t="shared" si="7"/>
        <v>20</v>
      </c>
      <c r="K146" s="4" t="str">
        <f t="shared" ca="1" si="8"/>
        <v>No</v>
      </c>
      <c r="L146" s="7">
        <f>IF(I146="Completed","0",IF($H146="","",$H146-'[2]Read Me'!$B$4))</f>
        <v>114</v>
      </c>
      <c r="M146" s="4" t="str">
        <f>IF($I146="Complete","Green",IF($H146="","Amber",IF($H146&lt;'[2]Read Me'!$B$4,"Red",IF($H146-'[2]Read Me'!$B$4&lt;=21,"Amber","Green"))))</f>
        <v>Green</v>
      </c>
      <c r="N146" s="3"/>
      <c r="O146" t="str">
        <f>IF($I146&lt;&gt;"Complete",IF(COUNTIFS($A$4:$A145,$A146,$B$4:$B145,$B146,$I$4:$I145,"&lt;&gt;Complete")=0,$A146&amp;"|"&amp;$B146,""),"")</f>
        <v/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 t="s">
        <v>577</v>
      </c>
      <c r="B147" s="2" t="s">
        <v>62</v>
      </c>
      <c r="C147" s="3"/>
      <c r="D147" s="3"/>
      <c r="E147" s="2"/>
      <c r="F147" s="2"/>
      <c r="G147" s="5">
        <v>46243</v>
      </c>
      <c r="H147" s="5">
        <v>46408</v>
      </c>
      <c r="I147" s="4"/>
      <c r="J147" s="6">
        <f t="shared" si="7"/>
        <v>165</v>
      </c>
      <c r="K147" s="4" t="str">
        <f t="shared" ca="1" si="8"/>
        <v/>
      </c>
      <c r="L147" s="7">
        <f>IF(I147="Completed","0",IF($H147="","",$H147-'[2]Read Me'!$B$4))</f>
        <v>221</v>
      </c>
      <c r="M147" s="4" t="str">
        <f>IF($I147="Complete","Green",IF($H147="","Amber",IF($H147&lt;'[2]Read Me'!$B$4,"Red",IF($H147-'[2]Read Me'!$B$4&lt;=21,"Amber","Green"))))</f>
        <v>Green</v>
      </c>
      <c r="N147" s="3"/>
      <c r="O147" t="str">
        <f>IF($I147&lt;&gt;"Complete",IF(COUNTIFS($A$4:$A146,$A147,$B$4:$B146,$B147,$I$4:$I146,"&lt;&gt;Complete")=0,$A147&amp;"|"&amp;$B147,""),"")</f>
        <v>Ph - 2A 2B|Buildings</v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 t="s">
        <v>577</v>
      </c>
      <c r="B148" s="2" t="s">
        <v>62</v>
      </c>
      <c r="C148" s="3" t="s">
        <v>578</v>
      </c>
      <c r="D148" s="3" t="s">
        <v>97</v>
      </c>
      <c r="E148" s="2" t="s">
        <v>554</v>
      </c>
      <c r="F148" s="2" t="s">
        <v>166</v>
      </c>
      <c r="G148" s="5">
        <v>45886</v>
      </c>
      <c r="H148" s="5">
        <v>45886</v>
      </c>
      <c r="I148" s="4" t="s">
        <v>31</v>
      </c>
      <c r="J148" s="6">
        <f t="shared" si="7"/>
        <v>0</v>
      </c>
      <c r="K148" s="4" t="str">
        <f t="shared" ca="1" si="8"/>
        <v>-</v>
      </c>
      <c r="L148" s="7" t="str">
        <f>IF(I148="Completed","0",IF($H148="","",$H148-'[2]Read Me'!$B$4))</f>
        <v>0</v>
      </c>
      <c r="M148" s="4" t="str">
        <f>IF($I148="Complete","Green",IF($H148="","Amber",IF($H148&lt;'[2]Read Me'!$B$4,"Red",IF($H148-'[2]Read Me'!$B$4&lt;=21,"Amber","Green"))))</f>
        <v>Red</v>
      </c>
      <c r="N148" s="3"/>
      <c r="O148" t="str">
        <f>IF($I148&lt;&gt;"Complete",IF(COUNTIFS($A$4:$A147,$A148,$B$4:$B147,$B148,$I$4:$I147,"&lt;&gt;Complete")=0,$A148&amp;"|"&amp;$B148,""),"")</f>
        <v/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 t="s">
        <v>577</v>
      </c>
      <c r="B149" s="2" t="s">
        <v>62</v>
      </c>
      <c r="C149" s="3" t="s">
        <v>578</v>
      </c>
      <c r="D149" s="3" t="s">
        <v>98</v>
      </c>
      <c r="E149" s="2" t="s">
        <v>554</v>
      </c>
      <c r="F149" s="2" t="s">
        <v>166</v>
      </c>
      <c r="G149" s="5">
        <v>45900</v>
      </c>
      <c r="H149" s="5">
        <v>45900</v>
      </c>
      <c r="I149" s="4" t="s">
        <v>31</v>
      </c>
      <c r="J149" s="6">
        <f t="shared" si="7"/>
        <v>0</v>
      </c>
      <c r="K149" s="4" t="str">
        <f t="shared" ca="1" si="8"/>
        <v>-</v>
      </c>
      <c r="L149" s="7" t="str">
        <f>IF(I149="Completed","0",IF($H149="","",$H149-'[2]Read Me'!$B$4))</f>
        <v>0</v>
      </c>
      <c r="M149" s="4" t="str">
        <f>IF($I149="Complete","Green",IF($H149="","Amber",IF($H149&lt;'[2]Read Me'!$B$4,"Red",IF($H149-'[2]Read Me'!$B$4&lt;=21,"Amber","Green"))))</f>
        <v>Red</v>
      </c>
      <c r="N149" s="3"/>
      <c r="O149" t="str">
        <f>IF($I149&lt;&gt;"Complete",IF(COUNTIFS($A$4:$A148,$A149,$B$4:$B148,$B149,$I$4:$I148,"&lt;&gt;Complete")=0,$A149&amp;"|"&amp;$B149,""),"")</f>
        <v/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 t="s">
        <v>577</v>
      </c>
      <c r="B150" s="2" t="s">
        <v>62</v>
      </c>
      <c r="C150" s="3" t="s">
        <v>578</v>
      </c>
      <c r="D150" s="3" t="s">
        <v>579</v>
      </c>
      <c r="E150" s="2" t="s">
        <v>554</v>
      </c>
      <c r="F150" s="2"/>
      <c r="G150" s="5">
        <v>45942</v>
      </c>
      <c r="H150" s="5">
        <v>45958</v>
      </c>
      <c r="I150" s="4" t="s">
        <v>31</v>
      </c>
      <c r="J150" s="6">
        <f t="shared" si="7"/>
        <v>16</v>
      </c>
      <c r="K150" s="4" t="str">
        <f t="shared" ca="1" si="8"/>
        <v>-</v>
      </c>
      <c r="L150" s="7" t="str">
        <f>IF(I150="Completed","0",IF($H150="","",$H150-'[2]Read Me'!$B$4))</f>
        <v>0</v>
      </c>
      <c r="M150" s="4" t="str">
        <f>IF($I150="Complete","Green",IF($H150="","Amber",IF($H150&lt;'[2]Read Me'!$B$4,"Red",IF($H150-'[2]Read Me'!$B$4&lt;=21,"Amber","Green"))))</f>
        <v>Red</v>
      </c>
      <c r="N150" s="3"/>
      <c r="O150" t="str">
        <f>IF($I150&lt;&gt;"Complete",IF(COUNTIFS($A$4:$A149,$A150,$B$4:$B149,$B150,$I$4:$I149,"&lt;&gt;Complete")=0,$A150&amp;"|"&amp;$B150,""),"")</f>
        <v/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 t="s">
        <v>577</v>
      </c>
      <c r="B151" s="2" t="s">
        <v>62</v>
      </c>
      <c r="C151" s="3" t="s">
        <v>578</v>
      </c>
      <c r="D151" s="3" t="s">
        <v>18</v>
      </c>
      <c r="E151" s="2" t="s">
        <v>554</v>
      </c>
      <c r="F151" s="2" t="s">
        <v>166</v>
      </c>
      <c r="G151" s="5">
        <v>45963</v>
      </c>
      <c r="H151" s="5">
        <v>46000</v>
      </c>
      <c r="I151" s="4" t="s">
        <v>31</v>
      </c>
      <c r="J151" s="6">
        <f t="shared" si="7"/>
        <v>37</v>
      </c>
      <c r="K151" s="4" t="str">
        <f t="shared" ca="1" si="8"/>
        <v>-</v>
      </c>
      <c r="L151" s="7" t="str">
        <f>IF(I151="Completed","0",IF($H151="","",$H151-'[2]Read Me'!$B$4))</f>
        <v>0</v>
      </c>
      <c r="M151" s="4" t="str">
        <f>IF($I151="Complete","Green",IF($H151="","Amber",IF($H151&lt;'[2]Read Me'!$B$4,"Red",IF($H151-'[2]Read Me'!$B$4&lt;=21,"Amber","Green"))))</f>
        <v>Red</v>
      </c>
      <c r="N151" s="3"/>
      <c r="O151" t="str">
        <f>IF($I151&lt;&gt;"Complete",IF(COUNTIFS($A$4:$A150,$A151,$B$4:$B150,$B151,$I$4:$I150,"&lt;&gt;Complete")=0,$A151&amp;"|"&amp;$B151,""),"")</f>
        <v/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 t="s">
        <v>577</v>
      </c>
      <c r="B152" s="2" t="s">
        <v>62</v>
      </c>
      <c r="C152" s="3" t="s">
        <v>578</v>
      </c>
      <c r="D152" s="3" t="s">
        <v>32</v>
      </c>
      <c r="E152" s="2" t="s">
        <v>554</v>
      </c>
      <c r="F152" s="2"/>
      <c r="G152" s="5">
        <v>45977</v>
      </c>
      <c r="H152" s="5">
        <v>46008</v>
      </c>
      <c r="I152" s="4" t="s">
        <v>31</v>
      </c>
      <c r="J152" s="6">
        <f t="shared" si="7"/>
        <v>31</v>
      </c>
      <c r="K152" s="4" t="str">
        <f t="shared" ca="1" si="8"/>
        <v>-</v>
      </c>
      <c r="L152" s="7" t="str">
        <f>IF(I152="Completed","0",IF($H152="","",$H152-'[2]Read Me'!$B$4))</f>
        <v>0</v>
      </c>
      <c r="M152" s="4" t="str">
        <f>IF($I152="Complete","Green",IF($H152="","Amber",IF($H152&lt;'[2]Read Me'!$B$4,"Red",IF($H152-'[2]Read Me'!$B$4&lt;=21,"Amber","Green"))))</f>
        <v>Red</v>
      </c>
      <c r="N152" s="3"/>
      <c r="O152" t="str">
        <f>IF($I152&lt;&gt;"Complete",IF(COUNTIFS($A$4:$A151,$A152,$B$4:$B151,$B152,$I$4:$I151,"&lt;&gt;Complete")=0,$A152&amp;"|"&amp;$B152,""),"")</f>
        <v/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 t="s">
        <v>577</v>
      </c>
      <c r="B153" s="2" t="s">
        <v>62</v>
      </c>
      <c r="C153" s="3" t="s">
        <v>578</v>
      </c>
      <c r="D153" s="3" t="s">
        <v>19</v>
      </c>
      <c r="E153" s="2" t="s">
        <v>184</v>
      </c>
      <c r="F153" s="2" t="s">
        <v>81</v>
      </c>
      <c r="G153" s="5">
        <v>45977</v>
      </c>
      <c r="H153" s="5">
        <v>46084</v>
      </c>
      <c r="I153" s="4" t="s">
        <v>31</v>
      </c>
      <c r="J153" s="6">
        <f t="shared" si="7"/>
        <v>107</v>
      </c>
      <c r="K153" s="4" t="str">
        <f t="shared" ca="1" si="8"/>
        <v>-</v>
      </c>
      <c r="L153" s="7" t="str">
        <f>IF(I153="Completed","0",IF($H153="","",$H153-'[2]Read Me'!$B$4))</f>
        <v>0</v>
      </c>
      <c r="M153" s="4" t="str">
        <f>IF($I153="Complete","Green",IF($H153="","Amber",IF($H153&lt;'[2]Read Me'!$B$4,"Red",IF($H153-'[2]Read Me'!$B$4&lt;=21,"Amber","Green"))))</f>
        <v>Red</v>
      </c>
      <c r="N153" s="3"/>
      <c r="O153" t="str">
        <f>IF($I153&lt;&gt;"Complete",IF(COUNTIFS($A$4:$A152,$A153,$B$4:$B152,$B153,$I$4:$I152,"&lt;&gt;Complete")=0,$A153&amp;"|"&amp;$B153,""),"")</f>
        <v/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 t="s">
        <v>577</v>
      </c>
      <c r="B154" s="2" t="s">
        <v>62</v>
      </c>
      <c r="C154" s="3" t="s">
        <v>578</v>
      </c>
      <c r="D154" s="3" t="s">
        <v>14</v>
      </c>
      <c r="E154" s="2" t="s">
        <v>554</v>
      </c>
      <c r="F154" s="2" t="s">
        <v>166</v>
      </c>
      <c r="G154" s="5">
        <v>46009</v>
      </c>
      <c r="H154" s="5">
        <v>46041</v>
      </c>
      <c r="I154" s="4" t="s">
        <v>31</v>
      </c>
      <c r="J154" s="6">
        <f t="shared" si="7"/>
        <v>32</v>
      </c>
      <c r="K154" s="4" t="str">
        <f t="shared" ca="1" si="8"/>
        <v>-</v>
      </c>
      <c r="L154" s="7" t="str">
        <f>IF(I154="Completed","0",IF($H154="","",$H154-'[2]Read Me'!$B$4))</f>
        <v>0</v>
      </c>
      <c r="M154" s="4" t="str">
        <f>IF($I154="Complete","Green",IF($H154="","Amber",IF($H154&lt;'[2]Read Me'!$B$4,"Red",IF($H154-'[2]Read Me'!$B$4&lt;=21,"Amber","Green"))))</f>
        <v>Red</v>
      </c>
      <c r="N154" s="3"/>
      <c r="O154" t="str">
        <f>IF($I154&lt;&gt;"Complete",IF(COUNTIFS($A$4:$A153,$A154,$B$4:$B153,$B154,$I$4:$I153,"&lt;&gt;Complete")=0,$A154&amp;"|"&amp;$B154,""),"")</f>
        <v/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 t="s">
        <v>577</v>
      </c>
      <c r="B155" s="2" t="s">
        <v>62</v>
      </c>
      <c r="C155" s="3" t="s">
        <v>578</v>
      </c>
      <c r="D155" s="3" t="s">
        <v>34</v>
      </c>
      <c r="E155" s="2" t="s">
        <v>554</v>
      </c>
      <c r="F155" s="2"/>
      <c r="G155" s="5">
        <v>46023</v>
      </c>
      <c r="H155" s="5">
        <v>46055</v>
      </c>
      <c r="I155" s="4" t="s">
        <v>31</v>
      </c>
      <c r="J155" s="6">
        <f t="shared" si="7"/>
        <v>32</v>
      </c>
      <c r="K155" s="4" t="str">
        <f t="shared" ca="1" si="8"/>
        <v>-</v>
      </c>
      <c r="L155" s="7" t="str">
        <f>IF(I155="Completed","0",IF($H155="","",$H155-'[2]Read Me'!$B$4))</f>
        <v>0</v>
      </c>
      <c r="M155" s="4" t="str">
        <f>IF($I155="Complete","Green",IF($H155="","Amber",IF($H155&lt;'[2]Read Me'!$B$4,"Red",IF($H155-'[2]Read Me'!$B$4&lt;=21,"Amber","Green"))))</f>
        <v>Red</v>
      </c>
      <c r="N155" s="3"/>
      <c r="O155" t="str">
        <f>IF($I155&lt;&gt;"Complete",IF(COUNTIFS($A$4:$A154,$A155,$B$4:$B154,$B155,$I$4:$I154,"&lt;&gt;Complete")=0,$A155&amp;"|"&amp;$B155,""),"")</f>
        <v/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 t="s">
        <v>577</v>
      </c>
      <c r="B156" s="2" t="s">
        <v>62</v>
      </c>
      <c r="C156" s="3" t="s">
        <v>578</v>
      </c>
      <c r="D156" s="3" t="s">
        <v>15</v>
      </c>
      <c r="E156" s="2" t="s">
        <v>554</v>
      </c>
      <c r="F156" s="2" t="s">
        <v>166</v>
      </c>
      <c r="G156" s="5">
        <v>46044</v>
      </c>
      <c r="H156" s="5">
        <v>46085</v>
      </c>
      <c r="I156" s="4" t="s">
        <v>31</v>
      </c>
      <c r="J156" s="6">
        <f t="shared" si="7"/>
        <v>41</v>
      </c>
      <c r="K156" s="4" t="str">
        <f t="shared" ca="1" si="8"/>
        <v>-</v>
      </c>
      <c r="L156" s="7" t="str">
        <f>IF(I156="Completed","0",IF($H156="","",$H156-'[2]Read Me'!$B$4))</f>
        <v>0</v>
      </c>
      <c r="M156" s="4" t="str">
        <f>IF($I156="Complete","Green",IF($H156="","Amber",IF($H156&lt;'[2]Read Me'!$B$4,"Red",IF($H156-'[2]Read Me'!$B$4&lt;=21,"Amber","Green"))))</f>
        <v>Red</v>
      </c>
      <c r="N156" s="3"/>
      <c r="O156" t="str">
        <f>IF($I156&lt;&gt;"Complete",IF(COUNTIFS($A$4:$A155,$A156,$B$4:$B155,$B156,$I$4:$I155,"&lt;&gt;Complete")=0,$A156&amp;"|"&amp;$B156,""),"")</f>
        <v/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 t="s">
        <v>577</v>
      </c>
      <c r="B157" s="2" t="s">
        <v>62</v>
      </c>
      <c r="C157" s="3" t="s">
        <v>578</v>
      </c>
      <c r="D157" s="3" t="s">
        <v>83</v>
      </c>
      <c r="E157" s="2" t="s">
        <v>554</v>
      </c>
      <c r="F157" s="2" t="s">
        <v>166</v>
      </c>
      <c r="G157" s="5">
        <v>46051</v>
      </c>
      <c r="H157" s="5">
        <v>46041</v>
      </c>
      <c r="I157" s="4" t="s">
        <v>31</v>
      </c>
      <c r="J157" s="6">
        <f t="shared" si="7"/>
        <v>-10</v>
      </c>
      <c r="K157" s="4" t="str">
        <f t="shared" ca="1" si="8"/>
        <v>-</v>
      </c>
      <c r="L157" s="7" t="str">
        <f>IF(I157="Completed","0",IF($H157="","",$H157-'[2]Read Me'!$B$4))</f>
        <v>0</v>
      </c>
      <c r="M157" s="4" t="str">
        <f>IF($I157="Complete","Green",IF($H157="","Amber",IF($H157&lt;'[2]Read Me'!$B$4,"Red",IF($H157-'[2]Read Me'!$B$4&lt;=21,"Amber","Green"))))</f>
        <v>Red</v>
      </c>
      <c r="N157" s="3"/>
      <c r="O157" t="str">
        <f>IF($I157&lt;&gt;"Complete",IF(COUNTIFS($A$4:$A156,$A157,$B$4:$B156,$B157,$I$4:$I156,"&lt;&gt;Complete")=0,$A157&amp;"|"&amp;$B157,""),"")</f>
        <v/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 t="s">
        <v>577</v>
      </c>
      <c r="B158" s="2" t="s">
        <v>62</v>
      </c>
      <c r="C158" s="3" t="s">
        <v>578</v>
      </c>
      <c r="D158" s="3" t="s">
        <v>35</v>
      </c>
      <c r="E158" s="2" t="s">
        <v>554</v>
      </c>
      <c r="F158" s="2"/>
      <c r="G158" s="5">
        <v>46065</v>
      </c>
      <c r="H158" s="5">
        <v>46119</v>
      </c>
      <c r="I158" s="4" t="s">
        <v>31</v>
      </c>
      <c r="J158" s="6">
        <f t="shared" si="7"/>
        <v>54</v>
      </c>
      <c r="K158" s="4" t="str">
        <f t="shared" ca="1" si="8"/>
        <v>-</v>
      </c>
      <c r="L158" s="7" t="str">
        <f>IF(I158="Completed","0",IF($H158="","",$H158-'[2]Read Me'!$B$4))</f>
        <v>0</v>
      </c>
      <c r="M158" s="4" t="str">
        <f>IF($I158="Complete","Green",IF($H158="","Amber",IF($H158&lt;'[2]Read Me'!$B$4,"Red",IF($H158-'[2]Read Me'!$B$4&lt;=21,"Amber","Green"))))</f>
        <v>Red</v>
      </c>
      <c r="N158" s="3"/>
      <c r="O158" t="str">
        <f>IF($I158&lt;&gt;"Complete",IF(COUNTIFS($A$4:$A157,$A158,$B$4:$B157,$B158,$I$4:$I157,"&lt;&gt;Complete")=0,$A158&amp;"|"&amp;$B158,""),"")</f>
        <v/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 t="s">
        <v>577</v>
      </c>
      <c r="B159" s="2" t="s">
        <v>62</v>
      </c>
      <c r="C159" s="3" t="s">
        <v>578</v>
      </c>
      <c r="D159" s="3" t="s">
        <v>580</v>
      </c>
      <c r="E159" s="2" t="s">
        <v>554</v>
      </c>
      <c r="F159" s="2" t="s">
        <v>166</v>
      </c>
      <c r="G159" s="5">
        <v>46065</v>
      </c>
      <c r="H159" s="5">
        <v>46111</v>
      </c>
      <c r="I159" s="4" t="s">
        <v>31</v>
      </c>
      <c r="J159" s="6">
        <f t="shared" si="7"/>
        <v>46</v>
      </c>
      <c r="K159" s="4" t="str">
        <f t="shared" ca="1" si="8"/>
        <v>-</v>
      </c>
      <c r="L159" s="7" t="str">
        <f>IF(I159="Completed","0",IF($H159="","",$H159-'[2]Read Me'!$B$4))</f>
        <v>0</v>
      </c>
      <c r="M159" s="4" t="str">
        <f>IF($I159="Complete","Green",IF($H159="","Amber",IF($H159&lt;'[2]Read Me'!$B$4,"Red",IF($H159-'[2]Read Me'!$B$4&lt;=21,"Amber","Green"))))</f>
        <v>Red</v>
      </c>
      <c r="N159" s="3"/>
      <c r="O159" t="str">
        <f>IF($I159&lt;&gt;"Complete",IF(COUNTIFS($A$4:$A158,$A159,$B$4:$B158,$B159,$I$4:$I158,"&lt;&gt;Complete")=0,$A159&amp;"|"&amp;$B159,""),"")</f>
        <v/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 t="s">
        <v>577</v>
      </c>
      <c r="B160" s="2" t="s">
        <v>62</v>
      </c>
      <c r="C160" s="3" t="s">
        <v>578</v>
      </c>
      <c r="D160" s="3" t="s">
        <v>412</v>
      </c>
      <c r="E160" s="2" t="s">
        <v>184</v>
      </c>
      <c r="F160" s="2" t="s">
        <v>81</v>
      </c>
      <c r="G160" s="5">
        <v>46058</v>
      </c>
      <c r="H160" s="5">
        <v>46204</v>
      </c>
      <c r="I160" s="4" t="s">
        <v>46</v>
      </c>
      <c r="J160" s="6">
        <f t="shared" si="7"/>
        <v>146</v>
      </c>
      <c r="K160" s="4" t="str">
        <f t="shared" ca="1" si="8"/>
        <v>Yes</v>
      </c>
      <c r="L160" s="7">
        <f>IF(I160="Completed","0",IF($H160="","",$H160-'[2]Read Me'!$B$4))</f>
        <v>17</v>
      </c>
      <c r="M160" s="4" t="str">
        <f>IF($I160="Complete","Green",IF($H160="","Amber",IF($H160&lt;'[2]Read Me'!$B$4,"Red",IF($H160-'[2]Read Me'!$B$4&lt;=21,"Amber","Green"))))</f>
        <v>Amber</v>
      </c>
      <c r="N160" s="3"/>
      <c r="O160" t="str">
        <f>IF($I160&lt;&gt;"Complete",IF(COUNTIFS($A$4:$A159,$A160,$B$4:$B159,$B160,$I$4:$I159,"&lt;&gt;Complete")=0,$A160&amp;"|"&amp;$B160,""),"")</f>
        <v/>
      </c>
      <c r="P160">
        <f ca="1">IF($K160="Yes",COUNTIFS($K$4:$K160,"Yes"),"")</f>
        <v>8</v>
      </c>
      <c r="Q160">
        <f t="shared" ca="1" si="9"/>
        <v>1</v>
      </c>
      <c r="R160">
        <f ca="1">IF($Q160=1,SUM($Q$4:$Q160),"")</f>
        <v>8</v>
      </c>
    </row>
    <row r="161" spans="1:18" ht="33.75" customHeight="1" x14ac:dyDescent="0.3">
      <c r="A161" s="2" t="s">
        <v>577</v>
      </c>
      <c r="B161" s="2" t="s">
        <v>62</v>
      </c>
      <c r="C161" s="3" t="s">
        <v>578</v>
      </c>
      <c r="D161" s="3" t="s">
        <v>204</v>
      </c>
      <c r="E161" s="2" t="s">
        <v>554</v>
      </c>
      <c r="F161" s="2" t="s">
        <v>166</v>
      </c>
      <c r="G161" s="5"/>
      <c r="H161" s="5">
        <v>46127</v>
      </c>
      <c r="I161" s="4" t="s">
        <v>31</v>
      </c>
      <c r="J161" s="6" t="str">
        <f t="shared" si="7"/>
        <v/>
      </c>
      <c r="K161" s="4" t="str">
        <f t="shared" ca="1" si="8"/>
        <v>-</v>
      </c>
      <c r="L161" s="7" t="str">
        <f>IF(I161="Completed","0",IF($H161="","",$H161-'[2]Read Me'!$B$4))</f>
        <v>0</v>
      </c>
      <c r="M161" s="4" t="str">
        <f>IF($I161="Complete","Green",IF($H161="","Amber",IF($H161&lt;'[2]Read Me'!$B$4,"Red",IF($H161-'[2]Read Me'!$B$4&lt;=21,"Amber","Green"))))</f>
        <v>Red</v>
      </c>
      <c r="N161" s="3"/>
      <c r="O161" t="str">
        <f>IF($I161&lt;&gt;"Complete",IF(COUNTIFS($A$4:$A160,$A161,$B$4:$B160,$B161,$I$4:$I160,"&lt;&gt;Complete")=0,$A161&amp;"|"&amp;$B161,""),"")</f>
        <v/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 t="s">
        <v>577</v>
      </c>
      <c r="B162" s="2" t="s">
        <v>62</v>
      </c>
      <c r="C162" s="3" t="s">
        <v>578</v>
      </c>
      <c r="D162" s="3" t="s">
        <v>581</v>
      </c>
      <c r="E162" s="2" t="s">
        <v>554</v>
      </c>
      <c r="F162" s="2" t="s">
        <v>166</v>
      </c>
      <c r="G162" s="5">
        <v>46086</v>
      </c>
      <c r="H162" s="5">
        <v>46201</v>
      </c>
      <c r="I162" s="4" t="s">
        <v>46</v>
      </c>
      <c r="J162" s="6">
        <f t="shared" si="7"/>
        <v>115</v>
      </c>
      <c r="K162" s="4" t="str">
        <f t="shared" ca="1" si="8"/>
        <v>Yes</v>
      </c>
      <c r="L162" s="7">
        <f>IF(I162="Completed","0",IF($H162="","",$H162-'[2]Read Me'!$B$4))</f>
        <v>14</v>
      </c>
      <c r="M162" s="4" t="str">
        <f>IF($I162="Complete","Green",IF($H162="","Amber",IF($H162&lt;'[2]Read Me'!$B$4,"Red",IF($H162-'[2]Read Me'!$B$4&lt;=21,"Amber","Green"))))</f>
        <v>Amber</v>
      </c>
      <c r="N162" s="3"/>
      <c r="O162" t="str">
        <f>IF($I162&lt;&gt;"Complete",IF(COUNTIFS($A$4:$A161,$A162,$B$4:$B161,$B162,$I$4:$I161,"&lt;&gt;Complete")=0,$A162&amp;"|"&amp;$B162,""),"")</f>
        <v/>
      </c>
      <c r="P162">
        <f ca="1">IF($K162="Yes",COUNTIFS($K$4:$K162,"Yes"),"")</f>
        <v>9</v>
      </c>
      <c r="Q162">
        <f t="shared" ca="1" si="9"/>
        <v>1</v>
      </c>
      <c r="R162">
        <f ca="1">IF($Q162=1,SUM($Q$4:$Q162),"")</f>
        <v>9</v>
      </c>
    </row>
    <row r="163" spans="1:18" ht="33.75" customHeight="1" x14ac:dyDescent="0.3">
      <c r="A163" s="2" t="s">
        <v>577</v>
      </c>
      <c r="B163" s="2" t="s">
        <v>62</v>
      </c>
      <c r="C163" s="3" t="s">
        <v>578</v>
      </c>
      <c r="D163" s="3" t="s">
        <v>582</v>
      </c>
      <c r="E163" s="2" t="s">
        <v>554</v>
      </c>
      <c r="F163" s="2"/>
      <c r="G163" s="5">
        <v>46100</v>
      </c>
      <c r="H163" s="5">
        <v>46215</v>
      </c>
      <c r="I163" s="4" t="s">
        <v>17</v>
      </c>
      <c r="J163" s="6">
        <f t="shared" si="7"/>
        <v>115</v>
      </c>
      <c r="K163" s="4" t="str">
        <f t="shared" ca="1" si="8"/>
        <v>No</v>
      </c>
      <c r="L163" s="7">
        <f>IF(I163="Completed","0",IF($H163="","",$H163-'[2]Read Me'!$B$4))</f>
        <v>28</v>
      </c>
      <c r="M163" s="4" t="str">
        <f>IF($I163="Complete","Green",IF($H163="","Amber",IF($H163&lt;'[2]Read Me'!$B$4,"Red",IF($H163-'[2]Read Me'!$B$4&lt;=21,"Amber","Green"))))</f>
        <v>Green</v>
      </c>
      <c r="N163" s="3"/>
      <c r="O163" t="str">
        <f>IF($I163&lt;&gt;"Complete",IF(COUNTIFS($A$4:$A162,$A163,$B$4:$B162,$B163,$I$4:$I162,"&lt;&gt;Complete")=0,$A163&amp;"|"&amp;$B163,""),"")</f>
        <v/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 t="s">
        <v>577</v>
      </c>
      <c r="B164" s="2" t="s">
        <v>62</v>
      </c>
      <c r="C164" s="3" t="s">
        <v>578</v>
      </c>
      <c r="D164" s="3" t="s">
        <v>583</v>
      </c>
      <c r="E164" s="2" t="s">
        <v>554</v>
      </c>
      <c r="F164" s="2" t="s">
        <v>166</v>
      </c>
      <c r="G164" s="5">
        <v>46117</v>
      </c>
      <c r="H164" s="5">
        <v>46240</v>
      </c>
      <c r="I164" s="4" t="s">
        <v>17</v>
      </c>
      <c r="J164" s="6">
        <f t="shared" si="7"/>
        <v>123</v>
      </c>
      <c r="K164" s="4" t="str">
        <f t="shared" ca="1" si="8"/>
        <v>No</v>
      </c>
      <c r="L164" s="7">
        <f>IF(I164="Completed","0",IF($H164="","",$H164-'[2]Read Me'!$B$4))</f>
        <v>53</v>
      </c>
      <c r="M164" s="4" t="str">
        <f>IF($I164="Complete","Green",IF($H164="","Amber",IF($H164&lt;'[2]Read Me'!$B$4,"Red",IF($H164-'[2]Read Me'!$B$4&lt;=21,"Amber","Green"))))</f>
        <v>Green</v>
      </c>
      <c r="N164" s="3"/>
      <c r="O164" t="str">
        <f>IF($I164&lt;&gt;"Complete",IF(COUNTIFS($A$4:$A163,$A164,$B$4:$B163,$B164,$I$4:$I163,"&lt;&gt;Complete")=0,$A164&amp;"|"&amp;$B164,""),"")</f>
        <v/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 t="s">
        <v>577</v>
      </c>
      <c r="B165" s="2" t="s">
        <v>62</v>
      </c>
      <c r="C165" s="3" t="s">
        <v>578</v>
      </c>
      <c r="D165" s="3" t="s">
        <v>584</v>
      </c>
      <c r="E165" s="2" t="s">
        <v>554</v>
      </c>
      <c r="F165" s="2"/>
      <c r="G165" s="5">
        <v>46124</v>
      </c>
      <c r="H165" s="5">
        <v>46247</v>
      </c>
      <c r="I165" s="4" t="s">
        <v>17</v>
      </c>
      <c r="J165" s="6">
        <f t="shared" si="7"/>
        <v>123</v>
      </c>
      <c r="K165" s="4" t="str">
        <f t="shared" ca="1" si="8"/>
        <v>No</v>
      </c>
      <c r="L165" s="7">
        <f>IF(I165="Completed","0",IF($H165="","",$H165-'[2]Read Me'!$B$4))</f>
        <v>60</v>
      </c>
      <c r="M165" s="4" t="str">
        <f>IF($I165="Complete","Green",IF($H165="","Amber",IF($H165&lt;'[2]Read Me'!$B$4,"Red",IF($H165-'[2]Read Me'!$B$4&lt;=21,"Amber","Green"))))</f>
        <v>Green</v>
      </c>
      <c r="N165" s="3"/>
      <c r="O165" t="str">
        <f>IF($I165&lt;&gt;"Complete",IF(COUNTIFS($A$4:$A164,$A165,$B$4:$B164,$B165,$I$4:$I164,"&lt;&gt;Complete")=0,$A165&amp;"|"&amp;$B165,""),"")</f>
        <v/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 t="s">
        <v>577</v>
      </c>
      <c r="B166" s="2" t="s">
        <v>62</v>
      </c>
      <c r="C166" s="3" t="s">
        <v>578</v>
      </c>
      <c r="D166" s="3" t="s">
        <v>585</v>
      </c>
      <c r="E166" s="2"/>
      <c r="F166" s="2"/>
      <c r="G166" s="5">
        <v>46138</v>
      </c>
      <c r="H166" s="5">
        <v>46261</v>
      </c>
      <c r="I166" s="4" t="s">
        <v>17</v>
      </c>
      <c r="J166" s="6">
        <f t="shared" si="7"/>
        <v>123</v>
      </c>
      <c r="K166" s="4" t="str">
        <f t="shared" ca="1" si="8"/>
        <v>No</v>
      </c>
      <c r="L166" s="7">
        <f>IF(I166="Completed","0",IF($H166="","",$H166-'[2]Read Me'!$B$4))</f>
        <v>74</v>
      </c>
      <c r="M166" s="4" t="str">
        <f>IF($I166="Complete","Green",IF($H166="","Amber",IF($H166&lt;'[2]Read Me'!$B$4,"Red",IF($H166-'[2]Read Me'!$B$4&lt;=21,"Amber","Green"))))</f>
        <v>Green</v>
      </c>
      <c r="N166" s="3"/>
      <c r="O166" t="str">
        <f>IF($I166&lt;&gt;"Complete",IF(COUNTIFS($A$4:$A165,$A166,$B$4:$B165,$B166,$I$4:$I165,"&lt;&gt;Complete")=0,$A166&amp;"|"&amp;$B166,""),"")</f>
        <v/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 t="s">
        <v>577</v>
      </c>
      <c r="B167" s="2" t="s">
        <v>62</v>
      </c>
      <c r="C167" s="3" t="s">
        <v>578</v>
      </c>
      <c r="D167" s="3" t="s">
        <v>586</v>
      </c>
      <c r="E167" s="2"/>
      <c r="F167" s="2"/>
      <c r="G167" s="5">
        <v>46145</v>
      </c>
      <c r="H167" s="5">
        <v>46268</v>
      </c>
      <c r="I167" s="4" t="s">
        <v>17</v>
      </c>
      <c r="J167" s="6">
        <f t="shared" si="7"/>
        <v>123</v>
      </c>
      <c r="K167" s="4" t="str">
        <f t="shared" ca="1" si="8"/>
        <v>No</v>
      </c>
      <c r="L167" s="7">
        <f>IF(I167="Completed","0",IF($H167="","",$H167-'[2]Read Me'!$B$4))</f>
        <v>81</v>
      </c>
      <c r="M167" s="4" t="str">
        <f>IF($I167="Complete","Green",IF($H167="","Amber",IF($H167&lt;'[2]Read Me'!$B$4,"Red",IF($H167-'[2]Read Me'!$B$4&lt;=21,"Amber","Green"))))</f>
        <v>Green</v>
      </c>
      <c r="N167" s="3"/>
      <c r="O167" t="str">
        <f>IF($I167&lt;&gt;"Complete",IF(COUNTIFS($A$4:$A166,$A167,$B$4:$B166,$B167,$I$4:$I166,"&lt;&gt;Complete")=0,$A167&amp;"|"&amp;$B167,""),"")</f>
        <v/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 t="s">
        <v>577</v>
      </c>
      <c r="B168" s="2" t="s">
        <v>49</v>
      </c>
      <c r="C168" s="3"/>
      <c r="D168" s="3"/>
      <c r="E168" s="2"/>
      <c r="F168" s="2"/>
      <c r="G168" s="5">
        <v>46191</v>
      </c>
      <c r="H168" s="5">
        <v>46292</v>
      </c>
      <c r="I168" s="4"/>
      <c r="J168" s="6">
        <f t="shared" si="7"/>
        <v>101</v>
      </c>
      <c r="K168" s="4" t="str">
        <f t="shared" ca="1" si="8"/>
        <v/>
      </c>
      <c r="L168" s="7">
        <f>IF(I168="Completed","0",IF($H168="","",$H168-'[2]Read Me'!$B$4))</f>
        <v>105</v>
      </c>
      <c r="M168" s="4" t="str">
        <f>IF($I168="Complete","Green",IF($H168="","Amber",IF($H168&lt;'[2]Read Me'!$B$4,"Red",IF($H168-'[2]Read Me'!$B$4&lt;=21,"Amber","Green"))))</f>
        <v>Green</v>
      </c>
      <c r="N168" s="3"/>
      <c r="O168" t="str">
        <f>IF($I168&lt;&gt;"Complete",IF(COUNTIFS($A$4:$A167,$A168,$B$4:$B167,$B168,$I$4:$I167,"&lt;&gt;Complete")=0,$A168&amp;"|"&amp;$B168,""),"")</f>
        <v>Ph - 2A 2B|Authorities</v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 t="s">
        <v>577</v>
      </c>
      <c r="B169" s="2" t="s">
        <v>49</v>
      </c>
      <c r="C169" s="3" t="s">
        <v>366</v>
      </c>
      <c r="D169" s="3" t="s">
        <v>110</v>
      </c>
      <c r="E169" s="2" t="s">
        <v>104</v>
      </c>
      <c r="F169" s="2"/>
      <c r="G169" s="5">
        <v>45999</v>
      </c>
      <c r="H169" s="5">
        <v>46106</v>
      </c>
      <c r="I169" s="4" t="s">
        <v>31</v>
      </c>
      <c r="J169" s="6">
        <f t="shared" si="7"/>
        <v>107</v>
      </c>
      <c r="K169" s="4" t="str">
        <f t="shared" ca="1" si="8"/>
        <v>-</v>
      </c>
      <c r="L169" s="7" t="str">
        <f>IF(I169="Completed","0",IF($H169="","",$H169-'[2]Read Me'!$B$4))</f>
        <v>0</v>
      </c>
      <c r="M169" s="4" t="str">
        <f>IF($I169="Complete","Green",IF($H169="","Amber",IF($H169&lt;'[2]Read Me'!$B$4,"Red",IF($H169-'[2]Read Me'!$B$4&lt;=21,"Amber","Green"))))</f>
        <v>Red</v>
      </c>
      <c r="N169" s="3"/>
      <c r="O169" t="str">
        <f>IF($I169&lt;&gt;"Complete",IF(COUNTIFS($A$4:$A168,$A169,$B$4:$B168,$B169,$I$4:$I168,"&lt;&gt;Complete")=0,$A169&amp;"|"&amp;$B169,""),"")</f>
        <v/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 t="s">
        <v>577</v>
      </c>
      <c r="B170" s="2" t="s">
        <v>49</v>
      </c>
      <c r="C170" s="3" t="s">
        <v>366</v>
      </c>
      <c r="D170" s="3" t="s">
        <v>91</v>
      </c>
      <c r="E170" s="2" t="s">
        <v>104</v>
      </c>
      <c r="F170" s="2"/>
      <c r="G170" s="5">
        <v>46065</v>
      </c>
      <c r="H170" s="5">
        <v>46208</v>
      </c>
      <c r="I170" s="4" t="s">
        <v>46</v>
      </c>
      <c r="J170" s="6">
        <f t="shared" si="7"/>
        <v>143</v>
      </c>
      <c r="K170" s="4" t="str">
        <f t="shared" ca="1" si="8"/>
        <v>No</v>
      </c>
      <c r="L170" s="7">
        <f>IF(I170="Completed","0",IF($H170="","",$H170-'[2]Read Me'!$B$4))</f>
        <v>21</v>
      </c>
      <c r="M170" s="4" t="str">
        <f>IF($I170="Complete","Green",IF($H170="","Amber",IF($H170&lt;'[2]Read Me'!$B$4,"Red",IF($H170-'[2]Read Me'!$B$4&lt;=21,"Amber","Green"))))</f>
        <v>Amber</v>
      </c>
      <c r="N170" s="3"/>
      <c r="O170" t="str">
        <f>IF($I170&lt;&gt;"Complete",IF(COUNTIFS($A$4:$A169,$A170,$B$4:$B169,$B170,$I$4:$I169,"&lt;&gt;Complete")=0,$A170&amp;"|"&amp;$B170,""),"")</f>
        <v/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 t="s">
        <v>577</v>
      </c>
      <c r="B171" s="2" t="s">
        <v>49</v>
      </c>
      <c r="C171" s="3" t="s">
        <v>366</v>
      </c>
      <c r="D171" s="3" t="s">
        <v>93</v>
      </c>
      <c r="E171" s="2" t="s">
        <v>104</v>
      </c>
      <c r="F171" s="2"/>
      <c r="G171" s="5">
        <v>46107</v>
      </c>
      <c r="H171" s="5">
        <v>46236</v>
      </c>
      <c r="I171" s="4" t="s">
        <v>17</v>
      </c>
      <c r="J171" s="6">
        <f t="shared" si="7"/>
        <v>129</v>
      </c>
      <c r="K171" s="4" t="str">
        <f t="shared" ca="1" si="8"/>
        <v>No</v>
      </c>
      <c r="L171" s="7">
        <f>IF(I171="Completed","0",IF($H171="","",$H171-'[2]Read Me'!$B$4))</f>
        <v>49</v>
      </c>
      <c r="M171" s="4" t="str">
        <f>IF($I171="Complete","Green",IF($H171="","Amber",IF($H171&lt;'[2]Read Me'!$B$4,"Red",IF($H171-'[2]Read Me'!$B$4&lt;=21,"Amber","Green"))))</f>
        <v>Green</v>
      </c>
      <c r="N171" s="3"/>
      <c r="O171" t="str">
        <f>IF($I171&lt;&gt;"Complete",IF(COUNTIFS($A$4:$A170,$A171,$B$4:$B170,$B171,$I$4:$I170,"&lt;&gt;Complete")=0,$A171&amp;"|"&amp;$B171,""),"")</f>
        <v/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 t="s">
        <v>577</v>
      </c>
      <c r="B172" s="2" t="s">
        <v>49</v>
      </c>
      <c r="C172" s="3" t="s">
        <v>366</v>
      </c>
      <c r="D172" s="3" t="s">
        <v>94</v>
      </c>
      <c r="E172" s="2" t="s">
        <v>104</v>
      </c>
      <c r="F172" s="2"/>
      <c r="G172" s="5">
        <v>46191</v>
      </c>
      <c r="H172" s="5">
        <v>46292</v>
      </c>
      <c r="I172" s="4" t="s">
        <v>17</v>
      </c>
      <c r="J172" s="6">
        <f t="shared" si="7"/>
        <v>101</v>
      </c>
      <c r="K172" s="4" t="str">
        <f t="shared" ca="1" si="8"/>
        <v>No</v>
      </c>
      <c r="L172" s="7">
        <f>IF(I172="Completed","0",IF($H172="","",$H172-'[2]Read Me'!$B$4))</f>
        <v>105</v>
      </c>
      <c r="M172" s="4" t="str">
        <f>IF($I172="Complete","Green",IF($H172="","Amber",IF($H172&lt;'[2]Read Me'!$B$4,"Red",IF($H172-'[2]Read Me'!$B$4&lt;=21,"Amber","Green"))))</f>
        <v>Green</v>
      </c>
      <c r="N172" s="3"/>
      <c r="O172" t="str">
        <f>IF($I172&lt;&gt;"Complete",IF(COUNTIFS($A$4:$A171,$A172,$B$4:$B171,$B172,$I$4:$I171,"&lt;&gt;Complete")=0,$A172&amp;"|"&amp;$B172,""),"")</f>
        <v/>
      </c>
      <c r="P172" t="str">
        <f ca="1">IF($K172="Yes",COUNTIFS($K$4:$K172,"Yes"),"")</f>
        <v/>
      </c>
      <c r="Q172">
        <f t="shared" ca="1" si="9"/>
        <v>0</v>
      </c>
      <c r="R172" t="str">
        <f ca="1">IF($Q172=1,SUM($Q$4:$Q172),"")</f>
        <v/>
      </c>
    </row>
    <row r="173" spans="1:18" ht="33.75" customHeight="1" x14ac:dyDescent="0.3">
      <c r="A173" s="2" t="s">
        <v>577</v>
      </c>
      <c r="B173" s="2" t="s">
        <v>140</v>
      </c>
      <c r="C173" s="3"/>
      <c r="D173" s="3"/>
      <c r="E173" s="2"/>
      <c r="F173" s="2"/>
      <c r="G173" s="5">
        <v>46033</v>
      </c>
      <c r="H173" s="5">
        <v>46247</v>
      </c>
      <c r="I173" s="4"/>
      <c r="J173" s="6">
        <f t="shared" si="7"/>
        <v>214</v>
      </c>
      <c r="K173" s="4" t="str">
        <f t="shared" ca="1" si="8"/>
        <v/>
      </c>
      <c r="L173" s="7">
        <f>IF(I173="Completed","0",IF($H173="","",$H173-'[2]Read Me'!$B$4))</f>
        <v>60</v>
      </c>
      <c r="M173" s="4" t="str">
        <f>IF($I173="Complete","Green",IF($H173="","Amber",IF($H173&lt;'[2]Read Me'!$B$4,"Red",IF($H173-'[2]Read Me'!$B$4&lt;=21,"Amber","Green"))))</f>
        <v>Green</v>
      </c>
      <c r="N173" s="3"/>
      <c r="O173" t="str">
        <f>IF($I173&lt;&gt;"Complete",IF(COUNTIFS($A$4:$A172,$A173,$B$4:$B172,$B173,$I$4:$I172,"&lt;&gt;Complete")=0,$A173&amp;"|"&amp;$B173,""),"")</f>
        <v>Ph - 2A 2B|Masterplan</v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 t="s">
        <v>577</v>
      </c>
      <c r="B174" s="2" t="s">
        <v>140</v>
      </c>
      <c r="C174" s="3" t="s">
        <v>587</v>
      </c>
      <c r="D174" s="3" t="s">
        <v>588</v>
      </c>
      <c r="E174" s="2" t="s">
        <v>554</v>
      </c>
      <c r="F174" s="2" t="s">
        <v>79</v>
      </c>
      <c r="G174" s="5">
        <v>45606</v>
      </c>
      <c r="H174" s="5">
        <v>45606</v>
      </c>
      <c r="I174" s="4" t="s">
        <v>31</v>
      </c>
      <c r="J174" s="6">
        <f t="shared" si="7"/>
        <v>0</v>
      </c>
      <c r="K174" s="4" t="str">
        <f t="shared" ca="1" si="8"/>
        <v>-</v>
      </c>
      <c r="L174" s="7" t="str">
        <f>IF(I174="Completed","0",IF($H174="","",$H174-'[2]Read Me'!$B$4))</f>
        <v>0</v>
      </c>
      <c r="M174" s="4" t="str">
        <f>IF($I174="Complete","Green",IF($H174="","Amber",IF($H174&lt;'[2]Read Me'!$B$4,"Red",IF($H174-'[2]Read Me'!$B$4&lt;=21,"Amber","Green"))))</f>
        <v>Red</v>
      </c>
      <c r="N174" s="3"/>
      <c r="O174" t="str">
        <f>IF($I174&lt;&gt;"Complete",IF(COUNTIFS($A$4:$A173,$A174,$B$4:$B173,$B174,$I$4:$I173,"&lt;&gt;Complete")=0,$A174&amp;"|"&amp;$B174,""),"")</f>
        <v/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 t="s">
        <v>577</v>
      </c>
      <c r="B175" s="2" t="s">
        <v>140</v>
      </c>
      <c r="C175" s="3" t="s">
        <v>587</v>
      </c>
      <c r="D175" s="3" t="s">
        <v>70</v>
      </c>
      <c r="E175" s="2" t="s">
        <v>554</v>
      </c>
      <c r="F175" s="2"/>
      <c r="G175" s="5">
        <v>45620</v>
      </c>
      <c r="H175" s="5">
        <v>45620</v>
      </c>
      <c r="I175" s="4" t="s">
        <v>31</v>
      </c>
      <c r="J175" s="6">
        <f t="shared" si="7"/>
        <v>0</v>
      </c>
      <c r="K175" s="4" t="str">
        <f t="shared" ca="1" si="8"/>
        <v>-</v>
      </c>
      <c r="L175" s="7" t="str">
        <f>IF(I175="Completed","0",IF($H175="","",$H175-'[2]Read Me'!$B$4))</f>
        <v>0</v>
      </c>
      <c r="M175" s="4" t="str">
        <f>IF($I175="Complete","Green",IF($H175="","Amber",IF($H175&lt;'[2]Read Me'!$B$4,"Red",IF($H175-'[2]Read Me'!$B$4&lt;=21,"Amber","Green"))))</f>
        <v>Red</v>
      </c>
      <c r="N175" s="3"/>
      <c r="O175" t="str">
        <f>IF($I175&lt;&gt;"Complete",IF(COUNTIFS($A$4:$A174,$A175,$B$4:$B174,$B175,$I$4:$I174,"&lt;&gt;Complete")=0,$A175&amp;"|"&amp;$B175,""),"")</f>
        <v/>
      </c>
      <c r="P175" t="str">
        <f ca="1">IF($K175="Yes",COUNTIFS($K$4:$K175,"Yes"),"")</f>
        <v/>
      </c>
      <c r="Q175">
        <f t="shared" ca="1" si="9"/>
        <v>0</v>
      </c>
      <c r="R175" t="str">
        <f ca="1">IF($Q175=1,SUM($Q$4:$Q175),"")</f>
        <v/>
      </c>
    </row>
    <row r="176" spans="1:18" ht="22.5" customHeight="1" x14ac:dyDescent="0.3">
      <c r="A176" s="2" t="s">
        <v>577</v>
      </c>
      <c r="B176" s="2" t="s">
        <v>140</v>
      </c>
      <c r="C176" s="3" t="s">
        <v>587</v>
      </c>
      <c r="D176" s="3" t="s">
        <v>562</v>
      </c>
      <c r="E176" s="2" t="s">
        <v>554</v>
      </c>
      <c r="F176" s="2" t="s">
        <v>79</v>
      </c>
      <c r="G176" s="5">
        <v>45634</v>
      </c>
      <c r="H176" s="5">
        <v>45634</v>
      </c>
      <c r="I176" s="4" t="s">
        <v>31</v>
      </c>
      <c r="J176" s="6">
        <f t="shared" si="7"/>
        <v>0</v>
      </c>
      <c r="K176" s="4" t="str">
        <f t="shared" ca="1" si="8"/>
        <v>-</v>
      </c>
      <c r="L176" s="7" t="str">
        <f>IF(I176="Completed","0",IF($H176="","",$H176-'[2]Read Me'!$B$4))</f>
        <v>0</v>
      </c>
      <c r="M176" s="4" t="str">
        <f>IF($I176="Complete","Green",IF($H176="","Amber",IF($H176&lt;'[2]Read Me'!$B$4,"Red",IF($H176-'[2]Read Me'!$B$4&lt;=21,"Amber","Green"))))</f>
        <v>Red</v>
      </c>
      <c r="N176" s="3"/>
      <c r="O176" t="str">
        <f>IF($I176&lt;&gt;"Complete",IF(COUNTIFS($A$4:$A175,$A176,$B$4:$B175,$B176,$I$4:$I175,"&lt;&gt;Complete")=0,$A176&amp;"|"&amp;$B176,""),"")</f>
        <v/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 t="s">
        <v>577</v>
      </c>
      <c r="B177" s="2" t="s">
        <v>140</v>
      </c>
      <c r="C177" s="3" t="s">
        <v>587</v>
      </c>
      <c r="D177" s="3" t="s">
        <v>47</v>
      </c>
      <c r="E177" s="2" t="s">
        <v>554</v>
      </c>
      <c r="F177" s="2"/>
      <c r="G177" s="5">
        <v>45648</v>
      </c>
      <c r="H177" s="5">
        <v>45648</v>
      </c>
      <c r="I177" s="4" t="s">
        <v>31</v>
      </c>
      <c r="J177" s="6">
        <f t="shared" si="7"/>
        <v>0</v>
      </c>
      <c r="K177" s="4" t="str">
        <f t="shared" ca="1" si="8"/>
        <v>-</v>
      </c>
      <c r="L177" s="7" t="str">
        <f>IF(I177="Completed","0",IF($H177="","",$H177-'[2]Read Me'!$B$4))</f>
        <v>0</v>
      </c>
      <c r="M177" s="4" t="str">
        <f>IF($I177="Complete","Green",IF($H177="","Amber",IF($H177&lt;'[2]Read Me'!$B$4,"Red",IF($H177-'[2]Read Me'!$B$4&lt;=21,"Amber","Green"))))</f>
        <v>Red</v>
      </c>
      <c r="N177" s="3"/>
      <c r="O177" t="str">
        <f>IF($I177&lt;&gt;"Complete",IF(COUNTIFS($A$4:$A176,$A177,$B$4:$B176,$B177,$I$4:$I176,"&lt;&gt;Complete")=0,$A177&amp;"|"&amp;$B177,""),"")</f>
        <v/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 t="s">
        <v>577</v>
      </c>
      <c r="B178" s="2" t="s">
        <v>140</v>
      </c>
      <c r="C178" s="3" t="s">
        <v>587</v>
      </c>
      <c r="D178" s="3" t="s">
        <v>563</v>
      </c>
      <c r="E178" s="2" t="s">
        <v>554</v>
      </c>
      <c r="F178" s="2" t="s">
        <v>79</v>
      </c>
      <c r="G178" s="5">
        <v>45662</v>
      </c>
      <c r="H178" s="5">
        <v>45662</v>
      </c>
      <c r="I178" s="4" t="s">
        <v>31</v>
      </c>
      <c r="J178" s="6">
        <f t="shared" si="7"/>
        <v>0</v>
      </c>
      <c r="K178" s="4" t="str">
        <f t="shared" ca="1" si="8"/>
        <v>-</v>
      </c>
      <c r="L178" s="7" t="str">
        <f>IF(I178="Completed","0",IF($H178="","",$H178-'[2]Read Me'!$B$4))</f>
        <v>0</v>
      </c>
      <c r="M178" s="4" t="str">
        <f>IF($I178="Complete","Green",IF($H178="","Amber",IF($H178&lt;'[2]Read Me'!$B$4,"Red",IF($H178-'[2]Read Me'!$B$4&lt;=21,"Amber","Green"))))</f>
        <v>Red</v>
      </c>
      <c r="N178" s="3"/>
      <c r="O178" t="str">
        <f>IF($I178&lt;&gt;"Complete",IF(COUNTIFS($A$4:$A177,$A178,$B$4:$B177,$B178,$I$4:$I177,"&lt;&gt;Complete")=0,$A178&amp;"|"&amp;$B178,""),"")</f>
        <v/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 t="s">
        <v>577</v>
      </c>
      <c r="B179" s="2" t="s">
        <v>140</v>
      </c>
      <c r="C179" s="3" t="s">
        <v>587</v>
      </c>
      <c r="D179" s="3" t="s">
        <v>32</v>
      </c>
      <c r="E179" s="2" t="s">
        <v>554</v>
      </c>
      <c r="F179" s="2"/>
      <c r="G179" s="5">
        <v>45676</v>
      </c>
      <c r="H179" s="5">
        <v>45676</v>
      </c>
      <c r="I179" s="4" t="s">
        <v>31</v>
      </c>
      <c r="J179" s="6">
        <f t="shared" si="7"/>
        <v>0</v>
      </c>
      <c r="K179" s="4" t="str">
        <f t="shared" ca="1" si="8"/>
        <v>-</v>
      </c>
      <c r="L179" s="7" t="str">
        <f>IF(I179="Completed","0",IF($H179="","",$H179-'[2]Read Me'!$B$4))</f>
        <v>0</v>
      </c>
      <c r="M179" s="4" t="str">
        <f>IF($I179="Complete","Green",IF($H179="","Amber",IF($H179&lt;'[2]Read Me'!$B$4,"Red",IF($H179-'[2]Read Me'!$B$4&lt;=21,"Amber","Green"))))</f>
        <v>Red</v>
      </c>
      <c r="N179" s="3"/>
      <c r="O179" t="str">
        <f>IF($I179&lt;&gt;"Complete",IF(COUNTIFS($A$4:$A178,$A179,$B$4:$B178,$B179,$I$4:$I178,"&lt;&gt;Complete")=0,$A179&amp;"|"&amp;$B179,""),"")</f>
        <v/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 t="s">
        <v>577</v>
      </c>
      <c r="B180" s="2" t="s">
        <v>140</v>
      </c>
      <c r="C180" s="3" t="s">
        <v>587</v>
      </c>
      <c r="D180" s="3" t="s">
        <v>14</v>
      </c>
      <c r="E180" s="2" t="s">
        <v>554</v>
      </c>
      <c r="F180" s="2" t="s">
        <v>79</v>
      </c>
      <c r="G180" s="5">
        <v>45907</v>
      </c>
      <c r="H180" s="5">
        <v>45907</v>
      </c>
      <c r="I180" s="4" t="s">
        <v>31</v>
      </c>
      <c r="J180" s="6">
        <f t="shared" si="7"/>
        <v>0</v>
      </c>
      <c r="K180" s="4" t="str">
        <f t="shared" ca="1" si="8"/>
        <v>-</v>
      </c>
      <c r="L180" s="7" t="str">
        <f>IF(I180="Completed","0",IF($H180="","",$H180-'[2]Read Me'!$B$4))</f>
        <v>0</v>
      </c>
      <c r="M180" s="4" t="str">
        <f>IF($I180="Complete","Green",IF($H180="","Amber",IF($H180&lt;'[2]Read Me'!$B$4,"Red",IF($H180-'[2]Read Me'!$B$4&lt;=21,"Amber","Green"))))</f>
        <v>Red</v>
      </c>
      <c r="N180" s="3"/>
      <c r="O180" t="str">
        <f>IF($I180&lt;&gt;"Complete",IF(COUNTIFS($A$4:$A179,$A180,$B$4:$B179,$B180,$I$4:$I179,"&lt;&gt;Complete")=0,$A180&amp;"|"&amp;$B180,""),"")</f>
        <v/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 t="s">
        <v>577</v>
      </c>
      <c r="B181" s="2" t="s">
        <v>140</v>
      </c>
      <c r="C181" s="3" t="s">
        <v>587</v>
      </c>
      <c r="D181" s="3" t="s">
        <v>34</v>
      </c>
      <c r="E181" s="2" t="s">
        <v>554</v>
      </c>
      <c r="F181" s="2"/>
      <c r="G181" s="5">
        <v>45921</v>
      </c>
      <c r="H181" s="5">
        <v>45921</v>
      </c>
      <c r="I181" s="4" t="s">
        <v>31</v>
      </c>
      <c r="J181" s="6">
        <f t="shared" si="7"/>
        <v>0</v>
      </c>
      <c r="K181" s="4" t="str">
        <f t="shared" ca="1" si="8"/>
        <v>-</v>
      </c>
      <c r="L181" s="7" t="str">
        <f>IF(I181="Completed","0",IF($H181="","",$H181-'[2]Read Me'!$B$4))</f>
        <v>0</v>
      </c>
      <c r="M181" s="4" t="str">
        <f>IF($I181="Complete","Green",IF($H181="","Amber",IF($H181&lt;'[2]Read Me'!$B$4,"Red",IF($H181-'[2]Read Me'!$B$4&lt;=21,"Amber","Green"))))</f>
        <v>Red</v>
      </c>
      <c r="N181" s="3"/>
      <c r="O181" t="str">
        <f>IF($I181&lt;&gt;"Complete",IF(COUNTIFS($A$4:$A180,$A181,$B$4:$B180,$B181,$I$4:$I180,"&lt;&gt;Complete")=0,$A181&amp;"|"&amp;$B181,""),"")</f>
        <v/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 t="s">
        <v>577</v>
      </c>
      <c r="B182" s="2" t="s">
        <v>140</v>
      </c>
      <c r="C182" s="3" t="s">
        <v>587</v>
      </c>
      <c r="D182" s="3" t="s">
        <v>15</v>
      </c>
      <c r="E182" s="2" t="s">
        <v>554</v>
      </c>
      <c r="F182" s="2" t="s">
        <v>79</v>
      </c>
      <c r="G182" s="5">
        <v>45970</v>
      </c>
      <c r="H182" s="5">
        <v>45999</v>
      </c>
      <c r="I182" s="4" t="s">
        <v>31</v>
      </c>
      <c r="J182" s="6">
        <f t="shared" si="7"/>
        <v>29</v>
      </c>
      <c r="K182" s="4" t="str">
        <f t="shared" ca="1" si="8"/>
        <v>-</v>
      </c>
      <c r="L182" s="7" t="str">
        <f>IF(I182="Completed","0",IF($H182="","",$H182-'[2]Read Me'!$B$4))</f>
        <v>0</v>
      </c>
      <c r="M182" s="4" t="str">
        <f>IF($I182="Complete","Green",IF($H182="","Amber",IF($H182&lt;'[2]Read Me'!$B$4,"Red",IF($H182-'[2]Read Me'!$B$4&lt;=21,"Amber","Green"))))</f>
        <v>Red</v>
      </c>
      <c r="N182" s="3"/>
      <c r="O182" t="str">
        <f>IF($I182&lt;&gt;"Complete",IF(COUNTIFS($A$4:$A181,$A182,$B$4:$B181,$B182,$I$4:$I181,"&lt;&gt;Complete")=0,$A182&amp;"|"&amp;$B182,""),"")</f>
        <v/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 t="s">
        <v>577</v>
      </c>
      <c r="B183" s="2" t="s">
        <v>140</v>
      </c>
      <c r="C183" s="3" t="s">
        <v>587</v>
      </c>
      <c r="D183" s="3" t="s">
        <v>35</v>
      </c>
      <c r="E183" s="2" t="s">
        <v>554</v>
      </c>
      <c r="F183" s="2"/>
      <c r="G183" s="5">
        <v>45984</v>
      </c>
      <c r="H183" s="5">
        <v>46041</v>
      </c>
      <c r="I183" s="4" t="s">
        <v>31</v>
      </c>
      <c r="J183" s="6">
        <f t="shared" si="7"/>
        <v>57</v>
      </c>
      <c r="K183" s="4" t="str">
        <f t="shared" ca="1" si="8"/>
        <v>-</v>
      </c>
      <c r="L183" s="7" t="str">
        <f>IF(I183="Completed","0",IF($H183="","",$H183-'[2]Read Me'!$B$4))</f>
        <v>0</v>
      </c>
      <c r="M183" s="4" t="str">
        <f>IF($I183="Complete","Green",IF($H183="","Amber",IF($H183&lt;'[2]Read Me'!$B$4,"Red",IF($H183-'[2]Read Me'!$B$4&lt;=21,"Amber","Green"))))</f>
        <v>Red</v>
      </c>
      <c r="N183" s="3"/>
      <c r="O183" t="str">
        <f>IF($I183&lt;&gt;"Complete",IF(COUNTIFS($A$4:$A182,$A183,$B$4:$B182,$B183,$I$4:$I182,"&lt;&gt;Complete")=0,$A183&amp;"|"&amp;$B183,""),"")</f>
        <v/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 t="s">
        <v>577</v>
      </c>
      <c r="B184" s="2" t="s">
        <v>140</v>
      </c>
      <c r="C184" s="3" t="s">
        <v>587</v>
      </c>
      <c r="D184" s="3" t="s">
        <v>16</v>
      </c>
      <c r="E184" s="2" t="s">
        <v>554</v>
      </c>
      <c r="F184" s="2" t="s">
        <v>79</v>
      </c>
      <c r="G184" s="5">
        <v>46005</v>
      </c>
      <c r="H184" s="5">
        <v>46114</v>
      </c>
      <c r="I184" s="4" t="s">
        <v>31</v>
      </c>
      <c r="J184" s="6">
        <f t="shared" si="7"/>
        <v>109</v>
      </c>
      <c r="K184" s="4" t="str">
        <f t="shared" ca="1" si="8"/>
        <v>-</v>
      </c>
      <c r="L184" s="7" t="str">
        <f>IF(I184="Completed","0",IF($H184="","",$H184-'[2]Read Me'!$B$4))</f>
        <v>0</v>
      </c>
      <c r="M184" s="4" t="str">
        <f>IF($I184="Complete","Green",IF($H184="","Amber",IF($H184&lt;'[2]Read Me'!$B$4,"Red",IF($H184-'[2]Read Me'!$B$4&lt;=21,"Amber","Green"))))</f>
        <v>Red</v>
      </c>
      <c r="N184" s="3"/>
      <c r="O184" t="str">
        <f>IF($I184&lt;&gt;"Complete",IF(COUNTIFS($A$4:$A183,$A184,$B$4:$B183,$B184,$I$4:$I183,"&lt;&gt;Complete")=0,$A184&amp;"|"&amp;$B184,""),"")</f>
        <v/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 t="s">
        <v>577</v>
      </c>
      <c r="B185" s="2" t="s">
        <v>140</v>
      </c>
      <c r="C185" s="3" t="s">
        <v>587</v>
      </c>
      <c r="D185" s="3" t="s">
        <v>37</v>
      </c>
      <c r="E185" s="2" t="s">
        <v>554</v>
      </c>
      <c r="F185" s="2"/>
      <c r="G185" s="5">
        <v>46019</v>
      </c>
      <c r="H185" s="5">
        <v>46119</v>
      </c>
      <c r="I185" s="4" t="s">
        <v>31</v>
      </c>
      <c r="J185" s="6">
        <f t="shared" si="7"/>
        <v>100</v>
      </c>
      <c r="K185" s="4" t="str">
        <f t="shared" ca="1" si="8"/>
        <v>-</v>
      </c>
      <c r="L185" s="7" t="str">
        <f>IF(I185="Completed","0",IF($H185="","",$H185-'[2]Read Me'!$B$4))</f>
        <v>0</v>
      </c>
      <c r="M185" s="4" t="str">
        <f>IF($I185="Complete","Green",IF($H185="","Amber",IF($H185&lt;'[2]Read Me'!$B$4,"Red",IF($H185-'[2]Read Me'!$B$4&lt;=21,"Amber","Green"))))</f>
        <v>Red</v>
      </c>
      <c r="N185" s="3"/>
      <c r="O185" t="str">
        <f>IF($I185&lt;&gt;"Complete",IF(COUNTIFS($A$4:$A184,$A185,$B$4:$B184,$B185,$I$4:$I184,"&lt;&gt;Complete")=0,$A185&amp;"|"&amp;$B185,""),"")</f>
        <v/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 t="s">
        <v>577</v>
      </c>
      <c r="B186" s="2" t="s">
        <v>140</v>
      </c>
      <c r="C186" s="3" t="s">
        <v>587</v>
      </c>
      <c r="D186" s="3" t="s">
        <v>387</v>
      </c>
      <c r="E186" s="2" t="s">
        <v>554</v>
      </c>
      <c r="F186" s="2"/>
      <c r="G186" s="5">
        <v>46033</v>
      </c>
      <c r="H186" s="5">
        <v>46247</v>
      </c>
      <c r="I186" s="4" t="s">
        <v>17</v>
      </c>
      <c r="J186" s="6">
        <f t="shared" si="7"/>
        <v>214</v>
      </c>
      <c r="K186" s="4" t="str">
        <f t="shared" ca="1" si="8"/>
        <v>No</v>
      </c>
      <c r="L186" s="7">
        <f>IF(I186="Completed","0",IF($H186="","",$H186-'[2]Read Me'!$B$4))</f>
        <v>60</v>
      </c>
      <c r="M186" s="4" t="str">
        <f>IF($I186="Complete","Green",IF($H186="","Amber",IF($H186&lt;'[2]Read Me'!$B$4,"Red",IF($H186-'[2]Read Me'!$B$4&lt;=21,"Amber","Green"))))</f>
        <v>Green</v>
      </c>
      <c r="N186" s="3"/>
      <c r="O186" t="str">
        <f>IF($I186&lt;&gt;"Complete",IF(COUNTIFS($A$4:$A185,$A186,$B$4:$B185,$B186,$I$4:$I185,"&lt;&gt;Complete")=0,$A186&amp;"|"&amp;$B186,""),"")</f>
        <v/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 t="s">
        <v>577</v>
      </c>
      <c r="B187" s="2" t="s">
        <v>171</v>
      </c>
      <c r="C187" s="3"/>
      <c r="D187" s="3"/>
      <c r="E187" s="2"/>
      <c r="F187" s="2"/>
      <c r="G187" s="5">
        <v>46090</v>
      </c>
      <c r="H187" s="5">
        <v>46147</v>
      </c>
      <c r="I187" s="4"/>
      <c r="J187" s="6">
        <f t="shared" si="7"/>
        <v>57</v>
      </c>
      <c r="K187" s="4" t="str">
        <f t="shared" ca="1" si="8"/>
        <v/>
      </c>
      <c r="L187" s="7">
        <f>IF(I187="Completed","0",IF($H187="","",$H187-'[2]Read Me'!$B$4))</f>
        <v>-40</v>
      </c>
      <c r="M187" s="4" t="str">
        <f>IF($I187="Complete","Green",IF($H187="","Amber",IF($H187&lt;'[2]Read Me'!$B$4,"Red",IF($H187-'[2]Read Me'!$B$4&lt;=21,"Amber","Green"))))</f>
        <v>Red</v>
      </c>
      <c r="N187" s="3"/>
      <c r="O187" t="str">
        <f>IF($I187&lt;&gt;"Complete",IF(COUNTIFS($A$4:$A186,$A187,$B$4:$B186,$B187,$I$4:$I186,"&lt;&gt;Complete")=0,$A187&amp;"|"&amp;$B187,""),"")</f>
        <v>Ph - 2A 2B|Infrastructure</v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 t="s">
        <v>577</v>
      </c>
      <c r="B188" s="2" t="s">
        <v>171</v>
      </c>
      <c r="C188" s="3" t="s">
        <v>589</v>
      </c>
      <c r="D188" s="3" t="s">
        <v>97</v>
      </c>
      <c r="E188" s="2" t="s">
        <v>554</v>
      </c>
      <c r="F188" s="2" t="s">
        <v>79</v>
      </c>
      <c r="G188" s="5">
        <v>45606</v>
      </c>
      <c r="H188" s="5">
        <v>45606</v>
      </c>
      <c r="I188" s="4" t="s">
        <v>31</v>
      </c>
      <c r="J188" s="6">
        <f t="shared" si="7"/>
        <v>0</v>
      </c>
      <c r="K188" s="4" t="str">
        <f t="shared" ca="1" si="8"/>
        <v>-</v>
      </c>
      <c r="L188" s="7" t="str">
        <f>IF(I188="Completed","0",IF($H188="","",$H188-'[2]Read Me'!$B$4))</f>
        <v>0</v>
      </c>
      <c r="M188" s="4" t="str">
        <f>IF($I188="Complete","Green",IF($H188="","Amber",IF($H188&lt;'[2]Read Me'!$B$4,"Red",IF($H188-'[2]Read Me'!$B$4&lt;=21,"Amber","Green"))))</f>
        <v>Red</v>
      </c>
      <c r="N188" s="3"/>
      <c r="O188" t="str">
        <f>IF($I188&lt;&gt;"Complete",IF(COUNTIFS($A$4:$A187,$A188,$B$4:$B187,$B188,$I$4:$I187,"&lt;&gt;Complete")=0,$A188&amp;"|"&amp;$B188,""),"")</f>
        <v/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 t="s">
        <v>577</v>
      </c>
      <c r="B189" s="2" t="s">
        <v>171</v>
      </c>
      <c r="C189" s="3" t="s">
        <v>589</v>
      </c>
      <c r="D189" s="3" t="s">
        <v>70</v>
      </c>
      <c r="E189" s="2" t="s">
        <v>554</v>
      </c>
      <c r="F189" s="2"/>
      <c r="G189" s="5">
        <v>45627</v>
      </c>
      <c r="H189" s="5">
        <v>45627</v>
      </c>
      <c r="I189" s="4" t="s">
        <v>31</v>
      </c>
      <c r="J189" s="6">
        <f t="shared" si="7"/>
        <v>0</v>
      </c>
      <c r="K189" s="4" t="str">
        <f t="shared" ca="1" si="8"/>
        <v>-</v>
      </c>
      <c r="L189" s="7">
        <f>IF($H189="","",$H189-'[2]Read Me'!$B$4)</f>
        <v>-560</v>
      </c>
      <c r="M189" s="4" t="str">
        <f>IF($I189="Complete","Green",IF($H189="","Amber",IF($H189&lt;'[2]Read Me'!$B$4,"Red",IF($H189-'[2]Read Me'!$B$4&lt;=21,"Amber","Green"))))</f>
        <v>Red</v>
      </c>
      <c r="N189" s="3"/>
      <c r="O189" t="str">
        <f>IF($I189&lt;&gt;"Complete",IF(COUNTIFS($A$4:$A188,$A189,$B$4:$B188,$B189,$I$4:$I188,"&lt;&gt;Complete")=0,$A189&amp;"|"&amp;$B189,""),"")</f>
        <v/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 t="s">
        <v>577</v>
      </c>
      <c r="B190" s="2" t="s">
        <v>171</v>
      </c>
      <c r="C190" s="3" t="s">
        <v>589</v>
      </c>
      <c r="D190" s="3" t="s">
        <v>98</v>
      </c>
      <c r="E190" s="2" t="s">
        <v>554</v>
      </c>
      <c r="F190" s="2" t="s">
        <v>79</v>
      </c>
      <c r="G190" s="5">
        <v>45641</v>
      </c>
      <c r="H190" s="5">
        <v>45641</v>
      </c>
      <c r="I190" s="4" t="s">
        <v>31</v>
      </c>
      <c r="J190" s="6">
        <f t="shared" si="7"/>
        <v>0</v>
      </c>
      <c r="K190" s="4" t="str">
        <f t="shared" ca="1" si="8"/>
        <v>-</v>
      </c>
      <c r="L190" s="7">
        <f>IF($H190="","",$H190-'[2]Read Me'!$B$4)</f>
        <v>-546</v>
      </c>
      <c r="M190" s="4" t="str">
        <f>IF($I190="Complete","Green",IF($H190="","Amber",IF($H190&lt;'[2]Read Me'!$B$4,"Red",IF($H190-'[2]Read Me'!$B$4&lt;=21,"Amber","Green"))))</f>
        <v>Red</v>
      </c>
      <c r="N190" s="3"/>
      <c r="O190" t="str">
        <f>IF($I190&lt;&gt;"Complete",IF(COUNTIFS($A$4:$A189,$A190,$B$4:$B189,$B190,$I$4:$I189,"&lt;&gt;Complete")=0,$A190&amp;"|"&amp;$B190,""),"")</f>
        <v/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 t="s">
        <v>577</v>
      </c>
      <c r="B191" s="2" t="s">
        <v>171</v>
      </c>
      <c r="C191" s="3" t="s">
        <v>589</v>
      </c>
      <c r="D191" s="3" t="s">
        <v>47</v>
      </c>
      <c r="E191" s="2" t="s">
        <v>554</v>
      </c>
      <c r="F191" s="2"/>
      <c r="G191" s="5">
        <v>45655</v>
      </c>
      <c r="H191" s="5">
        <v>45655</v>
      </c>
      <c r="I191" s="4" t="s">
        <v>31</v>
      </c>
      <c r="J191" s="6">
        <f t="shared" si="7"/>
        <v>0</v>
      </c>
      <c r="K191" s="4" t="str">
        <f t="shared" ca="1" si="8"/>
        <v>-</v>
      </c>
      <c r="L191" s="7">
        <f>IF($H191="","",$H191-'[2]Read Me'!$B$4)</f>
        <v>-532</v>
      </c>
      <c r="M191" s="4" t="str">
        <f>IF($I191="Complete","Green",IF($H191="","Amber",IF($H191&lt;'[2]Read Me'!$B$4,"Red",IF($H191-'[2]Read Me'!$B$4&lt;=21,"Amber","Green"))))</f>
        <v>Red</v>
      </c>
      <c r="N191" s="3"/>
      <c r="O191" t="str">
        <f>IF($I191&lt;&gt;"Complete",IF(COUNTIFS($A$4:$A190,$A191,$B$4:$B190,$B191,$I$4:$I190,"&lt;&gt;Complete")=0,$A191&amp;"|"&amp;$B191,""),"")</f>
        <v/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 t="s">
        <v>577</v>
      </c>
      <c r="B192" s="2" t="s">
        <v>171</v>
      </c>
      <c r="C192" s="3" t="s">
        <v>589</v>
      </c>
      <c r="D192" s="3" t="s">
        <v>563</v>
      </c>
      <c r="E192" s="2" t="s">
        <v>554</v>
      </c>
      <c r="F192" s="2" t="s">
        <v>79</v>
      </c>
      <c r="G192" s="5">
        <v>45669</v>
      </c>
      <c r="H192" s="5">
        <v>45669</v>
      </c>
      <c r="I192" s="4" t="s">
        <v>31</v>
      </c>
      <c r="J192" s="6">
        <f t="shared" si="7"/>
        <v>0</v>
      </c>
      <c r="K192" s="4" t="str">
        <f t="shared" ca="1" si="8"/>
        <v>-</v>
      </c>
      <c r="L192" s="7">
        <f>IF($H192="","",$H192-'[2]Read Me'!$B$4)</f>
        <v>-518</v>
      </c>
      <c r="M192" s="4" t="str">
        <f>IF($I192="Complete","Green",IF($H192="","Amber",IF($H192&lt;'[2]Read Me'!$B$4,"Red",IF($H192-'[2]Read Me'!$B$4&lt;=21,"Amber","Green"))))</f>
        <v>Red</v>
      </c>
      <c r="N192" s="3"/>
      <c r="O192" t="str">
        <f>IF($I192&lt;&gt;"Complete",IF(COUNTIFS($A$4:$A191,$A192,$B$4:$B191,$B192,$I$4:$I191,"&lt;&gt;Complete")=0,$A192&amp;"|"&amp;$B192,""),"")</f>
        <v/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 t="s">
        <v>577</v>
      </c>
      <c r="B193" s="2" t="s">
        <v>171</v>
      </c>
      <c r="C193" s="3" t="s">
        <v>589</v>
      </c>
      <c r="D193" s="3" t="s">
        <v>32</v>
      </c>
      <c r="E193" s="2" t="s">
        <v>554</v>
      </c>
      <c r="F193" s="2"/>
      <c r="G193" s="5">
        <v>45683</v>
      </c>
      <c r="H193" s="5">
        <v>45683</v>
      </c>
      <c r="I193" s="4" t="s">
        <v>31</v>
      </c>
      <c r="J193" s="6">
        <f t="shared" si="7"/>
        <v>0</v>
      </c>
      <c r="K193" s="4" t="str">
        <f t="shared" ca="1" si="8"/>
        <v>-</v>
      </c>
      <c r="L193" s="7">
        <f>IF($H193="","",$H193-'[2]Read Me'!$B$4)</f>
        <v>-504</v>
      </c>
      <c r="M193" s="4" t="str">
        <f>IF($I193="Complete","Green",IF($H193="","Amber",IF($H193&lt;'[2]Read Me'!$B$4,"Red",IF($H193-'[2]Read Me'!$B$4&lt;=21,"Amber","Green"))))</f>
        <v>Red</v>
      </c>
      <c r="N193" s="3"/>
      <c r="O193" t="str">
        <f>IF($I193&lt;&gt;"Complete",IF(COUNTIFS($A$4:$A192,$A193,$B$4:$B192,$B193,$I$4:$I192,"&lt;&gt;Complete")=0,$A193&amp;"|"&amp;$B193,""),"")</f>
        <v/>
      </c>
      <c r="P193" t="str">
        <f ca="1">IF($K193="Yes",COUNTIFS($K$4:$K193,"Yes"),"")</f>
        <v/>
      </c>
      <c r="Q193">
        <f t="shared" ca="1" si="9"/>
        <v>0</v>
      </c>
      <c r="R193" t="str">
        <f ca="1">IF($Q193=1,SUM($Q$4:$Q193),"")</f>
        <v/>
      </c>
    </row>
    <row r="194" spans="1:18" ht="33.75" customHeight="1" x14ac:dyDescent="0.3">
      <c r="A194" s="2" t="s">
        <v>577</v>
      </c>
      <c r="B194" s="2" t="s">
        <v>171</v>
      </c>
      <c r="C194" s="3" t="s">
        <v>589</v>
      </c>
      <c r="D194" s="3" t="s">
        <v>14</v>
      </c>
      <c r="E194" s="2" t="s">
        <v>554</v>
      </c>
      <c r="F194" s="2" t="s">
        <v>79</v>
      </c>
      <c r="G194" s="5">
        <v>45907</v>
      </c>
      <c r="H194" s="5">
        <v>45907</v>
      </c>
      <c r="I194" s="4" t="s">
        <v>31</v>
      </c>
      <c r="J194" s="6">
        <f t="shared" si="7"/>
        <v>0</v>
      </c>
      <c r="K194" s="4" t="str">
        <f t="shared" ca="1" si="8"/>
        <v>-</v>
      </c>
      <c r="L194" s="7">
        <f>IF($H194="","",$H194-'[2]Read Me'!$B$4)</f>
        <v>-280</v>
      </c>
      <c r="M194" s="4" t="str">
        <f>IF($I194="Complete","Green",IF($H194="","Amber",IF($H194&lt;'[2]Read Me'!$B$4,"Red",IF($H194-'[2]Read Me'!$B$4&lt;=21,"Amber","Green"))))</f>
        <v>Red</v>
      </c>
      <c r="N194" s="3"/>
      <c r="O194" t="str">
        <f>IF($I194&lt;&gt;"Complete",IF(COUNTIFS($A$4:$A193,$A194,$B$4:$B193,$B194,$I$4:$I193,"&lt;&gt;Complete")=0,$A194&amp;"|"&amp;$B194,""),"")</f>
        <v/>
      </c>
      <c r="P194" t="str">
        <f ca="1">IF($K194="Yes",COUNTIFS($K$4:$K194,"Yes"),"")</f>
        <v/>
      </c>
      <c r="Q194">
        <f t="shared" ca="1" si="9"/>
        <v>0</v>
      </c>
      <c r="R194" t="str">
        <f ca="1">IF($Q194=1,SUM($Q$4:$Q194),"")</f>
        <v/>
      </c>
    </row>
    <row r="195" spans="1:18" ht="33.75" customHeight="1" x14ac:dyDescent="0.3">
      <c r="A195" s="2" t="s">
        <v>577</v>
      </c>
      <c r="B195" s="2" t="s">
        <v>171</v>
      </c>
      <c r="C195" s="3" t="s">
        <v>589</v>
      </c>
      <c r="D195" s="3" t="s">
        <v>34</v>
      </c>
      <c r="E195" s="2" t="s">
        <v>554</v>
      </c>
      <c r="F195" s="2"/>
      <c r="G195" s="5">
        <v>45921</v>
      </c>
      <c r="H195" s="5">
        <v>45921</v>
      </c>
      <c r="I195" s="4" t="s">
        <v>31</v>
      </c>
      <c r="J195" s="6">
        <f t="shared" si="7"/>
        <v>0</v>
      </c>
      <c r="K195" s="4" t="str">
        <f t="shared" ca="1" si="8"/>
        <v>-</v>
      </c>
      <c r="L195" s="7">
        <f>IF($H195="","",$H195-'[2]Read Me'!$B$4)</f>
        <v>-266</v>
      </c>
      <c r="M195" s="4" t="str">
        <f>IF($I195="Complete","Green",IF($H195="","Amber",IF($H195&lt;'[2]Read Me'!$B$4,"Red",IF($H195-'[2]Read Me'!$B$4&lt;=21,"Amber","Green"))))</f>
        <v>Red</v>
      </c>
      <c r="N195" s="3"/>
      <c r="O195" t="str">
        <f>IF($I195&lt;&gt;"Complete",IF(COUNTIFS($A$4:$A194,$A195,$B$4:$B194,$B195,$I$4:$I194,"&lt;&gt;Complete")=0,$A195&amp;"|"&amp;$B195,""),"")</f>
        <v/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 t="s">
        <v>577</v>
      </c>
      <c r="B196" s="2" t="s">
        <v>171</v>
      </c>
      <c r="C196" s="3" t="s">
        <v>589</v>
      </c>
      <c r="D196" s="3" t="s">
        <v>15</v>
      </c>
      <c r="E196" s="2" t="s">
        <v>554</v>
      </c>
      <c r="F196" s="2" t="s">
        <v>79</v>
      </c>
      <c r="G196" s="5">
        <v>45970</v>
      </c>
      <c r="H196" s="5">
        <v>45999</v>
      </c>
      <c r="I196" s="4" t="s">
        <v>31</v>
      </c>
      <c r="J196" s="6">
        <f t="shared" ref="J196:J259" si="10">IF(OR($G196="",$H196=""),"",$H196-$G196)</f>
        <v>29</v>
      </c>
      <c r="K196" s="4" t="str">
        <f t="shared" ref="K196:K243" ca="1" si="11">IF(C196="","",IF(H196="","",IF($I196="completed","-",IF($H196&gt;TODAY(),"No","Yes"))))</f>
        <v>-</v>
      </c>
      <c r="L196" s="7">
        <f>IF($H196="","",$H196-'[2]Read Me'!$B$4)</f>
        <v>-188</v>
      </c>
      <c r="M196" s="4" t="str">
        <f>IF($I196="Complete","Green",IF($H196="","Amber",IF($H196&lt;'[2]Read Me'!$B$4,"Red",IF($H196-'[2]Read Me'!$B$4&lt;=21,"Amber","Green"))))</f>
        <v>Red</v>
      </c>
      <c r="N196" s="3"/>
      <c r="O196" t="str">
        <f>IF($I196&lt;&gt;"Complete",IF(COUNTIFS($A$4:$A195,$A196,$B$4:$B195,$B196,$I$4:$I195,"&lt;&gt;Complete")=0,$A196&amp;"|"&amp;$B196,""),"")</f>
        <v/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 t="s">
        <v>577</v>
      </c>
      <c r="B197" s="2" t="s">
        <v>171</v>
      </c>
      <c r="C197" s="3" t="s">
        <v>589</v>
      </c>
      <c r="D197" s="3" t="s">
        <v>35</v>
      </c>
      <c r="E197" s="2" t="s">
        <v>554</v>
      </c>
      <c r="F197" s="2"/>
      <c r="G197" s="5">
        <v>45984</v>
      </c>
      <c r="H197" s="5">
        <v>46078</v>
      </c>
      <c r="I197" s="4" t="s">
        <v>31</v>
      </c>
      <c r="J197" s="6">
        <f t="shared" si="10"/>
        <v>94</v>
      </c>
      <c r="K197" s="4" t="str">
        <f t="shared" ca="1" si="11"/>
        <v>-</v>
      </c>
      <c r="L197" s="7">
        <f>IF($H197="","",$H197-'[2]Read Me'!$B$4)</f>
        <v>-109</v>
      </c>
      <c r="M197" s="4" t="str">
        <f>IF($I197="Complete","Green",IF($H197="","Amber",IF($H197&lt;'[2]Read Me'!$B$4,"Red",IF($H197-'[2]Read Me'!$B$4&lt;=21,"Amber","Green"))))</f>
        <v>Red</v>
      </c>
      <c r="N197" s="3"/>
      <c r="O197" t="str">
        <f>IF($I197&lt;&gt;"Complete",IF(COUNTIFS($A$4:$A196,$A197,$B$4:$B196,$B197,$I$4:$I196,"&lt;&gt;Complete")=0,$A197&amp;"|"&amp;$B197,""),"")</f>
        <v/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 t="s">
        <v>577</v>
      </c>
      <c r="B198" s="2" t="s">
        <v>171</v>
      </c>
      <c r="C198" s="3" t="s">
        <v>589</v>
      </c>
      <c r="D198" s="3" t="s">
        <v>16</v>
      </c>
      <c r="E198" s="2" t="s">
        <v>554</v>
      </c>
      <c r="F198" s="2" t="s">
        <v>79</v>
      </c>
      <c r="G198" s="5">
        <v>46076</v>
      </c>
      <c r="H198" s="5">
        <v>46114</v>
      </c>
      <c r="I198" s="4" t="s">
        <v>31</v>
      </c>
      <c r="J198" s="6">
        <f t="shared" si="10"/>
        <v>38</v>
      </c>
      <c r="K198" s="4" t="str">
        <f t="shared" ca="1" si="11"/>
        <v>-</v>
      </c>
      <c r="L198" s="7">
        <f>IF($H198="","",$H198-'[2]Read Me'!$B$4)</f>
        <v>-73</v>
      </c>
      <c r="M198" s="4" t="str">
        <f>IF($I198="Complete","Green",IF($H198="","Amber",IF($H198&lt;'[2]Read Me'!$B$4,"Red",IF($H198-'[2]Read Me'!$B$4&lt;=21,"Amber","Green"))))</f>
        <v>Red</v>
      </c>
      <c r="N198" s="3"/>
      <c r="O198" t="str">
        <f>IF($I198&lt;&gt;"Complete",IF(COUNTIFS($A$4:$A197,$A198,$B$4:$B197,$B198,$I$4:$I197,"&lt;&gt;Complete")=0,$A198&amp;"|"&amp;$B198,""),"")</f>
        <v/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 t="s">
        <v>577</v>
      </c>
      <c r="B199" s="2" t="s">
        <v>171</v>
      </c>
      <c r="C199" s="3" t="s">
        <v>589</v>
      </c>
      <c r="D199" s="3" t="s">
        <v>37</v>
      </c>
      <c r="E199" s="2" t="s">
        <v>554</v>
      </c>
      <c r="F199" s="2"/>
      <c r="G199" s="5">
        <v>46090</v>
      </c>
      <c r="H199" s="5">
        <v>46147</v>
      </c>
      <c r="I199" s="4" t="s">
        <v>31</v>
      </c>
      <c r="J199" s="6">
        <f t="shared" si="10"/>
        <v>57</v>
      </c>
      <c r="K199" s="4" t="str">
        <f t="shared" ca="1" si="11"/>
        <v>-</v>
      </c>
      <c r="L199" s="7">
        <f>IF($H199="","",$H199-'[2]Read Me'!$B$4)</f>
        <v>-40</v>
      </c>
      <c r="M199" s="4" t="str">
        <f>IF($I199="Complete","Green",IF($H199="","Amber",IF($H199&lt;'[2]Read Me'!$B$4,"Red",IF($H199-'[2]Read Me'!$B$4&lt;=21,"Amber","Green"))))</f>
        <v>Red</v>
      </c>
      <c r="N199" s="3"/>
      <c r="O199" t="str">
        <f>IF($I199&lt;&gt;"Complete",IF(COUNTIFS($A$4:$A198,$A199,$B$4:$B198,$B199,$I$4:$I198,"&lt;&gt;Complete")=0,$A199&amp;"|"&amp;$B199,""),"")</f>
        <v/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 t="s">
        <v>577</v>
      </c>
      <c r="B200" s="2" t="s">
        <v>171</v>
      </c>
      <c r="C200" s="3" t="s">
        <v>589</v>
      </c>
      <c r="D200" s="3" t="s">
        <v>590</v>
      </c>
      <c r="E200" s="2" t="s">
        <v>567</v>
      </c>
      <c r="F200" s="2"/>
      <c r="G200" s="5">
        <v>46055</v>
      </c>
      <c r="H200" s="5">
        <v>46209</v>
      </c>
      <c r="I200" s="4" t="s">
        <v>46</v>
      </c>
      <c r="J200" s="6">
        <f t="shared" si="10"/>
        <v>154</v>
      </c>
      <c r="K200" s="4" t="str">
        <f t="shared" ca="1" si="11"/>
        <v>No</v>
      </c>
      <c r="L200" s="7">
        <f>IF($H200="","",$H200-'[2]Read Me'!$B$4)</f>
        <v>22</v>
      </c>
      <c r="M200" s="4" t="str">
        <f>IF($I200="Complete","Green",IF($H200="","Amber",IF($H200&lt;'[2]Read Me'!$B$4,"Red",IF($H200-'[2]Read Me'!$B$4&lt;=21,"Amber","Green"))))</f>
        <v>Green</v>
      </c>
      <c r="N200" s="3"/>
      <c r="O200" t="str">
        <f>IF($I200&lt;&gt;"Complete",IF(COUNTIFS($A$4:$A199,$A200,$B$4:$B199,$B200,$I$4:$I199,"&lt;&gt;Complete")=0,$A200&amp;"|"&amp;$B200,""),"")</f>
        <v/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 t="s">
        <v>577</v>
      </c>
      <c r="B201" s="2" t="s">
        <v>21</v>
      </c>
      <c r="C201" s="3"/>
      <c r="D201" s="3"/>
      <c r="E201" s="2"/>
      <c r="F201" s="2"/>
      <c r="G201" s="5">
        <v>46652</v>
      </c>
      <c r="H201" s="5">
        <v>46420</v>
      </c>
      <c r="I201" s="4"/>
      <c r="J201" s="6">
        <f t="shared" si="10"/>
        <v>-232</v>
      </c>
      <c r="K201" s="4" t="str">
        <f t="shared" ca="1" si="11"/>
        <v/>
      </c>
      <c r="L201" s="7">
        <f>IF($H201="","",$H201-'[2]Read Me'!$B$4)</f>
        <v>233</v>
      </c>
      <c r="M201" s="4" t="str">
        <f>IF($I201="Complete","Green",IF($H201="","Amber",IF($H201&lt;'[2]Read Me'!$B$4,"Red",IF($H201-'[2]Read Me'!$B$4&lt;=21,"Amber","Green"))))</f>
        <v>Green</v>
      </c>
      <c r="N201" s="3"/>
      <c r="O201" t="str">
        <f>IF($I201&lt;&gt;"Complete",IF(COUNTIFS($A$4:$A200,$A201,$B$4:$B200,$B201,$I$4:$I200,"&lt;&gt;Complete")=0,$A201&amp;"|"&amp;$B201,""),"")</f>
        <v>Ph - 2A 2B|Landscape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 t="s">
        <v>577</v>
      </c>
      <c r="B202" s="2" t="s">
        <v>21</v>
      </c>
      <c r="C202" s="3" t="s">
        <v>591</v>
      </c>
      <c r="D202" s="3" t="s">
        <v>126</v>
      </c>
      <c r="E202" s="2" t="s">
        <v>215</v>
      </c>
      <c r="F202" s="2" t="s">
        <v>79</v>
      </c>
      <c r="G202" s="5">
        <v>46309</v>
      </c>
      <c r="H202" s="5">
        <v>46329</v>
      </c>
      <c r="I202" s="4" t="s">
        <v>17</v>
      </c>
      <c r="J202" s="6">
        <f t="shared" si="10"/>
        <v>20</v>
      </c>
      <c r="K202" s="4" t="str">
        <f t="shared" ca="1" si="11"/>
        <v>No</v>
      </c>
      <c r="L202" s="7">
        <f>IF($H202="","",$H202-'[2]Read Me'!$B$4)</f>
        <v>142</v>
      </c>
      <c r="M202" s="4" t="str">
        <f>IF($I202="Complete","Green",IF($H202="","Amber",IF($H202&lt;'[2]Read Me'!$B$4,"Red",IF($H202-'[2]Read Me'!$B$4&lt;=21,"Amber","Green"))))</f>
        <v>Green</v>
      </c>
      <c r="N202" s="3"/>
      <c r="O202" t="str">
        <f>IF($I202&lt;&gt;"Complete",IF(COUNTIFS($A$4:$A201,$A202,$B$4:$B201,$B202,$I$4:$I201,"&lt;&gt;Complete")=0,$A202&amp;"|"&amp;$B202,""),"")</f>
        <v/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 t="s">
        <v>577</v>
      </c>
      <c r="B203" s="2" t="s">
        <v>21</v>
      </c>
      <c r="C203" s="3" t="s">
        <v>591</v>
      </c>
      <c r="D203" s="3" t="s">
        <v>34</v>
      </c>
      <c r="E203" s="2" t="s">
        <v>215</v>
      </c>
      <c r="F203" s="2"/>
      <c r="G203" s="5">
        <v>46323</v>
      </c>
      <c r="H203" s="5">
        <v>46343</v>
      </c>
      <c r="I203" s="4" t="s">
        <v>17</v>
      </c>
      <c r="J203" s="6">
        <f t="shared" si="10"/>
        <v>20</v>
      </c>
      <c r="K203" s="4" t="str">
        <f t="shared" ca="1" si="11"/>
        <v>No</v>
      </c>
      <c r="L203" s="7">
        <f>IF($H203="","",$H203-'[2]Read Me'!$B$4)</f>
        <v>156</v>
      </c>
      <c r="M203" s="4" t="str">
        <f>IF($I203="Complete","Green",IF($H203="","Amber",IF($H203&lt;'[2]Read Me'!$B$4,"Red",IF($H203-'[2]Read Me'!$B$4&lt;=21,"Amber","Green"))))</f>
        <v>Green</v>
      </c>
      <c r="N203" s="3"/>
      <c r="O203" t="str">
        <f>IF($I203&lt;&gt;"Complete",IF(COUNTIFS($A$4:$A202,$A203,$B$4:$B202,$B203,$I$4:$I202,"&lt;&gt;Complete")=0,$A203&amp;"|"&amp;$B203,""),"")</f>
        <v/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 t="s">
        <v>577</v>
      </c>
      <c r="B204" s="2" t="s">
        <v>21</v>
      </c>
      <c r="C204" s="3" t="s">
        <v>591</v>
      </c>
      <c r="D204" s="3" t="s">
        <v>127</v>
      </c>
      <c r="E204" s="2" t="s">
        <v>215</v>
      </c>
      <c r="F204" s="2" t="s">
        <v>79</v>
      </c>
      <c r="G204" s="5">
        <v>46351</v>
      </c>
      <c r="H204" s="5">
        <v>46371</v>
      </c>
      <c r="I204" s="4" t="s">
        <v>17</v>
      </c>
      <c r="J204" s="6">
        <f t="shared" si="10"/>
        <v>20</v>
      </c>
      <c r="K204" s="4" t="str">
        <f t="shared" ca="1" si="11"/>
        <v>No</v>
      </c>
      <c r="L204" s="7">
        <f>IF($H204="","",$H204-'[2]Read Me'!$B$4)</f>
        <v>184</v>
      </c>
      <c r="M204" s="4" t="str">
        <f>IF($I204="Complete","Green",IF($H204="","Amber",IF($H204&lt;'[2]Read Me'!$B$4,"Red",IF($H204-'[2]Read Me'!$B$4&lt;=21,"Amber","Green"))))</f>
        <v>Green</v>
      </c>
      <c r="N204" s="3"/>
      <c r="O204" t="str">
        <f>IF($I204&lt;&gt;"Complete",IF(COUNTIFS($A$4:$A203,$A204,$B$4:$B203,$B204,$I$4:$I203,"&lt;&gt;Complete")=0,$A204&amp;"|"&amp;$B204,""),"")</f>
        <v/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 t="s">
        <v>577</v>
      </c>
      <c r="B205" s="2" t="s">
        <v>21</v>
      </c>
      <c r="C205" s="3" t="s">
        <v>591</v>
      </c>
      <c r="D205" s="3" t="s">
        <v>35</v>
      </c>
      <c r="E205" s="2" t="s">
        <v>215</v>
      </c>
      <c r="F205" s="2"/>
      <c r="G205" s="5">
        <v>46365</v>
      </c>
      <c r="H205" s="5">
        <v>46385</v>
      </c>
      <c r="I205" s="4" t="s">
        <v>17</v>
      </c>
      <c r="J205" s="6">
        <f t="shared" si="10"/>
        <v>20</v>
      </c>
      <c r="K205" s="4" t="str">
        <f t="shared" ca="1" si="11"/>
        <v>No</v>
      </c>
      <c r="L205" s="7">
        <f>IF($H205="","",$H205-'[2]Read Me'!$B$4)</f>
        <v>198</v>
      </c>
      <c r="M205" s="4" t="str">
        <f>IF($I205="Complete","Green",IF($H205="","Amber",IF($H205&lt;'[2]Read Me'!$B$4,"Red",IF($H205-'[2]Read Me'!$B$4&lt;=21,"Amber","Green"))))</f>
        <v>Green</v>
      </c>
      <c r="N205" s="3"/>
      <c r="O205" t="str">
        <f>IF($I205&lt;&gt;"Complete",IF(COUNTIFS($A$4:$A204,$A205,$B$4:$B204,$B205,$I$4:$I204,"&lt;&gt;Complete")=0,$A205&amp;"|"&amp;$B205,""),"")</f>
        <v/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 t="s">
        <v>577</v>
      </c>
      <c r="B206" s="2" t="s">
        <v>21</v>
      </c>
      <c r="C206" s="3" t="s">
        <v>591</v>
      </c>
      <c r="D206" s="3" t="s">
        <v>20</v>
      </c>
      <c r="E206" s="2" t="s">
        <v>184</v>
      </c>
      <c r="F206" s="2"/>
      <c r="G206" s="5">
        <v>46365</v>
      </c>
      <c r="H206" s="5">
        <v>46385</v>
      </c>
      <c r="I206" s="4" t="s">
        <v>17</v>
      </c>
      <c r="J206" s="6">
        <f t="shared" si="10"/>
        <v>20</v>
      </c>
      <c r="K206" s="4" t="str">
        <f t="shared" ca="1" si="11"/>
        <v>No</v>
      </c>
      <c r="L206" s="7">
        <f>IF($H206="","",$H206-'[2]Read Me'!$B$4)</f>
        <v>198</v>
      </c>
      <c r="M206" s="4" t="str">
        <f>IF($I206="Complete","Green",IF($H206="","Amber",IF($H206&lt;'[2]Read Me'!$B$4,"Red",IF($H206-'[2]Read Me'!$B$4&lt;=21,"Amber","Green"))))</f>
        <v>Green</v>
      </c>
      <c r="N206" s="3"/>
      <c r="O206" t="str">
        <f>IF($I206&lt;&gt;"Complete",IF(COUNTIFS($A$4:$A205,$A206,$B$4:$B205,$B206,$I$4:$I205,"&lt;&gt;Complete")=0,$A206&amp;"|"&amp;$B206,""),"")</f>
        <v/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 t="s">
        <v>577</v>
      </c>
      <c r="B207" s="2" t="s">
        <v>21</v>
      </c>
      <c r="C207" s="3" t="s">
        <v>591</v>
      </c>
      <c r="D207" s="3" t="s">
        <v>592</v>
      </c>
      <c r="E207" s="2" t="s">
        <v>215</v>
      </c>
      <c r="F207" s="2" t="s">
        <v>79</v>
      </c>
      <c r="G207" s="5">
        <v>46386</v>
      </c>
      <c r="H207" s="5">
        <v>46406</v>
      </c>
      <c r="I207" s="4" t="s">
        <v>17</v>
      </c>
      <c r="J207" s="6">
        <f t="shared" si="10"/>
        <v>20</v>
      </c>
      <c r="K207" s="4" t="str">
        <f t="shared" ca="1" si="11"/>
        <v>No</v>
      </c>
      <c r="L207" s="7">
        <f>IF($H207="","",$H207-'[2]Read Me'!$B$4)</f>
        <v>219</v>
      </c>
      <c r="M207" s="4" t="str">
        <f>IF($I207="Complete","Green",IF($H207="","Amber",IF($H207&lt;'[2]Read Me'!$B$4,"Red",IF($H207-'[2]Read Me'!$B$4&lt;=21,"Amber","Green"))))</f>
        <v>Green</v>
      </c>
      <c r="N207" s="3"/>
      <c r="O207" t="str">
        <f>IF($I207&lt;&gt;"Complete",IF(COUNTIFS($A$4:$A206,$A207,$B$4:$B206,$B207,$I$4:$I206,"&lt;&gt;Complete")=0,$A207&amp;"|"&amp;$B207,""),"")</f>
        <v/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 t="s">
        <v>577</v>
      </c>
      <c r="B208" s="2" t="s">
        <v>21</v>
      </c>
      <c r="C208" s="3" t="s">
        <v>591</v>
      </c>
      <c r="D208" s="3" t="s">
        <v>593</v>
      </c>
      <c r="E208" s="2" t="s">
        <v>215</v>
      </c>
      <c r="F208" s="2"/>
      <c r="G208" s="5">
        <v>46400</v>
      </c>
      <c r="H208" s="5">
        <v>46420</v>
      </c>
      <c r="I208" s="4" t="s">
        <v>17</v>
      </c>
      <c r="J208" s="6">
        <f t="shared" si="10"/>
        <v>20</v>
      </c>
      <c r="K208" s="4" t="str">
        <f t="shared" ca="1" si="11"/>
        <v>No</v>
      </c>
      <c r="L208" s="7">
        <f>IF($H208="","",$H208-'[2]Read Me'!$B$4)</f>
        <v>233</v>
      </c>
      <c r="M208" s="4" t="str">
        <f>IF($I208="Complete","Green",IF($H208="","Amber",IF($H208&lt;'[2]Read Me'!$B$4,"Red",IF($H208-'[2]Read Me'!$B$4&lt;=21,"Amber","Green"))))</f>
        <v>Green</v>
      </c>
      <c r="N208" s="3"/>
      <c r="O208" t="str">
        <f>IF($I208&lt;&gt;"Complete",IF(COUNTIFS($A$4:$A207,$A208,$B$4:$B207,$B208,$I$4:$I207,"&lt;&gt;Complete")=0,$A208&amp;"|"&amp;$B208,""),"")</f>
        <v/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 t="s">
        <v>577</v>
      </c>
      <c r="B209" s="2" t="s">
        <v>21</v>
      </c>
      <c r="C209" s="3" t="s">
        <v>591</v>
      </c>
      <c r="D209" s="3" t="s">
        <v>594</v>
      </c>
      <c r="E209" s="2" t="s">
        <v>215</v>
      </c>
      <c r="F209" s="2" t="s">
        <v>79</v>
      </c>
      <c r="G209" s="5">
        <v>46407</v>
      </c>
      <c r="H209" s="5">
        <v>46427</v>
      </c>
      <c r="I209" s="4" t="s">
        <v>17</v>
      </c>
      <c r="J209" s="6">
        <f t="shared" si="10"/>
        <v>20</v>
      </c>
      <c r="K209" s="4" t="str">
        <f t="shared" ca="1" si="11"/>
        <v>No</v>
      </c>
      <c r="L209" s="7">
        <f>IF($H209="","",$H209-'[2]Read Me'!$B$4)</f>
        <v>240</v>
      </c>
      <c r="M209" s="4" t="str">
        <f>IF($I209="Complete","Green",IF($H209="","Amber",IF($H209&lt;'[2]Read Me'!$B$4,"Red",IF($H209-'[2]Read Me'!$B$4&lt;=21,"Amber","Green"))))</f>
        <v>Green</v>
      </c>
      <c r="N209" s="3"/>
      <c r="O209" t="str">
        <f>IF($I209&lt;&gt;"Complete",IF(COUNTIFS($A$4:$A208,$A209,$B$4:$B208,$B209,$I$4:$I208,"&lt;&gt;Complete")=0,$A209&amp;"|"&amp;$B209,""),"")</f>
        <v/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 t="s">
        <v>577</v>
      </c>
      <c r="B210" s="2" t="s">
        <v>21</v>
      </c>
      <c r="C210" s="3" t="s">
        <v>591</v>
      </c>
      <c r="D210" s="3" t="s">
        <v>595</v>
      </c>
      <c r="E210" s="2" t="s">
        <v>215</v>
      </c>
      <c r="F210" s="2"/>
      <c r="G210" s="5">
        <v>46414</v>
      </c>
      <c r="H210" s="5">
        <v>46434</v>
      </c>
      <c r="I210" s="4" t="s">
        <v>17</v>
      </c>
      <c r="J210" s="6">
        <f t="shared" si="10"/>
        <v>20</v>
      </c>
      <c r="K210" s="4" t="str">
        <f t="shared" ca="1" si="11"/>
        <v>No</v>
      </c>
      <c r="L210" s="7">
        <f>IF($H210="","",$H210-'[2]Read Me'!$B$4)</f>
        <v>247</v>
      </c>
      <c r="M210" s="4" t="str">
        <f>IF($I210="Complete","Green",IF($H210="","Amber",IF($H210&lt;'[2]Read Me'!$B$4,"Red",IF($H210-'[2]Read Me'!$B$4&lt;=21,"Amber","Green"))))</f>
        <v>Green</v>
      </c>
      <c r="N210" s="3"/>
      <c r="O210" t="str">
        <f>IF($I210&lt;&gt;"Complete",IF(COUNTIFS($A$4:$A209,$A210,$B$4:$B209,$B210,$I$4:$I209,"&lt;&gt;Complete")=0,$A210&amp;"|"&amp;$B210,""),"")</f>
        <v/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 t="s">
        <v>596</v>
      </c>
      <c r="B211" s="2" t="s">
        <v>62</v>
      </c>
      <c r="C211" s="3"/>
      <c r="D211" s="3"/>
      <c r="E211" s="2"/>
      <c r="F211" s="2"/>
      <c r="G211" s="5">
        <v>46425</v>
      </c>
      <c r="H211" s="5">
        <v>46446</v>
      </c>
      <c r="I211" s="4"/>
      <c r="J211" s="6">
        <f t="shared" si="10"/>
        <v>21</v>
      </c>
      <c r="K211" s="4" t="str">
        <f t="shared" ca="1" si="11"/>
        <v/>
      </c>
      <c r="L211" s="7">
        <f>IF($H211="","",$H211-'[2]Read Me'!$B$4)</f>
        <v>259</v>
      </c>
      <c r="M211" s="4" t="str">
        <f>IF($I211="Complete","Green",IF($H211="","Amber",IF($H211&lt;'[2]Read Me'!$B$4,"Red",IF($H211-'[2]Read Me'!$B$4&lt;=21,"Amber","Green"))))</f>
        <v>Green</v>
      </c>
      <c r="N211" s="3"/>
      <c r="O211" t="str">
        <f>IF($I211&lt;&gt;"Complete",IF(COUNTIFS($A$4:$A210,$A211,$B$4:$B210,$B211,$I$4:$I210,"&lt;&gt;Complete")=0,$A211&amp;"|"&amp;$B211,""),"")</f>
        <v>Ph - 1B|Buildings</v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 t="s">
        <v>596</v>
      </c>
      <c r="B212" s="2" t="s">
        <v>62</v>
      </c>
      <c r="C212" s="3" t="s">
        <v>597</v>
      </c>
      <c r="D212" s="3" t="s">
        <v>97</v>
      </c>
      <c r="E212" s="2" t="s">
        <v>554</v>
      </c>
      <c r="F212" s="2" t="s">
        <v>451</v>
      </c>
      <c r="G212" s="5">
        <v>45904</v>
      </c>
      <c r="H212" s="5">
        <v>45904</v>
      </c>
      <c r="I212" s="4" t="s">
        <v>31</v>
      </c>
      <c r="J212" s="6">
        <f t="shared" si="10"/>
        <v>0</v>
      </c>
      <c r="K212" s="4" t="str">
        <f t="shared" ca="1" si="11"/>
        <v>-</v>
      </c>
      <c r="L212" s="7">
        <f>IF($H212="","",$H212-'[2]Read Me'!$B$4)</f>
        <v>-283</v>
      </c>
      <c r="M212" s="4" t="str">
        <f>IF($I212="Complete","Green",IF($H212="","Amber",IF($H212&lt;'[2]Read Me'!$B$4,"Red",IF($H212-'[2]Read Me'!$B$4&lt;=21,"Amber","Green"))))</f>
        <v>Red</v>
      </c>
      <c r="N212" s="3"/>
      <c r="O212" t="str">
        <f>IF($I212&lt;&gt;"Complete",IF(COUNTIFS($A$4:$A211,$A212,$B$4:$B211,$B212,$I$4:$I211,"&lt;&gt;Complete")=0,$A212&amp;"|"&amp;$B212,""),"")</f>
        <v/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 t="s">
        <v>596</v>
      </c>
      <c r="B213" s="2" t="s">
        <v>62</v>
      </c>
      <c r="C213" s="3" t="s">
        <v>597</v>
      </c>
      <c r="D213" s="3" t="s">
        <v>98</v>
      </c>
      <c r="E213" s="2" t="s">
        <v>554</v>
      </c>
      <c r="F213" s="2" t="s">
        <v>451</v>
      </c>
      <c r="G213" s="5">
        <v>45932</v>
      </c>
      <c r="H213" s="5">
        <v>45932</v>
      </c>
      <c r="I213" s="4" t="s">
        <v>31</v>
      </c>
      <c r="J213" s="6">
        <f t="shared" si="10"/>
        <v>0</v>
      </c>
      <c r="K213" s="4" t="str">
        <f t="shared" ca="1" si="11"/>
        <v>-</v>
      </c>
      <c r="L213" s="7">
        <f>IF($H213="","",$H213-'[2]Read Me'!$B$4)</f>
        <v>-255</v>
      </c>
      <c r="M213" s="4" t="str">
        <f>IF($I213="Complete","Green",IF($H213="","Amber",IF($H213&lt;'[2]Read Me'!$B$4,"Red",IF($H213-'[2]Read Me'!$B$4&lt;=21,"Amber","Green"))))</f>
        <v>Red</v>
      </c>
      <c r="N213" s="3"/>
      <c r="O213" t="str">
        <f>IF($I213&lt;&gt;"Complete",IF(COUNTIFS($A$4:$A212,$A213,$B$4:$B212,$B213,$I$4:$I212,"&lt;&gt;Complete")=0,$A213&amp;"|"&amp;$B213,""),"")</f>
        <v/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 t="s">
        <v>596</v>
      </c>
      <c r="B214" s="2" t="s">
        <v>62</v>
      </c>
      <c r="C214" s="3" t="s">
        <v>597</v>
      </c>
      <c r="D214" s="3" t="s">
        <v>47</v>
      </c>
      <c r="E214" s="2" t="s">
        <v>554</v>
      </c>
      <c r="F214" s="2"/>
      <c r="G214" s="5">
        <v>45946</v>
      </c>
      <c r="H214" s="5">
        <v>45946</v>
      </c>
      <c r="I214" s="4" t="s">
        <v>31</v>
      </c>
      <c r="J214" s="6">
        <f t="shared" si="10"/>
        <v>0</v>
      </c>
      <c r="K214" s="4" t="str">
        <f t="shared" ca="1" si="11"/>
        <v>-</v>
      </c>
      <c r="L214" s="7">
        <f>IF($H214="","",$H214-'[2]Read Me'!$B$4)</f>
        <v>-241</v>
      </c>
      <c r="M214" s="4" t="str">
        <f>IF($I214="Complete","Green",IF($H214="","Amber",IF($H214&lt;'[2]Read Me'!$B$4,"Red",IF($H214-'[2]Read Me'!$B$4&lt;=21,"Amber","Green"))))</f>
        <v>Red</v>
      </c>
      <c r="N214" s="3"/>
      <c r="O214" t="str">
        <f>IF($I214&lt;&gt;"Complete",IF(COUNTIFS($A$4:$A213,$A214,$B$4:$B213,$B214,$I$4:$I213,"&lt;&gt;Complete")=0,$A214&amp;"|"&amp;$B214,""),"")</f>
        <v/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 t="s">
        <v>598</v>
      </c>
      <c r="B215" s="2" t="s">
        <v>62</v>
      </c>
      <c r="C215" s="3" t="s">
        <v>597</v>
      </c>
      <c r="D215" s="3" t="s">
        <v>599</v>
      </c>
      <c r="E215" s="2"/>
      <c r="F215" s="2"/>
      <c r="G215" s="5">
        <v>45974</v>
      </c>
      <c r="H215" s="5">
        <v>46119</v>
      </c>
      <c r="I215" s="4" t="s">
        <v>31</v>
      </c>
      <c r="J215" s="6">
        <f t="shared" si="10"/>
        <v>145</v>
      </c>
      <c r="K215" s="4" t="str">
        <f t="shared" ca="1" si="11"/>
        <v>-</v>
      </c>
      <c r="L215" s="7">
        <f>IF($H215="","",$H215-'[2]Read Me'!$B$4)</f>
        <v>-68</v>
      </c>
      <c r="M215" s="4" t="str">
        <f>IF($I215="Complete","Green",IF($H215="","Amber",IF($H215&lt;'[2]Read Me'!$B$4,"Red",IF($H215-'[2]Read Me'!$B$4&lt;=21,"Amber","Green"))))</f>
        <v>Red</v>
      </c>
      <c r="N215" s="3"/>
      <c r="O215" t="str">
        <f>IF($I215&lt;&gt;"Complete",IF(COUNTIFS($A$4:$A214,$A215,$B$4:$B214,$B215,$I$4:$I214,"&lt;&gt;Complete")=0,$A215&amp;"|"&amp;$B215,""),"")</f>
        <v>Ph - 1B 2C|Buildings</v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 t="s">
        <v>598</v>
      </c>
      <c r="B216" s="2" t="s">
        <v>62</v>
      </c>
      <c r="C216" s="3" t="s">
        <v>597</v>
      </c>
      <c r="D216" s="3" t="s">
        <v>600</v>
      </c>
      <c r="E216" s="2" t="s">
        <v>554</v>
      </c>
      <c r="F216" s="2" t="s">
        <v>166</v>
      </c>
      <c r="G216" s="5">
        <v>45988</v>
      </c>
      <c r="H216" s="5">
        <v>46139</v>
      </c>
      <c r="I216" s="4" t="s">
        <v>31</v>
      </c>
      <c r="J216" s="6">
        <f t="shared" si="10"/>
        <v>151</v>
      </c>
      <c r="K216" s="4" t="str">
        <f t="shared" ca="1" si="11"/>
        <v>-</v>
      </c>
      <c r="L216" s="7">
        <f>IF($H216="","",$H216-'[2]Read Me'!$B$4)</f>
        <v>-48</v>
      </c>
      <c r="M216" s="4" t="str">
        <f>IF($I216="Complete","Green",IF($H216="","Amber",IF($H216&lt;'[2]Read Me'!$B$4,"Red",IF($H216-'[2]Read Me'!$B$4&lt;=21,"Amber","Green"))))</f>
        <v>Red</v>
      </c>
      <c r="N216" s="3"/>
      <c r="O216" t="str">
        <f>IF($I216&lt;&gt;"Complete",IF(COUNTIFS($A$4:$A215,$A216,$B$4:$B215,$B216,$I$4:$I215,"&lt;&gt;Complete")=0,$A216&amp;"|"&amp;$B216,""),"")</f>
        <v/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 t="s">
        <v>598</v>
      </c>
      <c r="B217" s="2" t="s">
        <v>62</v>
      </c>
      <c r="C217" s="3" t="s">
        <v>597</v>
      </c>
      <c r="D217" s="3" t="s">
        <v>80</v>
      </c>
      <c r="E217" s="2" t="s">
        <v>554</v>
      </c>
      <c r="F217" s="2"/>
      <c r="G217" s="5">
        <v>45995</v>
      </c>
      <c r="H217" s="5">
        <v>46147</v>
      </c>
      <c r="I217" s="4" t="s">
        <v>31</v>
      </c>
      <c r="J217" s="6">
        <f t="shared" si="10"/>
        <v>152</v>
      </c>
      <c r="K217" s="4" t="str">
        <f t="shared" ca="1" si="11"/>
        <v>-</v>
      </c>
      <c r="L217" s="7">
        <f>IF($H217="","",$H217-'[2]Read Me'!$B$4)</f>
        <v>-40</v>
      </c>
      <c r="M217" s="4" t="str">
        <f>IF($I217="Complete","Green",IF($H217="","Amber",IF($H217&lt;'[2]Read Me'!$B$4,"Red",IF($H217-'[2]Read Me'!$B$4&lt;=21,"Amber","Green"))))</f>
        <v>Red</v>
      </c>
      <c r="N217" s="3"/>
      <c r="O217" t="str">
        <f>IF($I217&lt;&gt;"Complete",IF(COUNTIFS($A$4:$A216,$A217,$B$4:$B216,$B217,$I$4:$I216,"&lt;&gt;Complete")=0,$A217&amp;"|"&amp;$B217,""),"")</f>
        <v/>
      </c>
      <c r="P217" t="str">
        <f ca="1">IF($K217="Yes",COUNTIFS($K$4:$K217,"Yes"),"")</f>
        <v/>
      </c>
      <c r="Q217">
        <f t="shared" ca="1" si="12"/>
        <v>0</v>
      </c>
      <c r="R217" t="str">
        <f ca="1">IF($Q217=1,SUM($Q$4:$Q217),"")</f>
        <v/>
      </c>
    </row>
    <row r="218" spans="1:18" ht="22.5" customHeight="1" x14ac:dyDescent="0.3">
      <c r="A218" s="2" t="s">
        <v>598</v>
      </c>
      <c r="B218" s="2" t="s">
        <v>62</v>
      </c>
      <c r="C218" s="3" t="s">
        <v>597</v>
      </c>
      <c r="D218" s="3" t="s">
        <v>18</v>
      </c>
      <c r="E218" s="2" t="s">
        <v>554</v>
      </c>
      <c r="F218" s="2" t="s">
        <v>166</v>
      </c>
      <c r="G218" s="5">
        <v>46023</v>
      </c>
      <c r="H218" s="5">
        <v>46194</v>
      </c>
      <c r="I218" s="4" t="s">
        <v>31</v>
      </c>
      <c r="J218" s="6">
        <f t="shared" si="10"/>
        <v>171</v>
      </c>
      <c r="K218" s="4" t="str">
        <f t="shared" ca="1" si="11"/>
        <v>-</v>
      </c>
      <c r="L218" s="7">
        <f>IF($H218="","",$H218-'[2]Read Me'!$B$4)</f>
        <v>7</v>
      </c>
      <c r="M218" s="4" t="str">
        <f>IF($I218="Complete","Green",IF($H218="","Amber",IF($H218&lt;'[2]Read Me'!$B$4,"Red",IF($H218-'[2]Read Me'!$B$4&lt;=21,"Amber","Green"))))</f>
        <v>Amber</v>
      </c>
      <c r="N218" s="3"/>
      <c r="O218" t="str">
        <f>IF($I218&lt;&gt;"Complete",IF(COUNTIFS($A$4:$A217,$A218,$B$4:$B217,$B218,$I$4:$I217,"&lt;&gt;Complete")=0,$A218&amp;"|"&amp;$B218,""),"")</f>
        <v/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 t="s">
        <v>598</v>
      </c>
      <c r="B219" s="2" t="s">
        <v>62</v>
      </c>
      <c r="C219" s="3" t="s">
        <v>597</v>
      </c>
      <c r="D219" s="3" t="s">
        <v>32</v>
      </c>
      <c r="E219" s="2" t="s">
        <v>554</v>
      </c>
      <c r="F219" s="2"/>
      <c r="G219" s="5">
        <v>46037</v>
      </c>
      <c r="H219" s="5">
        <v>46208</v>
      </c>
      <c r="I219" s="4" t="s">
        <v>46</v>
      </c>
      <c r="J219" s="6">
        <f t="shared" si="10"/>
        <v>171</v>
      </c>
      <c r="K219" s="4" t="str">
        <f t="shared" ca="1" si="11"/>
        <v>No</v>
      </c>
      <c r="L219" s="7">
        <f>IF($H219="","",$H219-'[2]Read Me'!$B$4)</f>
        <v>21</v>
      </c>
      <c r="M219" s="4" t="str">
        <f>IF($I219="Complete","Green",IF($H219="","Amber",IF($H219&lt;'[2]Read Me'!$B$4,"Red",IF($H219-'[2]Read Me'!$B$4&lt;=21,"Amber","Green"))))</f>
        <v>Amber</v>
      </c>
      <c r="N219" s="3"/>
      <c r="O219" t="str">
        <f>IF($I219&lt;&gt;"Complete",IF(COUNTIFS($A$4:$A218,$A219,$B$4:$B218,$B219,$I$4:$I218,"&lt;&gt;Complete")=0,$A219&amp;"|"&amp;$B219,""),"")</f>
        <v/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 t="s">
        <v>598</v>
      </c>
      <c r="B220" s="2" t="s">
        <v>62</v>
      </c>
      <c r="C220" s="3" t="s">
        <v>597</v>
      </c>
      <c r="D220" s="3" t="s">
        <v>19</v>
      </c>
      <c r="E220" s="2" t="s">
        <v>184</v>
      </c>
      <c r="F220" s="2" t="s">
        <v>81</v>
      </c>
      <c r="G220" s="5">
        <v>46037</v>
      </c>
      <c r="H220" s="5">
        <v>46208</v>
      </c>
      <c r="I220" s="4" t="s">
        <v>17</v>
      </c>
      <c r="J220" s="6">
        <f t="shared" si="10"/>
        <v>171</v>
      </c>
      <c r="K220" s="4" t="str">
        <f t="shared" ca="1" si="11"/>
        <v>No</v>
      </c>
      <c r="L220" s="7">
        <f>IF($H220="","",$H220-'[2]Read Me'!$B$4)</f>
        <v>21</v>
      </c>
      <c r="M220" s="4" t="str">
        <f>IF($I220="Complete","Green",IF($H220="","Amber",IF($H220&lt;'[2]Read Me'!$B$4,"Red",IF($H220-'[2]Read Me'!$B$4&lt;=21,"Amber","Green"))))</f>
        <v>Amber</v>
      </c>
      <c r="N220" s="3"/>
      <c r="O220" t="str">
        <f>IF($I220&lt;&gt;"Complete",IF(COUNTIFS($A$4:$A219,$A220,$B$4:$B219,$B220,$I$4:$I219,"&lt;&gt;Complete")=0,$A220&amp;"|"&amp;$B220,""),"")</f>
        <v/>
      </c>
      <c r="P220" t="str">
        <f ca="1">IF($K220="Yes",COUNTIFS($K$4:$K220,"Yes"),"")</f>
        <v/>
      </c>
      <c r="Q220">
        <f t="shared" ca="1" si="12"/>
        <v>0</v>
      </c>
      <c r="R220" t="str">
        <f ca="1">IF($Q220=1,SUM($Q$4:$Q220),"")</f>
        <v/>
      </c>
    </row>
    <row r="221" spans="1:18" ht="22.5" customHeight="1" x14ac:dyDescent="0.3">
      <c r="A221" s="2" t="s">
        <v>598</v>
      </c>
      <c r="B221" s="2" t="s">
        <v>62</v>
      </c>
      <c r="C221" s="3" t="s">
        <v>597</v>
      </c>
      <c r="D221" s="3" t="s">
        <v>14</v>
      </c>
      <c r="E221" s="2" t="s">
        <v>554</v>
      </c>
      <c r="F221" s="2" t="s">
        <v>166</v>
      </c>
      <c r="G221" s="5">
        <v>46065</v>
      </c>
      <c r="H221" s="5">
        <v>46236</v>
      </c>
      <c r="I221" s="4" t="s">
        <v>17</v>
      </c>
      <c r="J221" s="6">
        <f t="shared" si="10"/>
        <v>171</v>
      </c>
      <c r="K221" s="4" t="str">
        <f t="shared" ca="1" si="11"/>
        <v>No</v>
      </c>
      <c r="L221" s="7">
        <f>IF($H221="","",$H221-'[2]Read Me'!$B$4)</f>
        <v>49</v>
      </c>
      <c r="M221" s="4" t="str">
        <f>IF($I221="Complete","Green",IF($H221="","Amber",IF($H221&lt;'[2]Read Me'!$B$4,"Red",IF($H221-'[2]Read Me'!$B$4&lt;=21,"Amber","Green"))))</f>
        <v>Green</v>
      </c>
      <c r="N221" s="3"/>
      <c r="O221" t="str">
        <f>IF($I221&lt;&gt;"Complete",IF(COUNTIFS($A$4:$A220,$A221,$B$4:$B220,$B221,$I$4:$I220,"&lt;&gt;Complete")=0,$A221&amp;"|"&amp;$B221,""),"")</f>
        <v/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 t="s">
        <v>598</v>
      </c>
      <c r="B222" s="2" t="s">
        <v>62</v>
      </c>
      <c r="C222" s="3" t="s">
        <v>597</v>
      </c>
      <c r="D222" s="3" t="s">
        <v>34</v>
      </c>
      <c r="E222" s="2" t="s">
        <v>554</v>
      </c>
      <c r="F222" s="2"/>
      <c r="G222" s="5">
        <v>46079</v>
      </c>
      <c r="H222" s="5">
        <v>46250</v>
      </c>
      <c r="I222" s="4" t="s">
        <v>17</v>
      </c>
      <c r="J222" s="6">
        <f t="shared" si="10"/>
        <v>171</v>
      </c>
      <c r="K222" s="4" t="str">
        <f t="shared" ca="1" si="11"/>
        <v>No</v>
      </c>
      <c r="L222" s="7">
        <f>IF($H222="","",$H222-'[2]Read Me'!$B$4)</f>
        <v>63</v>
      </c>
      <c r="M222" s="4" t="str">
        <f>IF($I222="Complete","Green",IF($H222="","Amber",IF($H222&lt;'[2]Read Me'!$B$4,"Red",IF($H222-'[2]Read Me'!$B$4&lt;=21,"Amber","Green"))))</f>
        <v>Green</v>
      </c>
      <c r="N222" s="3"/>
      <c r="O222" t="str">
        <f>IF($I222&lt;&gt;"Complete",IF(COUNTIFS($A$4:$A221,$A222,$B$4:$B221,$B222,$I$4:$I221,"&lt;&gt;Complete")=0,$A222&amp;"|"&amp;$B222,""),"")</f>
        <v/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 t="s">
        <v>598</v>
      </c>
      <c r="B223" s="2" t="s">
        <v>62</v>
      </c>
      <c r="C223" s="3" t="s">
        <v>597</v>
      </c>
      <c r="D223" s="3" t="s">
        <v>15</v>
      </c>
      <c r="E223" s="2" t="s">
        <v>554</v>
      </c>
      <c r="F223" s="2" t="s">
        <v>166</v>
      </c>
      <c r="G223" s="5">
        <v>46100</v>
      </c>
      <c r="H223" s="5">
        <v>46271</v>
      </c>
      <c r="I223" s="4" t="s">
        <v>17</v>
      </c>
      <c r="J223" s="6">
        <f t="shared" si="10"/>
        <v>171</v>
      </c>
      <c r="K223" s="4" t="str">
        <f t="shared" ca="1" si="11"/>
        <v>No</v>
      </c>
      <c r="L223" s="7">
        <f>IF($H223="","",$H223-'[2]Read Me'!$B$4)</f>
        <v>84</v>
      </c>
      <c r="M223" s="4" t="str">
        <f>IF($I223="Complete","Green",IF($H223="","Amber",IF($H223&lt;'[2]Read Me'!$B$4,"Red",IF($H223-'[2]Read Me'!$B$4&lt;=21,"Amber","Green"))))</f>
        <v>Green</v>
      </c>
      <c r="N223" s="3"/>
      <c r="O223" t="str">
        <f>IF($I223&lt;&gt;"Complete",IF(COUNTIFS($A$4:$A222,$A223,$B$4:$B222,$B223,$I$4:$I222,"&lt;&gt;Complete")=0,$A223&amp;"|"&amp;$B223,""),"")</f>
        <v/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 t="s">
        <v>598</v>
      </c>
      <c r="B224" s="2" t="s">
        <v>62</v>
      </c>
      <c r="C224" s="3" t="s">
        <v>597</v>
      </c>
      <c r="D224" s="3" t="s">
        <v>580</v>
      </c>
      <c r="E224" s="2"/>
      <c r="F224" s="2"/>
      <c r="G224" s="5"/>
      <c r="H224" s="5">
        <v>46285</v>
      </c>
      <c r="I224" s="4" t="s">
        <v>17</v>
      </c>
      <c r="J224" s="6" t="str">
        <f t="shared" si="10"/>
        <v/>
      </c>
      <c r="K224" s="4" t="str">
        <f t="shared" ca="1" si="11"/>
        <v>No</v>
      </c>
      <c r="L224" s="7">
        <f>IF($H224="","",$H224-'[2]Read Me'!$B$4)</f>
        <v>98</v>
      </c>
      <c r="M224" s="4" t="str">
        <f>IF($I224="Complete","Green",IF($H224="","Amber",IF($H224&lt;'[2]Read Me'!$B$4,"Red",IF($H224-'[2]Read Me'!$B$4&lt;=21,"Amber","Green"))))</f>
        <v>Green</v>
      </c>
      <c r="N224" s="3"/>
      <c r="O224" t="str">
        <f>IF($I224&lt;&gt;"Complete",IF(COUNTIFS($A$4:$A223,$A224,$B$4:$B223,$B224,$I$4:$I223,"&lt;&gt;Complete")=0,$A224&amp;"|"&amp;$B224,""),"")</f>
        <v/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 t="s">
        <v>598</v>
      </c>
      <c r="B225" s="2" t="s">
        <v>62</v>
      </c>
      <c r="C225" s="3" t="s">
        <v>597</v>
      </c>
      <c r="D225" s="3" t="s">
        <v>35</v>
      </c>
      <c r="E225" s="2" t="s">
        <v>554</v>
      </c>
      <c r="F225" s="2"/>
      <c r="G225" s="5">
        <v>46114</v>
      </c>
      <c r="H225" s="5">
        <v>46285</v>
      </c>
      <c r="I225" s="4" t="s">
        <v>17</v>
      </c>
      <c r="J225" s="6">
        <f t="shared" si="10"/>
        <v>171</v>
      </c>
      <c r="K225" s="4" t="str">
        <f t="shared" ca="1" si="11"/>
        <v>No</v>
      </c>
      <c r="L225" s="7">
        <f>IF($H225="","",$H225-'[2]Read Me'!$B$4)</f>
        <v>98</v>
      </c>
      <c r="M225" s="4" t="str">
        <f>IF($I225="Complete","Green",IF($H225="","Amber",IF($H225&lt;'[2]Read Me'!$B$4,"Red",IF($H225-'[2]Read Me'!$B$4&lt;=21,"Amber","Green"))))</f>
        <v>Green</v>
      </c>
      <c r="N225" s="3"/>
      <c r="O225" t="str">
        <f>IF($I225&lt;&gt;"Complete",IF(COUNTIFS($A$4:$A224,$A225,$B$4:$B224,$B225,$I$4:$I224,"&lt;&gt;Complete")=0,$A225&amp;"|"&amp;$B225,""),"")</f>
        <v/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 t="s">
        <v>598</v>
      </c>
      <c r="B226" s="2" t="s">
        <v>62</v>
      </c>
      <c r="C226" s="3" t="s">
        <v>597</v>
      </c>
      <c r="D226" s="3" t="s">
        <v>20</v>
      </c>
      <c r="E226" s="2" t="s">
        <v>184</v>
      </c>
      <c r="F226" s="2" t="s">
        <v>81</v>
      </c>
      <c r="G226" s="5">
        <v>46114</v>
      </c>
      <c r="H226" s="5">
        <v>46285</v>
      </c>
      <c r="I226" s="4" t="s">
        <v>17</v>
      </c>
      <c r="J226" s="6">
        <f t="shared" si="10"/>
        <v>171</v>
      </c>
      <c r="K226" s="4" t="str">
        <f t="shared" ca="1" si="11"/>
        <v>No</v>
      </c>
      <c r="L226" s="7">
        <f>IF($H226="","",$H226-'[2]Read Me'!$B$4)</f>
        <v>98</v>
      </c>
      <c r="M226" s="4" t="str">
        <f>IF($I226="Complete","Green",IF($H226="","Amber",IF($H226&lt;'[2]Read Me'!$B$4,"Red",IF($H226-'[2]Read Me'!$B$4&lt;=21,"Amber","Green"))))</f>
        <v>Green</v>
      </c>
      <c r="N226" s="3"/>
      <c r="O226" t="str">
        <f>IF($I226&lt;&gt;"Complete",IF(COUNTIFS($A$4:$A225,$A226,$B$4:$B225,$B226,$I$4:$I225,"&lt;&gt;Complete")=0,$A226&amp;"|"&amp;$B226,""),"")</f>
        <v/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 t="s">
        <v>598</v>
      </c>
      <c r="B227" s="2" t="s">
        <v>62</v>
      </c>
      <c r="C227" s="3" t="s">
        <v>597</v>
      </c>
      <c r="D227" s="3" t="s">
        <v>601</v>
      </c>
      <c r="E227" s="2" t="s">
        <v>554</v>
      </c>
      <c r="F227" s="2" t="s">
        <v>166</v>
      </c>
      <c r="G227" s="5">
        <v>46128</v>
      </c>
      <c r="H227" s="5">
        <v>46299</v>
      </c>
      <c r="I227" s="4" t="s">
        <v>17</v>
      </c>
      <c r="J227" s="6">
        <f t="shared" si="10"/>
        <v>171</v>
      </c>
      <c r="K227" s="4" t="str">
        <f t="shared" ca="1" si="11"/>
        <v>No</v>
      </c>
      <c r="L227" s="7">
        <f>IF($H227="","",$H227-'[2]Read Me'!$B$4)</f>
        <v>112</v>
      </c>
      <c r="M227" s="4" t="str">
        <f>IF($I227="Complete","Green",IF($H227="","Amber",IF($H227&lt;'[2]Read Me'!$B$4,"Red",IF($H227-'[2]Read Me'!$B$4&lt;=21,"Amber","Green"))))</f>
        <v>Green</v>
      </c>
      <c r="N227" s="3"/>
      <c r="O227" t="str">
        <f>IF($I227&lt;&gt;"Complete",IF(COUNTIFS($A$4:$A226,$A227,$B$4:$B226,$B227,$I$4:$I226,"&lt;&gt;Complete")=0,$A227&amp;"|"&amp;$B227,""),"")</f>
        <v/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 t="s">
        <v>598</v>
      </c>
      <c r="B228" s="2" t="s">
        <v>62</v>
      </c>
      <c r="C228" s="3" t="s">
        <v>597</v>
      </c>
      <c r="D228" s="3" t="s">
        <v>16</v>
      </c>
      <c r="E228" s="2" t="s">
        <v>554</v>
      </c>
      <c r="F228" s="2" t="s">
        <v>166</v>
      </c>
      <c r="G228" s="5">
        <v>46128</v>
      </c>
      <c r="H228" s="5">
        <v>46299</v>
      </c>
      <c r="I228" s="4" t="s">
        <v>17</v>
      </c>
      <c r="J228" s="6">
        <f t="shared" si="10"/>
        <v>171</v>
      </c>
      <c r="K228" s="4" t="str">
        <f t="shared" ca="1" si="11"/>
        <v>No</v>
      </c>
      <c r="L228" s="7">
        <f>IF($H228="","",$H228-'[2]Read Me'!$B$4)</f>
        <v>112</v>
      </c>
      <c r="M228" s="4" t="str">
        <f>IF($I228="Complete","Green",IF($H228="","Amber",IF($H228&lt;'[2]Read Me'!$B$4,"Red",IF($H228-'[2]Read Me'!$B$4&lt;=21,"Amber","Green"))))</f>
        <v>Green</v>
      </c>
      <c r="N228" s="3"/>
      <c r="O228" t="str">
        <f>IF($I228&lt;&gt;"Complete",IF(COUNTIFS($A$4:$A227,$A228,$B$4:$B227,$B228,$I$4:$I227,"&lt;&gt;Complete")=0,$A228&amp;"|"&amp;$B228,""),"")</f>
        <v/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 t="s">
        <v>598</v>
      </c>
      <c r="B229" s="2" t="s">
        <v>62</v>
      </c>
      <c r="C229" s="3" t="s">
        <v>597</v>
      </c>
      <c r="D229" s="3" t="s">
        <v>602</v>
      </c>
      <c r="E229" s="2"/>
      <c r="F229" s="2"/>
      <c r="G229" s="5"/>
      <c r="H229" s="5">
        <v>46313</v>
      </c>
      <c r="I229" s="4" t="s">
        <v>17</v>
      </c>
      <c r="J229" s="6" t="str">
        <f t="shared" si="10"/>
        <v/>
      </c>
      <c r="K229" s="4" t="str">
        <f t="shared" ca="1" si="11"/>
        <v>No</v>
      </c>
      <c r="L229" s="7">
        <f>IF($H229="","",$H229-'[2]Read Me'!$B$4)</f>
        <v>126</v>
      </c>
      <c r="M229" s="4" t="str">
        <f>IF($I229="Complete","Green",IF($H229="","Amber",IF($H229&lt;'[2]Read Me'!$B$4,"Red",IF($H229-'[2]Read Me'!$B$4&lt;=21,"Amber","Green"))))</f>
        <v>Green</v>
      </c>
      <c r="N229" s="3"/>
      <c r="O229" t="str">
        <f>IF($I229&lt;&gt;"Complete",IF(COUNTIFS($A$4:$A228,$A229,$B$4:$B228,$B229,$I$4:$I228,"&lt;&gt;Complete")=0,$A229&amp;"|"&amp;$B229,""),"")</f>
        <v/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 t="s">
        <v>598</v>
      </c>
      <c r="B230" s="2" t="s">
        <v>62</v>
      </c>
      <c r="C230" s="3" t="s">
        <v>597</v>
      </c>
      <c r="D230" s="3" t="s">
        <v>37</v>
      </c>
      <c r="E230" s="2" t="s">
        <v>554</v>
      </c>
      <c r="F230" s="2"/>
      <c r="G230" s="5">
        <v>46142</v>
      </c>
      <c r="H230" s="5">
        <v>46313</v>
      </c>
      <c r="I230" s="4" t="s">
        <v>17</v>
      </c>
      <c r="J230" s="6">
        <f t="shared" si="10"/>
        <v>171</v>
      </c>
      <c r="K230" s="4" t="str">
        <f t="shared" ca="1" si="11"/>
        <v>No</v>
      </c>
      <c r="L230" s="7">
        <f>IF($H230="","",$H230-'[2]Read Me'!$B$4)</f>
        <v>126</v>
      </c>
      <c r="M230" s="4" t="str">
        <f>IF($I230="Complete","Green",IF($H230="","Amber",IF($H230&lt;'[2]Read Me'!$B$4,"Red",IF($H230-'[2]Read Me'!$B$4&lt;=21,"Amber","Green"))))</f>
        <v>Green</v>
      </c>
      <c r="N230" s="3"/>
      <c r="O230" t="str">
        <f>IF($I230&lt;&gt;"Complete",IF(COUNTIFS($A$4:$A229,$A230,$B$4:$B229,$B230,$I$4:$I229,"&lt;&gt;Complete")=0,$A230&amp;"|"&amp;$B230,""),"")</f>
        <v/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 t="s">
        <v>598</v>
      </c>
      <c r="B231" s="2" t="s">
        <v>62</v>
      </c>
      <c r="C231" s="3" t="s">
        <v>597</v>
      </c>
      <c r="D231" s="3" t="s">
        <v>211</v>
      </c>
      <c r="E231" s="2"/>
      <c r="F231" s="2"/>
      <c r="G231" s="5">
        <v>46254</v>
      </c>
      <c r="H231" s="5">
        <v>46425</v>
      </c>
      <c r="I231" s="4" t="s">
        <v>17</v>
      </c>
      <c r="J231" s="6">
        <f t="shared" si="10"/>
        <v>171</v>
      </c>
      <c r="K231" s="4" t="str">
        <f t="shared" ca="1" si="11"/>
        <v>No</v>
      </c>
      <c r="L231" s="7">
        <f>IF($H231="","",$H231-'[2]Read Me'!$B$4)</f>
        <v>238</v>
      </c>
      <c r="M231" s="4" t="str">
        <f>IF($I231="Complete","Green",IF($H231="","Amber",IF($H231&lt;'[2]Read Me'!$B$4,"Red",IF($H231-'[2]Read Me'!$B$4&lt;=21,"Amber","Green"))))</f>
        <v>Green</v>
      </c>
      <c r="N231" s="3"/>
      <c r="O231" t="str">
        <f>IF($I231&lt;&gt;"Complete",IF(COUNTIFS($A$4:$A230,$A231,$B$4:$B230,$B231,$I$4:$I230,"&lt;&gt;Complete")=0,$A231&amp;"|"&amp;$B231,""),"")</f>
        <v/>
      </c>
      <c r="P231" t="str">
        <f ca="1">IF($K231="Yes",COUNTIFS($K$4:$K231,"Yes"),"")</f>
        <v/>
      </c>
      <c r="Q231">
        <f t="shared" ca="1" si="12"/>
        <v>0</v>
      </c>
      <c r="R231" t="str">
        <f ca="1">IF($Q231=1,SUM($Q$4:$Q231),"")</f>
        <v/>
      </c>
    </row>
    <row r="232" spans="1:18" ht="22.5" customHeight="1" x14ac:dyDescent="0.3">
      <c r="A232" s="2" t="s">
        <v>598</v>
      </c>
      <c r="B232" s="2" t="s">
        <v>62</v>
      </c>
      <c r="C232" s="3" t="s">
        <v>597</v>
      </c>
      <c r="D232" s="3" t="s">
        <v>603</v>
      </c>
      <c r="E232" s="2"/>
      <c r="F232" s="2"/>
      <c r="G232" s="5">
        <v>46268</v>
      </c>
      <c r="H232" s="5">
        <v>46439</v>
      </c>
      <c r="I232" s="4" t="s">
        <v>17</v>
      </c>
      <c r="J232" s="6">
        <f t="shared" si="10"/>
        <v>171</v>
      </c>
      <c r="K232" s="4" t="str">
        <f t="shared" ca="1" si="11"/>
        <v>No</v>
      </c>
      <c r="L232" s="7">
        <f>IF($H232="","",$H232-'[2]Read Me'!$B$4)</f>
        <v>252</v>
      </c>
      <c r="M232" s="4" t="str">
        <f>IF($I232="Complete","Green",IF($H232="","Amber",IF($H232&lt;'[2]Read Me'!$B$4,"Red",IF($H232-'[2]Read Me'!$B$4&lt;=21,"Amber","Green"))))</f>
        <v>Green</v>
      </c>
      <c r="N232" s="3"/>
      <c r="O232" t="str">
        <f>IF($I232&lt;&gt;"Complete",IF(COUNTIFS($A$4:$A231,$A232,$B$4:$B231,$B232,$I$4:$I231,"&lt;&gt;Complete")=0,$A232&amp;"|"&amp;$B232,""),"")</f>
        <v/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 t="s">
        <v>604</v>
      </c>
      <c r="B233" s="2" t="s">
        <v>49</v>
      </c>
      <c r="C233" s="3"/>
      <c r="D233" s="3"/>
      <c r="E233" s="2"/>
      <c r="F233" s="2"/>
      <c r="G233" s="5">
        <v>46425</v>
      </c>
      <c r="H233" s="5">
        <v>46446</v>
      </c>
      <c r="I233" s="4"/>
      <c r="J233" s="6">
        <f t="shared" si="10"/>
        <v>21</v>
      </c>
      <c r="K233" s="4" t="str">
        <f t="shared" ca="1" si="11"/>
        <v/>
      </c>
      <c r="L233" s="7">
        <f>IF($H233="","",$H233-'[2]Read Me'!$B$4)</f>
        <v>259</v>
      </c>
      <c r="M233" s="4" t="str">
        <f>IF($I233="Complete","Green",IF($H233="","Amber",IF($H233&lt;'[2]Read Me'!$B$4,"Red",IF($H233-'[2]Read Me'!$B$4&lt;=21,"Amber","Green"))))</f>
        <v>Green</v>
      </c>
      <c r="N233" s="3"/>
      <c r="O233" t="str">
        <f>IF($I233&lt;&gt;"Complete",IF(COUNTIFS($A$4:$A232,$A233,$B$4:$B232,$B233,$I$4:$I232,"&lt;&gt;Complete")=0,$A233&amp;"|"&amp;$B233,""),"")</f>
        <v>Ph - 1B 2C &amp; Towers|Authorities</v>
      </c>
      <c r="P233" t="str">
        <f ca="1">IF($K233="Yes",COUNTIFS($K$4:$K233,"Yes"),"")</f>
        <v/>
      </c>
      <c r="Q233">
        <f t="shared" ca="1" si="12"/>
        <v>0</v>
      </c>
      <c r="R233" t="str">
        <f ca="1">IF($Q233=1,SUM($Q$4:$Q233),"")</f>
        <v/>
      </c>
    </row>
    <row r="234" spans="1:18" ht="22.5" customHeight="1" x14ac:dyDescent="0.3">
      <c r="A234" s="2" t="s">
        <v>604</v>
      </c>
      <c r="B234" s="2" t="s">
        <v>49</v>
      </c>
      <c r="C234" s="3" t="s">
        <v>366</v>
      </c>
      <c r="D234" s="3" t="s">
        <v>456</v>
      </c>
      <c r="E234" s="2" t="s">
        <v>104</v>
      </c>
      <c r="F234" s="2"/>
      <c r="G234" s="5">
        <v>46145</v>
      </c>
      <c r="H234" s="5">
        <v>46166</v>
      </c>
      <c r="I234" s="4" t="s">
        <v>31</v>
      </c>
      <c r="J234" s="6">
        <f t="shared" si="10"/>
        <v>21</v>
      </c>
      <c r="K234" s="4" t="str">
        <f t="shared" ca="1" si="11"/>
        <v>-</v>
      </c>
      <c r="L234" s="7">
        <f>IF($H234="","",$H234-'[2]Read Me'!$B$4)</f>
        <v>-21</v>
      </c>
      <c r="M234" s="4" t="str">
        <f>IF($I234="Complete","Green",IF($H234="","Amber",IF($H234&lt;'[2]Read Me'!$B$4,"Red",IF($H234-'[2]Read Me'!$B$4&lt;=21,"Amber","Green"))))</f>
        <v>Red</v>
      </c>
      <c r="N234" s="3"/>
      <c r="O234" t="str">
        <f>IF($I234&lt;&gt;"Complete",IF(COUNTIFS($A$4:$A233,$A234,$B$4:$B233,$B234,$I$4:$I233,"&lt;&gt;Complete")=0,$A234&amp;"|"&amp;$B234,""),"")</f>
        <v/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 t="s">
        <v>604</v>
      </c>
      <c r="B235" s="2" t="s">
        <v>49</v>
      </c>
      <c r="C235" s="3" t="s">
        <v>366</v>
      </c>
      <c r="D235" s="3" t="s">
        <v>605</v>
      </c>
      <c r="E235" s="2" t="s">
        <v>104</v>
      </c>
      <c r="F235" s="2"/>
      <c r="G235" s="5">
        <v>46257</v>
      </c>
      <c r="H235" s="5">
        <v>46278</v>
      </c>
      <c r="I235" s="4" t="s">
        <v>46</v>
      </c>
      <c r="J235" s="6">
        <f t="shared" si="10"/>
        <v>21</v>
      </c>
      <c r="K235" s="4" t="str">
        <f t="shared" ca="1" si="11"/>
        <v>No</v>
      </c>
      <c r="L235" s="7">
        <f>IF($H235="","",$H235-'[2]Read Me'!$B$4)</f>
        <v>91</v>
      </c>
      <c r="M235" s="4" t="str">
        <f>IF($I235="Complete","Green",IF($H235="","Amber",IF($H235&lt;'[2]Read Me'!$B$4,"Red",IF($H235-'[2]Read Me'!$B$4&lt;=21,"Amber","Green"))))</f>
        <v>Green</v>
      </c>
      <c r="N235" s="3"/>
      <c r="O235" t="str">
        <f>IF($I235&lt;&gt;"Complete",IF(COUNTIFS($A$4:$A234,$A235,$B$4:$B234,$B235,$I$4:$I234,"&lt;&gt;Complete")=0,$A235&amp;"|"&amp;$B235,""),"")</f>
        <v/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 t="s">
        <v>604</v>
      </c>
      <c r="B236" s="2" t="s">
        <v>49</v>
      </c>
      <c r="C236" s="3" t="s">
        <v>366</v>
      </c>
      <c r="D236" s="3" t="s">
        <v>288</v>
      </c>
      <c r="E236" s="2" t="s">
        <v>104</v>
      </c>
      <c r="F236" s="2"/>
      <c r="G236" s="5">
        <v>46299</v>
      </c>
      <c r="H236" s="5">
        <v>46320</v>
      </c>
      <c r="I236" s="4" t="s">
        <v>17</v>
      </c>
      <c r="J236" s="6">
        <f t="shared" si="10"/>
        <v>21</v>
      </c>
      <c r="K236" s="4" t="str">
        <f t="shared" ca="1" si="11"/>
        <v>No</v>
      </c>
      <c r="L236" s="7">
        <f>IF($H236="","",$H236-'[2]Read Me'!$B$4)</f>
        <v>133</v>
      </c>
      <c r="M236" s="4" t="str">
        <f>IF($I236="Complete","Green",IF($H236="","Amber",IF($H236&lt;'[2]Read Me'!$B$4,"Red",IF($H236-'[2]Read Me'!$B$4&lt;=21,"Amber","Green"))))</f>
        <v>Green</v>
      </c>
      <c r="N236" s="3"/>
      <c r="O236" t="str">
        <f>IF($I236&lt;&gt;"Complete",IF(COUNTIFS($A$4:$A235,$A236,$B$4:$B235,$B236,$I$4:$I235,"&lt;&gt;Complete")=0,$A236&amp;"|"&amp;$B236,""),"")</f>
        <v/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 t="s">
        <v>604</v>
      </c>
      <c r="B237" s="2" t="s">
        <v>49</v>
      </c>
      <c r="C237" s="3" t="s">
        <v>366</v>
      </c>
      <c r="D237" s="3" t="s">
        <v>93</v>
      </c>
      <c r="E237" s="2" t="s">
        <v>104</v>
      </c>
      <c r="F237" s="2"/>
      <c r="G237" s="5">
        <v>46341</v>
      </c>
      <c r="H237" s="5">
        <v>46362</v>
      </c>
      <c r="I237" s="4" t="s">
        <v>17</v>
      </c>
      <c r="J237" s="6">
        <f t="shared" si="10"/>
        <v>21</v>
      </c>
      <c r="K237" s="4" t="str">
        <f t="shared" ca="1" si="11"/>
        <v>No</v>
      </c>
      <c r="L237" s="7">
        <f>IF($H237="","",$H237-'[2]Read Me'!$B$4)</f>
        <v>175</v>
      </c>
      <c r="M237" s="4" t="str">
        <f>IF($I237="Complete","Green",IF($H237="","Amber",IF($H237&lt;'[2]Read Me'!$B$4,"Red",IF($H237-'[2]Read Me'!$B$4&lt;=21,"Amber","Green"))))</f>
        <v>Green</v>
      </c>
      <c r="N237" s="3"/>
      <c r="O237" t="str">
        <f>IF($I237&lt;&gt;"Complete",IF(COUNTIFS($A$4:$A236,$A237,$B$4:$B236,$B237,$I$4:$I236,"&lt;&gt;Complete")=0,$A237&amp;"|"&amp;$B237,""),"")</f>
        <v/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 t="s">
        <v>604</v>
      </c>
      <c r="B238" s="2" t="s">
        <v>49</v>
      </c>
      <c r="C238" s="3" t="s">
        <v>366</v>
      </c>
      <c r="D238" s="3" t="s">
        <v>94</v>
      </c>
      <c r="E238" s="2" t="s">
        <v>104</v>
      </c>
      <c r="F238" s="2"/>
      <c r="G238" s="5">
        <v>46425</v>
      </c>
      <c r="H238" s="5">
        <v>46446</v>
      </c>
      <c r="I238" s="4" t="s">
        <v>17</v>
      </c>
      <c r="J238" s="6">
        <f t="shared" si="10"/>
        <v>21</v>
      </c>
      <c r="K238" s="4" t="str">
        <f t="shared" ca="1" si="11"/>
        <v>No</v>
      </c>
      <c r="L238" s="7">
        <f>IF($H238="","",$H238-'[2]Read Me'!$B$4)</f>
        <v>259</v>
      </c>
      <c r="M238" s="4" t="str">
        <f>IF($I238="Complete","Green",IF($H238="","Amber",IF($H238&lt;'[2]Read Me'!$B$4,"Red",IF($H238-'[2]Read Me'!$B$4&lt;=21,"Amber","Green"))))</f>
        <v>Green</v>
      </c>
      <c r="N238" s="3"/>
      <c r="O238" t="str">
        <f>IF($I238&lt;&gt;"Complete",IF(COUNTIFS($A$4:$A237,$A238,$B$4:$B237,$B238,$I$4:$I237,"&lt;&gt;Complete")=0,$A238&amp;"|"&amp;$B238,""),"")</f>
        <v/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 t="s">
        <v>598</v>
      </c>
      <c r="B239" s="2" t="s">
        <v>140</v>
      </c>
      <c r="C239" s="3"/>
      <c r="D239" s="3"/>
      <c r="E239" s="2"/>
      <c r="F239" s="2"/>
      <c r="G239" s="5">
        <v>46271</v>
      </c>
      <c r="H239" s="5">
        <v>46273</v>
      </c>
      <c r="I239" s="4"/>
      <c r="J239" s="6">
        <f t="shared" si="10"/>
        <v>2</v>
      </c>
      <c r="K239" s="4" t="str">
        <f t="shared" ca="1" si="11"/>
        <v/>
      </c>
      <c r="L239" s="7">
        <f>IF($H239="","",$H239-'[2]Read Me'!$B$4)</f>
        <v>86</v>
      </c>
      <c r="M239" s="4" t="str">
        <f>IF($I239="Complete","Green",IF($H239="","Amber",IF($H239&lt;'[2]Read Me'!$B$4,"Red",IF($H239-'[2]Read Me'!$B$4&lt;=21,"Amber","Green"))))</f>
        <v>Green</v>
      </c>
      <c r="N239" s="3"/>
      <c r="O239" t="str">
        <f>IF($I239&lt;&gt;"Complete",IF(COUNTIFS($A$4:$A238,$A239,$B$4:$B238,$B239,$I$4:$I238,"&lt;&gt;Complete")=0,$A239&amp;"|"&amp;$B239,""),"")</f>
        <v>Ph - 1B 2C|Masterplan</v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 t="s">
        <v>598</v>
      </c>
      <c r="B240" s="2" t="s">
        <v>140</v>
      </c>
      <c r="C240" s="3" t="s">
        <v>606</v>
      </c>
      <c r="D240" s="3" t="s">
        <v>14</v>
      </c>
      <c r="E240" s="2" t="s">
        <v>554</v>
      </c>
      <c r="F240" s="2" t="s">
        <v>79</v>
      </c>
      <c r="G240" s="5">
        <v>46173</v>
      </c>
      <c r="H240" s="5">
        <v>46167</v>
      </c>
      <c r="I240" s="4" t="s">
        <v>31</v>
      </c>
      <c r="J240" s="6">
        <f t="shared" si="10"/>
        <v>-6</v>
      </c>
      <c r="K240" s="4" t="str">
        <f t="shared" ca="1" si="11"/>
        <v>-</v>
      </c>
      <c r="L240" s="7">
        <f>IF($H240="","",$H240-'[2]Read Me'!$B$4)</f>
        <v>-20</v>
      </c>
      <c r="M240" s="4" t="str">
        <f>IF($I240="Complete","Green",IF($H240="","Amber",IF($H240&lt;'[2]Read Me'!$B$4,"Red",IF($H240-'[2]Read Me'!$B$4&lt;=21,"Amber","Green"))))</f>
        <v>Red</v>
      </c>
      <c r="N240" s="3"/>
      <c r="O240" t="str">
        <f>IF($I240&lt;&gt;"Complete",IF(COUNTIFS($A$4:$A239,$A240,$B$4:$B239,$B240,$I$4:$I239,"&lt;&gt;Complete")=0,$A240&amp;"|"&amp;$B240,""),"")</f>
        <v/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 t="s">
        <v>598</v>
      </c>
      <c r="B241" s="2" t="s">
        <v>140</v>
      </c>
      <c r="C241" s="3" t="s">
        <v>606</v>
      </c>
      <c r="D241" s="3" t="s">
        <v>34</v>
      </c>
      <c r="E241" s="2" t="s">
        <v>554</v>
      </c>
      <c r="F241" s="2"/>
      <c r="G241" s="5">
        <v>46187</v>
      </c>
      <c r="H241" s="5">
        <v>46189</v>
      </c>
      <c r="I241" s="4" t="s">
        <v>31</v>
      </c>
      <c r="J241" s="6">
        <f t="shared" si="10"/>
        <v>2</v>
      </c>
      <c r="K241" s="4" t="str">
        <f t="shared" ca="1" si="11"/>
        <v>-</v>
      </c>
      <c r="L241" s="7">
        <f>IF($H241="","",$H241-'[2]Read Me'!$B$4)</f>
        <v>2</v>
      </c>
      <c r="M241" s="4" t="str">
        <f>IF($I241="Complete","Green",IF($H241="","Amber",IF($H241&lt;'[2]Read Me'!$B$4,"Red",IF($H241-'[2]Read Me'!$B$4&lt;=21,"Amber","Green"))))</f>
        <v>Amber</v>
      </c>
      <c r="N241" s="3"/>
      <c r="O241" t="str">
        <f>IF($I241&lt;&gt;"Complete",IF(COUNTIFS($A$4:$A240,$A241,$B$4:$B240,$B241,$I$4:$I240,"&lt;&gt;Complete")=0,$A241&amp;"|"&amp;$B241,""),"")</f>
        <v/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 t="s">
        <v>598</v>
      </c>
      <c r="B242" s="2" t="s">
        <v>140</v>
      </c>
      <c r="C242" s="3" t="s">
        <v>606</v>
      </c>
      <c r="D242" s="3" t="s">
        <v>15</v>
      </c>
      <c r="E242" s="2" t="s">
        <v>554</v>
      </c>
      <c r="F242" s="2" t="s">
        <v>79</v>
      </c>
      <c r="G242" s="5">
        <v>46215</v>
      </c>
      <c r="H242" s="5">
        <v>46217</v>
      </c>
      <c r="I242" s="4" t="s">
        <v>46</v>
      </c>
      <c r="J242" s="6">
        <f t="shared" si="10"/>
        <v>2</v>
      </c>
      <c r="K242" s="4" t="str">
        <f t="shared" ca="1" si="11"/>
        <v>No</v>
      </c>
      <c r="L242" s="7">
        <f>IF($H242="","",$H242-'[2]Read Me'!$B$4)</f>
        <v>30</v>
      </c>
      <c r="M242" s="4" t="str">
        <f>IF($I242="Complete","Green",IF($H242="","Amber",IF($H242&lt;'[2]Read Me'!$B$4,"Red",IF($H242-'[2]Read Me'!$B$4&lt;=21,"Amber","Green"))))</f>
        <v>Green</v>
      </c>
      <c r="N242" s="3"/>
      <c r="O242" t="str">
        <f>IF($I242&lt;&gt;"Complete",IF(COUNTIFS($A$4:$A241,$A242,$B$4:$B241,$B242,$I$4:$I241,"&lt;&gt;Complete")=0,$A242&amp;"|"&amp;$B242,""),"")</f>
        <v/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 t="s">
        <v>598</v>
      </c>
      <c r="B243" s="2" t="s">
        <v>140</v>
      </c>
      <c r="C243" s="3" t="s">
        <v>606</v>
      </c>
      <c r="D243" s="3" t="s">
        <v>35</v>
      </c>
      <c r="E243" s="2" t="s">
        <v>554</v>
      </c>
      <c r="F243" s="2"/>
      <c r="G243" s="5">
        <v>46229</v>
      </c>
      <c r="H243" s="5">
        <v>46231</v>
      </c>
      <c r="I243" s="4" t="s">
        <v>17</v>
      </c>
      <c r="J243" s="6">
        <f t="shared" si="10"/>
        <v>2</v>
      </c>
      <c r="K243" s="4" t="str">
        <f t="shared" ca="1" si="11"/>
        <v>No</v>
      </c>
      <c r="L243" s="7">
        <f>IF($H243="","",$H243-'[2]Read Me'!$B$4)</f>
        <v>44</v>
      </c>
      <c r="M243" s="4" t="str">
        <f>IF($I243="Complete","Green",IF($H243="","Amber",IF($H243&lt;'[2]Read Me'!$B$4,"Red",IF($H243-'[2]Read Me'!$B$4&lt;=21,"Amber","Green"))))</f>
        <v>Green</v>
      </c>
      <c r="N243" s="3"/>
      <c r="O243" t="str">
        <f>IF($I243&lt;&gt;"Complete",IF(COUNTIFS($A$4:$A242,$A243,$B$4:$B242,$B243,$I$4:$I242,"&lt;&gt;Complete")=0,$A243&amp;"|"&amp;$B243,""),"")</f>
        <v/>
      </c>
      <c r="P243" t="str">
        <f ca="1">IF($K243="Yes",COUNTIFS($K$4:$K243,"Yes"),"")</f>
        <v/>
      </c>
      <c r="Q243">
        <f t="shared" ca="1" si="12"/>
        <v>0</v>
      </c>
      <c r="R243" t="str">
        <f ca="1">IF($Q243=1,SUM($Q$4:$Q243),"")</f>
        <v/>
      </c>
    </row>
    <row r="244" spans="1:18" ht="22.5" customHeight="1" x14ac:dyDescent="0.3">
      <c r="A244" s="2" t="s">
        <v>598</v>
      </c>
      <c r="B244" s="2" t="s">
        <v>140</v>
      </c>
      <c r="C244" s="3" t="s">
        <v>606</v>
      </c>
      <c r="D244" s="3" t="s">
        <v>607</v>
      </c>
      <c r="E244" s="2" t="s">
        <v>554</v>
      </c>
      <c r="F244" s="2" t="s">
        <v>79</v>
      </c>
      <c r="G244" s="5">
        <v>46089</v>
      </c>
      <c r="H244" s="5">
        <v>46091</v>
      </c>
      <c r="I244" s="4" t="s">
        <v>31</v>
      </c>
      <c r="J244" s="6">
        <f t="shared" si="10"/>
        <v>2</v>
      </c>
      <c r="K244" s="4" t="str">
        <f t="shared" ref="K244:K264" ca="1" si="13">IF($H244="","",IF($H244&gt;TODAY(),"No","Yes"))</f>
        <v>Yes</v>
      </c>
      <c r="L244" s="7">
        <f>IF($H244="","",$H244-'[2]Read Me'!$B$4)</f>
        <v>-96</v>
      </c>
      <c r="M244" s="4" t="str">
        <f>IF($I244="Complete","Green",IF($H244="","Amber",IF($H244&lt;'[2]Read Me'!$B$4,"Red",IF($H244-'[2]Read Me'!$B$4&lt;=21,"Amber","Green"))))</f>
        <v>Red</v>
      </c>
      <c r="N244" s="3"/>
      <c r="O244" t="str">
        <f>IF($I244&lt;&gt;"Complete",IF(COUNTIFS($A$4:$A243,$A244,$B$4:$B243,$B244,$I$4:$I243,"&lt;&gt;Complete")=0,$A244&amp;"|"&amp;$B244,""),"")</f>
        <v/>
      </c>
      <c r="P244">
        <f ca="1">IF($K244="Yes",COUNTIFS($K$4:$K244,"Yes"),"")</f>
        <v>10</v>
      </c>
      <c r="Q244">
        <f t="shared" ca="1" si="12"/>
        <v>1</v>
      </c>
      <c r="R244">
        <f ca="1">IF($Q244=1,SUM($Q$4:$Q244),"")</f>
        <v>10</v>
      </c>
    </row>
    <row r="245" spans="1:18" ht="22.5" customHeight="1" x14ac:dyDescent="0.3">
      <c r="A245" s="2" t="s">
        <v>598</v>
      </c>
      <c r="B245" s="2" t="s">
        <v>140</v>
      </c>
      <c r="C245" s="3" t="s">
        <v>606</v>
      </c>
      <c r="D245" s="3" t="s">
        <v>608</v>
      </c>
      <c r="E245" s="2" t="s">
        <v>554</v>
      </c>
      <c r="F245" s="2" t="s">
        <v>79</v>
      </c>
      <c r="G245" s="5">
        <v>46128</v>
      </c>
      <c r="H245" s="5">
        <v>46128</v>
      </c>
      <c r="I245" s="4" t="s">
        <v>31</v>
      </c>
      <c r="J245" s="6">
        <f t="shared" si="10"/>
        <v>0</v>
      </c>
      <c r="K245" s="4" t="str">
        <f t="shared" ca="1" si="13"/>
        <v>Yes</v>
      </c>
      <c r="L245" s="7">
        <f>IF($H245="","",$H245-'[2]Read Me'!$B$4)</f>
        <v>-59</v>
      </c>
      <c r="M245" s="4" t="str">
        <f>IF($I245="Complete","Green",IF($H245="","Amber",IF($H245&lt;'[2]Read Me'!$B$4,"Red",IF($H245-'[2]Read Me'!$B$4&lt;=21,"Amber","Green"))))</f>
        <v>Red</v>
      </c>
      <c r="N245" s="3"/>
      <c r="O245" t="str">
        <f>IF($I245&lt;&gt;"Complete",IF(COUNTIFS($A$4:$A244,$A245,$B$4:$B244,$B245,$I$4:$I244,"&lt;&gt;Complete")=0,$A245&amp;"|"&amp;$B245,""),"")</f>
        <v/>
      </c>
      <c r="P245">
        <f ca="1">IF($K245="Yes",COUNTIFS($K$4:$K245,"Yes"),"")</f>
        <v>11</v>
      </c>
      <c r="Q245">
        <f t="shared" ca="1" si="12"/>
        <v>1</v>
      </c>
      <c r="R245">
        <f ca="1">IF($Q245=1,SUM($Q$4:$Q245),"")</f>
        <v>11</v>
      </c>
    </row>
    <row r="246" spans="1:18" ht="22.5" customHeight="1" x14ac:dyDescent="0.3">
      <c r="A246" s="2" t="s">
        <v>598</v>
      </c>
      <c r="B246" s="2" t="s">
        <v>140</v>
      </c>
      <c r="C246" s="3" t="s">
        <v>606</v>
      </c>
      <c r="D246" s="3" t="s">
        <v>16</v>
      </c>
      <c r="E246" s="2" t="s">
        <v>554</v>
      </c>
      <c r="F246" s="2" t="s">
        <v>79</v>
      </c>
      <c r="G246" s="5">
        <v>46243</v>
      </c>
      <c r="H246" s="5">
        <v>46245</v>
      </c>
      <c r="I246" s="4" t="s">
        <v>17</v>
      </c>
      <c r="J246" s="6">
        <f t="shared" si="10"/>
        <v>2</v>
      </c>
      <c r="K246" s="4" t="str">
        <f t="shared" ca="1" si="13"/>
        <v>No</v>
      </c>
      <c r="L246" s="7">
        <f>IF($H246="","",$H246-'[2]Read Me'!$B$4)</f>
        <v>58</v>
      </c>
      <c r="M246" s="4" t="str">
        <f>IF($I246="Complete","Green",IF($H246="","Amber",IF($H246&lt;'[2]Read Me'!$B$4,"Red",IF($H246-'[2]Read Me'!$B$4&lt;=21,"Amber","Green"))))</f>
        <v>Green</v>
      </c>
      <c r="N246" s="3"/>
      <c r="O246" t="str">
        <f>IF($I246&lt;&gt;"Complete",IF(COUNTIFS($A$4:$A245,$A246,$B$4:$B245,$B246,$I$4:$I245,"&lt;&gt;Complete")=0,$A246&amp;"|"&amp;$B246,""),"")</f>
        <v/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 t="s">
        <v>598</v>
      </c>
      <c r="B247" s="2" t="s">
        <v>140</v>
      </c>
      <c r="C247" s="3" t="s">
        <v>606</v>
      </c>
      <c r="D247" s="3" t="s">
        <v>37</v>
      </c>
      <c r="E247" s="2" t="s">
        <v>554</v>
      </c>
      <c r="F247" s="2"/>
      <c r="G247" s="5">
        <v>46257</v>
      </c>
      <c r="H247" s="5">
        <v>46259</v>
      </c>
      <c r="I247" s="4" t="s">
        <v>17</v>
      </c>
      <c r="J247" s="6">
        <f t="shared" si="10"/>
        <v>2</v>
      </c>
      <c r="K247" s="4" t="str">
        <f t="shared" ca="1" si="13"/>
        <v>No</v>
      </c>
      <c r="L247" s="7">
        <f>IF($H247="","",$H247-'[2]Read Me'!$B$4)</f>
        <v>72</v>
      </c>
      <c r="M247" s="4" t="str">
        <f>IF($I247="Complete","Green",IF($H247="","Amber",IF($H247&lt;'[2]Read Me'!$B$4,"Red",IF($H247-'[2]Read Me'!$B$4&lt;=21,"Amber","Green"))))</f>
        <v>Green</v>
      </c>
      <c r="N247" s="3"/>
      <c r="O247" t="str">
        <f>IF($I247&lt;&gt;"Complete",IF(COUNTIFS($A$4:$A246,$A247,$B$4:$B246,$B247,$I$4:$I246,"&lt;&gt;Complete")=0,$A247&amp;"|"&amp;$B247,""),"")</f>
        <v/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/>
      <c r="B248" s="2"/>
      <c r="C248" s="3" t="s">
        <v>606</v>
      </c>
      <c r="D248" s="3" t="s">
        <v>388</v>
      </c>
      <c r="E248" s="2"/>
      <c r="F248" s="2"/>
      <c r="G248" s="5">
        <v>46271</v>
      </c>
      <c r="H248" s="5">
        <v>46273</v>
      </c>
      <c r="I248" s="4" t="s">
        <v>17</v>
      </c>
      <c r="J248" s="6">
        <f t="shared" si="10"/>
        <v>2</v>
      </c>
      <c r="K248" s="4" t="str">
        <f t="shared" ca="1" si="13"/>
        <v>No</v>
      </c>
      <c r="L248" s="7">
        <f>IF($H248="","",$H248-'[2]Read Me'!$B$4)</f>
        <v>86</v>
      </c>
      <c r="M248" s="4" t="str">
        <f>IF($I248="Complete","Green",IF($H248="","Amber",IF($H248&lt;'[2]Read Me'!$B$4,"Red",IF($H248-'[2]Read Me'!$B$4&lt;=21,"Amber","Green"))))</f>
        <v>Green</v>
      </c>
      <c r="N248" s="3"/>
      <c r="O248" t="str">
        <f>IF($I248&lt;&gt;"Complete",IF(COUNTIFS($A$4:$A247,$A248,$B$4:$B247,$B248,$I$4:$I247,"&lt;&gt;Complete")=0,$A248&amp;"|"&amp;$B248,""),"")</f>
        <v>|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 t="s">
        <v>598</v>
      </c>
      <c r="B249" s="2" t="s">
        <v>171</v>
      </c>
      <c r="C249" s="3"/>
      <c r="D249" s="3"/>
      <c r="E249" s="2"/>
      <c r="F249" s="2"/>
      <c r="G249" s="5">
        <v>46299</v>
      </c>
      <c r="H249" s="5">
        <v>46301</v>
      </c>
      <c r="I249" s="4"/>
      <c r="J249" s="6">
        <f t="shared" si="10"/>
        <v>2</v>
      </c>
      <c r="K249" s="4" t="str">
        <f t="shared" ca="1" si="13"/>
        <v>No</v>
      </c>
      <c r="L249" s="7">
        <f>IF($H249="","",$H249-'[2]Read Me'!$B$4)</f>
        <v>114</v>
      </c>
      <c r="M249" s="4" t="str">
        <f>IF($I249="Complete","Green",IF($H249="","Amber",IF($H249&lt;'[2]Read Me'!$B$4,"Red",IF($H249-'[2]Read Me'!$B$4&lt;=21,"Amber","Green"))))</f>
        <v>Green</v>
      </c>
      <c r="N249" s="3"/>
      <c r="O249" t="str">
        <f>IF($I249&lt;&gt;"Complete",IF(COUNTIFS($A$4:$A248,$A249,$B$4:$B248,$B249,$I$4:$I248,"&lt;&gt;Complete")=0,$A249&amp;"|"&amp;$B249,""),"")</f>
        <v>Ph - 1B 2C|Infrastructure</v>
      </c>
      <c r="P249" t="str">
        <f ca="1">IF($K249="Yes",COUNTIFS($K$4:$K249,"Yes"),"")</f>
        <v/>
      </c>
      <c r="Q249">
        <f t="shared" ca="1" si="12"/>
        <v>0</v>
      </c>
      <c r="R249" t="str">
        <f ca="1">IF($Q249=1,SUM($Q$4:$Q249),"")</f>
        <v/>
      </c>
    </row>
    <row r="250" spans="1:18" ht="22.5" customHeight="1" x14ac:dyDescent="0.3">
      <c r="A250" s="2" t="s">
        <v>598</v>
      </c>
      <c r="B250" s="2" t="s">
        <v>171</v>
      </c>
      <c r="C250" s="3" t="s">
        <v>609</v>
      </c>
      <c r="D250" s="3" t="s">
        <v>14</v>
      </c>
      <c r="E250" s="2" t="s">
        <v>554</v>
      </c>
      <c r="F250" s="2" t="s">
        <v>79</v>
      </c>
      <c r="G250" s="5">
        <v>46173</v>
      </c>
      <c r="H250" s="5">
        <v>46167</v>
      </c>
      <c r="I250" s="4" t="s">
        <v>31</v>
      </c>
      <c r="J250" s="6">
        <f t="shared" si="10"/>
        <v>-6</v>
      </c>
      <c r="K250" s="4" t="str">
        <f t="shared" ca="1" si="13"/>
        <v>Yes</v>
      </c>
      <c r="L250" s="7">
        <f>IF($H250="","",$H250-'[2]Read Me'!$B$4)</f>
        <v>-20</v>
      </c>
      <c r="M250" s="4" t="str">
        <f>IF($I250="Complete","Green",IF($H250="","Amber",IF($H250&lt;'[2]Read Me'!$B$4,"Red",IF($H250-'[2]Read Me'!$B$4&lt;=21,"Amber","Green"))))</f>
        <v>Red</v>
      </c>
      <c r="N250" s="8"/>
      <c r="O250" t="str">
        <f>IF($I250&lt;&gt;"Complete",IF(COUNTIFS($A$4:$A249,$A250,$B$4:$B249,$B250,$I$4:$I249,"&lt;&gt;Complete")=0,$A250&amp;"|"&amp;$B250,""),"")</f>
        <v/>
      </c>
      <c r="P250">
        <f ca="1">IF($K250="Yes",COUNTIFS($K$4:$K250,"Yes"),"")</f>
        <v>12</v>
      </c>
      <c r="Q250">
        <f t="shared" ca="1" si="12"/>
        <v>1</v>
      </c>
      <c r="R250">
        <f ca="1">IF($Q250=1,SUM($Q$4:$Q250),"")</f>
        <v>12</v>
      </c>
    </row>
    <row r="251" spans="1:18" ht="22.5" customHeight="1" x14ac:dyDescent="0.3">
      <c r="A251" s="2" t="s">
        <v>598</v>
      </c>
      <c r="B251" s="2" t="s">
        <v>171</v>
      </c>
      <c r="C251" s="3" t="s">
        <v>609</v>
      </c>
      <c r="D251" s="3" t="s">
        <v>34</v>
      </c>
      <c r="E251" s="2" t="s">
        <v>554</v>
      </c>
      <c r="F251" s="2"/>
      <c r="G251" s="5">
        <v>46187</v>
      </c>
      <c r="H251" s="5">
        <v>46189</v>
      </c>
      <c r="I251" s="4" t="s">
        <v>31</v>
      </c>
      <c r="J251" s="6">
        <f t="shared" si="10"/>
        <v>2</v>
      </c>
      <c r="K251" s="4" t="str">
        <f t="shared" ca="1" si="13"/>
        <v>Yes</v>
      </c>
      <c r="L251" s="7">
        <f>IF($H251="","",$H251-'[2]Read Me'!$B$4)</f>
        <v>2</v>
      </c>
      <c r="M251" s="4" t="str">
        <f>IF($I251="Complete","Green",IF($H251="","Amber",IF($H251&lt;'[2]Read Me'!$B$4,"Red",IF($H251-'[2]Read Me'!$B$4&lt;=21,"Amber","Green"))))</f>
        <v>Amber</v>
      </c>
      <c r="N251" s="3"/>
      <c r="O251" t="str">
        <f>IF($I251&lt;&gt;"Complete",IF(COUNTIFS($A$4:$A250,$A251,$B$4:$B250,$B251,$I$4:$I250,"&lt;&gt;Complete")=0,$A251&amp;"|"&amp;$B251,""),"")</f>
        <v/>
      </c>
      <c r="P251">
        <f ca="1">IF($K251="Yes",COUNTIFS($K$4:$K251,"Yes"),"")</f>
        <v>13</v>
      </c>
      <c r="Q251">
        <f t="shared" ca="1" si="12"/>
        <v>1</v>
      </c>
      <c r="R251">
        <f ca="1">IF($Q251=1,SUM($Q$4:$Q251),"")</f>
        <v>13</v>
      </c>
    </row>
    <row r="252" spans="1:18" ht="22.5" customHeight="1" x14ac:dyDescent="0.3">
      <c r="A252" s="2" t="s">
        <v>598</v>
      </c>
      <c r="B252" s="2" t="s">
        <v>171</v>
      </c>
      <c r="C252" s="3" t="s">
        <v>609</v>
      </c>
      <c r="D252" s="3" t="s">
        <v>15</v>
      </c>
      <c r="E252" s="2" t="s">
        <v>554</v>
      </c>
      <c r="F252" s="2" t="s">
        <v>79</v>
      </c>
      <c r="G252" s="5">
        <v>46243</v>
      </c>
      <c r="H252" s="5">
        <v>46245</v>
      </c>
      <c r="I252" s="4" t="s">
        <v>46</v>
      </c>
      <c r="J252" s="6">
        <f t="shared" si="10"/>
        <v>2</v>
      </c>
      <c r="K252" s="4" t="str">
        <f t="shared" ca="1" si="13"/>
        <v>No</v>
      </c>
      <c r="L252" s="7">
        <f>IF($H252="","",$H252-'[2]Read Me'!$B$4)</f>
        <v>58</v>
      </c>
      <c r="M252" s="4" t="str">
        <f>IF($I252="Complete","Green",IF($H252="","Amber",IF($H252&lt;'[2]Read Me'!$B$4,"Red",IF($H252-'[2]Read Me'!$B$4&lt;=21,"Amber","Green"))))</f>
        <v>Green</v>
      </c>
      <c r="N252" s="3"/>
      <c r="O252" t="str">
        <f>IF($I252&lt;&gt;"Complete",IF(COUNTIFS($A$4:$A251,$A252,$B$4:$B251,$B252,$I$4:$I251,"&lt;&gt;Complete")=0,$A252&amp;"|"&amp;$B252,""),"")</f>
        <v/>
      </c>
      <c r="P252" t="str">
        <f ca="1">IF($K252="Yes",COUNTIFS($K$4:$K252,"Yes"),"")</f>
        <v/>
      </c>
      <c r="Q252">
        <f t="shared" ca="1" si="12"/>
        <v>0</v>
      </c>
      <c r="R252" t="str">
        <f ca="1">IF($Q252=1,SUM($Q$4:$Q252),"")</f>
        <v/>
      </c>
    </row>
    <row r="253" spans="1:18" ht="22.5" customHeight="1" x14ac:dyDescent="0.3">
      <c r="A253" s="2" t="s">
        <v>598</v>
      </c>
      <c r="B253" s="2" t="s">
        <v>171</v>
      </c>
      <c r="C253" s="3" t="s">
        <v>609</v>
      </c>
      <c r="D253" s="3" t="s">
        <v>35</v>
      </c>
      <c r="E253" s="2" t="s">
        <v>554</v>
      </c>
      <c r="F253" s="2"/>
      <c r="G253" s="5">
        <v>46257</v>
      </c>
      <c r="H253" s="5">
        <v>46259</v>
      </c>
      <c r="I253" s="4" t="s">
        <v>17</v>
      </c>
      <c r="J253" s="6">
        <f t="shared" si="10"/>
        <v>2</v>
      </c>
      <c r="K253" s="4" t="str">
        <f t="shared" ca="1" si="13"/>
        <v>No</v>
      </c>
      <c r="L253" s="7">
        <f>IF($H253="","",$H253-'[2]Read Me'!$B$4)</f>
        <v>72</v>
      </c>
      <c r="M253" s="4" t="str">
        <f>IF($I253="Complete","Green",IF($H253="","Amber",IF($H253&lt;'[2]Read Me'!$B$4,"Red",IF($H253-'[2]Read Me'!$B$4&lt;=21,"Amber","Green"))))</f>
        <v>Green</v>
      </c>
      <c r="N253" s="3"/>
      <c r="O253" t="str">
        <f>IF($I253&lt;&gt;"Complete",IF(COUNTIFS($A$4:$A252,$A253,$B$4:$B252,$B253,$I$4:$I252,"&lt;&gt;Complete")=0,$A253&amp;"|"&amp;$B253,""),"")</f>
        <v/>
      </c>
      <c r="P253" t="str">
        <f ca="1">IF($K253="Yes",COUNTIFS($K$4:$K253,"Yes"),"")</f>
        <v/>
      </c>
      <c r="Q253">
        <f t="shared" ca="1" si="12"/>
        <v>0</v>
      </c>
      <c r="R253" t="str">
        <f ca="1">IF($Q253=1,SUM($Q$4:$Q253),"")</f>
        <v/>
      </c>
    </row>
    <row r="254" spans="1:18" ht="22.5" customHeight="1" x14ac:dyDescent="0.3">
      <c r="A254" s="2" t="s">
        <v>598</v>
      </c>
      <c r="B254" s="2" t="s">
        <v>171</v>
      </c>
      <c r="C254" s="3" t="s">
        <v>609</v>
      </c>
      <c r="D254" s="3" t="s">
        <v>610</v>
      </c>
      <c r="E254" s="2" t="s">
        <v>567</v>
      </c>
      <c r="F254" s="2"/>
      <c r="G254" s="5">
        <v>46271</v>
      </c>
      <c r="H254" s="5">
        <v>46273</v>
      </c>
      <c r="I254" s="4" t="s">
        <v>17</v>
      </c>
      <c r="J254" s="6">
        <f t="shared" si="10"/>
        <v>2</v>
      </c>
      <c r="K254" s="4" t="str">
        <f t="shared" ca="1" si="13"/>
        <v>No</v>
      </c>
      <c r="L254" s="7">
        <f>IF($H254="","",$H254-'[2]Read Me'!$B$4)</f>
        <v>86</v>
      </c>
      <c r="M254" s="4" t="str">
        <f>IF($I254="Complete","Green",IF($H254="","Amber",IF($H254&lt;'[2]Read Me'!$B$4,"Red",IF($H254-'[2]Read Me'!$B$4&lt;=21,"Amber","Green"))))</f>
        <v>Green</v>
      </c>
      <c r="N254" s="3"/>
      <c r="O254" t="str">
        <f>IF($I254&lt;&gt;"Complete",IF(COUNTIFS($A$4:$A253,$A254,$B$4:$B253,$B254,$I$4:$I253,"&lt;&gt;Complete")=0,$A254&amp;"|"&amp;$B254,""),"")</f>
        <v/>
      </c>
      <c r="P254" t="str">
        <f ca="1">IF($K254="Yes",COUNTIFS($K$4:$K254,"Yes"),"")</f>
        <v/>
      </c>
      <c r="Q254">
        <f t="shared" ca="1" si="12"/>
        <v>0</v>
      </c>
      <c r="R254" t="str">
        <f ca="1">IF($Q254=1,SUM($Q$4:$Q254),"")</f>
        <v/>
      </c>
    </row>
    <row r="255" spans="1:18" ht="22.5" customHeight="1" x14ac:dyDescent="0.3">
      <c r="A255" s="2" t="s">
        <v>598</v>
      </c>
      <c r="B255" s="2" t="s">
        <v>171</v>
      </c>
      <c r="C255" s="3" t="s">
        <v>609</v>
      </c>
      <c r="D255" s="3" t="s">
        <v>16</v>
      </c>
      <c r="E255" s="2" t="s">
        <v>554</v>
      </c>
      <c r="F255" s="2" t="s">
        <v>79</v>
      </c>
      <c r="G255" s="5">
        <v>46285</v>
      </c>
      <c r="H255" s="5">
        <v>46287</v>
      </c>
      <c r="I255" s="4" t="s">
        <v>17</v>
      </c>
      <c r="J255" s="6">
        <f t="shared" si="10"/>
        <v>2</v>
      </c>
      <c r="K255" s="4" t="str">
        <f t="shared" ca="1" si="13"/>
        <v>No</v>
      </c>
      <c r="L255" s="7">
        <f>IF($H255="","",$H255-'[2]Read Me'!$B$4)</f>
        <v>100</v>
      </c>
      <c r="M255" s="4" t="str">
        <f>IF($I255="Complete","Green",IF($H255="","Amber",IF($H255&lt;'[2]Read Me'!$B$4,"Red",IF($H255-'[2]Read Me'!$B$4&lt;=21,"Amber","Green"))))</f>
        <v>Green</v>
      </c>
      <c r="N255" s="3"/>
      <c r="O255" t="str">
        <f>IF($I255&lt;&gt;"Complete",IF(COUNTIFS($A$4:$A254,$A255,$B$4:$B254,$B255,$I$4:$I254,"&lt;&gt;Complete")=0,$A255&amp;"|"&amp;$B255,""),"")</f>
        <v/>
      </c>
      <c r="P255" t="str">
        <f ca="1">IF($K255="Yes",COUNTIFS($K$4:$K255,"Yes"),"")</f>
        <v/>
      </c>
      <c r="Q255">
        <f t="shared" ca="1" si="12"/>
        <v>0</v>
      </c>
      <c r="R255" t="str">
        <f ca="1">IF($Q255=1,SUM($Q$4:$Q255),"")</f>
        <v/>
      </c>
    </row>
    <row r="256" spans="1:18" ht="22.5" customHeight="1" x14ac:dyDescent="0.3">
      <c r="A256" s="2" t="s">
        <v>598</v>
      </c>
      <c r="B256" s="2" t="s">
        <v>171</v>
      </c>
      <c r="C256" s="3" t="s">
        <v>609</v>
      </c>
      <c r="D256" s="3" t="s">
        <v>37</v>
      </c>
      <c r="E256" s="2" t="s">
        <v>554</v>
      </c>
      <c r="F256" s="2"/>
      <c r="G256" s="5">
        <v>46299</v>
      </c>
      <c r="H256" s="5">
        <v>46301</v>
      </c>
      <c r="I256" s="4" t="s">
        <v>17</v>
      </c>
      <c r="J256" s="6">
        <f t="shared" si="10"/>
        <v>2</v>
      </c>
      <c r="K256" s="4" t="str">
        <f t="shared" ca="1" si="13"/>
        <v>No</v>
      </c>
      <c r="L256" s="7">
        <f>IF($H256="","",$H256-'[2]Read Me'!$B$4)</f>
        <v>114</v>
      </c>
      <c r="M256" s="4" t="str">
        <f>IF($I256="Complete","Green",IF($H256="","Amber",IF($H256&lt;'[2]Read Me'!$B$4,"Red",IF($H256-'[2]Read Me'!$B$4&lt;=21,"Amber","Green"))))</f>
        <v>Green</v>
      </c>
      <c r="N256" s="3"/>
      <c r="O256" t="str">
        <f>IF($I256&lt;&gt;"Complete",IF(COUNTIFS($A$4:$A255,$A256,$B$4:$B255,$B256,$I$4:$I255,"&lt;&gt;Complete")=0,$A256&amp;"|"&amp;$B256,""),"")</f>
        <v/>
      </c>
      <c r="P256" t="str">
        <f ca="1">IF($K256="Yes",COUNTIFS($K$4:$K256,"Yes"),"")</f>
        <v/>
      </c>
      <c r="Q256">
        <f t="shared" ca="1" si="12"/>
        <v>0</v>
      </c>
      <c r="R256" t="str">
        <f ca="1">IF($Q256=1,SUM($Q$4:$Q256),"")</f>
        <v/>
      </c>
    </row>
    <row r="257" spans="1:18" ht="22.5" customHeight="1" x14ac:dyDescent="0.3">
      <c r="A257" s="2" t="s">
        <v>596</v>
      </c>
      <c r="B257" s="2" t="s">
        <v>21</v>
      </c>
      <c r="C257" s="3"/>
      <c r="D257" s="3"/>
      <c r="E257" s="2"/>
      <c r="F257" s="2"/>
      <c r="G257" s="5">
        <v>46652</v>
      </c>
      <c r="H257" s="5">
        <v>46420</v>
      </c>
      <c r="I257" s="4"/>
      <c r="J257" s="6">
        <f t="shared" si="10"/>
        <v>-232</v>
      </c>
      <c r="K257" s="4" t="str">
        <f t="shared" ca="1" si="13"/>
        <v>No</v>
      </c>
      <c r="L257" s="7">
        <f>IF($H257="","",$H257-'[2]Read Me'!$B$4)</f>
        <v>233</v>
      </c>
      <c r="M257" s="4" t="str">
        <f>IF($I257="Complete","Green",IF($H257="","Amber",IF($H257&lt;'[2]Read Me'!$B$4,"Red",IF($H257-'[2]Read Me'!$B$4&lt;=21,"Amber","Green"))))</f>
        <v>Green</v>
      </c>
      <c r="N257" s="3"/>
      <c r="O257" t="str">
        <f>IF($I257&lt;&gt;"Complete",IF(COUNTIFS($A$4:$A256,$A257,$B$4:$B256,$B257,$I$4:$I256,"&lt;&gt;Complete")=0,$A257&amp;"|"&amp;$B257,""),"")</f>
        <v>Ph - 1B|Landscape</v>
      </c>
      <c r="P257" t="str">
        <f ca="1">IF($K257="Yes",COUNTIFS($K$4:$K257,"Yes"),"")</f>
        <v/>
      </c>
      <c r="Q257">
        <f t="shared" ca="1" si="12"/>
        <v>0</v>
      </c>
      <c r="R257" t="str">
        <f ca="1">IF($Q257=1,SUM($Q$4:$Q257),"")</f>
        <v/>
      </c>
    </row>
    <row r="258" spans="1:18" ht="45" customHeight="1" x14ac:dyDescent="0.3">
      <c r="A258" s="2" t="s">
        <v>596</v>
      </c>
      <c r="B258" s="2" t="s">
        <v>21</v>
      </c>
      <c r="C258" s="3" t="s">
        <v>611</v>
      </c>
      <c r="D258" s="3" t="s">
        <v>126</v>
      </c>
      <c r="E258" s="2" t="s">
        <v>215</v>
      </c>
      <c r="F258" s="2" t="s">
        <v>79</v>
      </c>
      <c r="G258" s="5">
        <v>46309</v>
      </c>
      <c r="H258" s="5">
        <v>46329</v>
      </c>
      <c r="I258" s="4" t="s">
        <v>17</v>
      </c>
      <c r="J258" s="6">
        <f t="shared" si="10"/>
        <v>20</v>
      </c>
      <c r="K258" s="4" t="str">
        <f t="shared" ca="1" si="13"/>
        <v>No</v>
      </c>
      <c r="L258" s="7">
        <f>IF($H258="","",$H258-'[2]Read Me'!$B$4)</f>
        <v>142</v>
      </c>
      <c r="M258" s="4" t="str">
        <f>IF($I258="Complete","Green",IF($H258="","Amber",IF($H258&lt;'[2]Read Me'!$B$4,"Red",IF($H258-'[2]Read Me'!$B$4&lt;=21,"Amber","Green"))))</f>
        <v>Green</v>
      </c>
      <c r="N258" s="3"/>
      <c r="O258" t="str">
        <f>IF($I258&lt;&gt;"Complete",IF(COUNTIFS($A$4:$A257,$A258,$B$4:$B257,$B258,$I$4:$I257,"&lt;&gt;Complete")=0,$A258&amp;"|"&amp;$B258,""),"")</f>
        <v/>
      </c>
      <c r="P258" t="str">
        <f ca="1">IF($K258="Yes",COUNTIFS($K$4:$K258,"Yes"),"")</f>
        <v/>
      </c>
      <c r="Q258">
        <f t="shared" ca="1" si="12"/>
        <v>0</v>
      </c>
      <c r="R258" t="str">
        <f ca="1">IF($Q258=1,SUM($Q$4:$Q258),"")</f>
        <v/>
      </c>
    </row>
    <row r="259" spans="1:18" ht="45" customHeight="1" x14ac:dyDescent="0.3">
      <c r="A259" s="2" t="s">
        <v>596</v>
      </c>
      <c r="B259" s="2" t="s">
        <v>21</v>
      </c>
      <c r="C259" s="3" t="s">
        <v>611</v>
      </c>
      <c r="D259" s="3" t="s">
        <v>34</v>
      </c>
      <c r="E259" s="2" t="s">
        <v>215</v>
      </c>
      <c r="F259" s="2"/>
      <c r="G259" s="5">
        <v>46323</v>
      </c>
      <c r="H259" s="5">
        <v>46343</v>
      </c>
      <c r="I259" s="4" t="s">
        <v>17</v>
      </c>
      <c r="J259" s="6">
        <f t="shared" si="10"/>
        <v>20</v>
      </c>
      <c r="K259" s="4" t="str">
        <f t="shared" ca="1" si="13"/>
        <v>No</v>
      </c>
      <c r="L259" s="7">
        <f>IF($H259="","",$H259-'[2]Read Me'!$B$4)</f>
        <v>156</v>
      </c>
      <c r="M259" s="4" t="str">
        <f>IF($I259="Complete","Green",IF($H259="","Amber",IF($H259&lt;'[2]Read Me'!$B$4,"Red",IF($H259-'[2]Read Me'!$B$4&lt;=21,"Amber","Green"))))</f>
        <v>Green</v>
      </c>
      <c r="N259" s="3"/>
      <c r="O259" t="str">
        <f>IF($I259&lt;&gt;"Complete",IF(COUNTIFS($A$4:$A258,$A259,$B$4:$B258,$B259,$I$4:$I258,"&lt;&gt;Complete")=0,$A259&amp;"|"&amp;$B259,""),"")</f>
        <v/>
      </c>
      <c r="P259" t="str">
        <f ca="1">IF($K259="Yes",COUNTIFS($K$4:$K259,"Yes"),"")</f>
        <v/>
      </c>
      <c r="Q259">
        <f t="shared" ca="1" si="12"/>
        <v>0</v>
      </c>
      <c r="R259" t="str">
        <f ca="1">IF($Q259=1,SUM($Q$4:$Q259),"")</f>
        <v/>
      </c>
    </row>
    <row r="260" spans="1:18" ht="45" customHeight="1" x14ac:dyDescent="0.3">
      <c r="A260" s="2" t="s">
        <v>596</v>
      </c>
      <c r="B260" s="2" t="s">
        <v>21</v>
      </c>
      <c r="C260" s="3" t="s">
        <v>611</v>
      </c>
      <c r="D260" s="3" t="s">
        <v>127</v>
      </c>
      <c r="E260" s="2" t="s">
        <v>215</v>
      </c>
      <c r="F260" s="2" t="s">
        <v>79</v>
      </c>
      <c r="G260" s="5">
        <v>46351</v>
      </c>
      <c r="H260" s="5">
        <v>46371</v>
      </c>
      <c r="I260" s="4" t="s">
        <v>17</v>
      </c>
      <c r="J260" s="6">
        <f t="shared" ref="J260:J312" si="14">IF(OR($G260="",$H260=""),"",$H260-$G260)</f>
        <v>20</v>
      </c>
      <c r="K260" s="4" t="str">
        <f t="shared" ca="1" si="13"/>
        <v>No</v>
      </c>
      <c r="L260" s="7">
        <f>IF($H260="","",$H260-'[2]Read Me'!$B$4)</f>
        <v>184</v>
      </c>
      <c r="M260" s="4" t="str">
        <f>IF($I260="Complete","Green",IF($H260="","Amber",IF($H260&lt;'[2]Read Me'!$B$4,"Red",IF($H260-'[2]Read Me'!$B$4&lt;=21,"Amber","Green"))))</f>
        <v>Green</v>
      </c>
      <c r="N260" s="3"/>
      <c r="O260" t="str">
        <f>IF($I260&lt;&gt;"Complete",IF(COUNTIFS($A$4:$A259,$A260,$B$4:$B259,$B260,$I$4:$I259,"&lt;&gt;Complete")=0,$A260&amp;"|"&amp;$B260,""),"")</f>
        <v/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 t="s">
        <v>596</v>
      </c>
      <c r="B261" s="2" t="s">
        <v>21</v>
      </c>
      <c r="C261" s="3" t="s">
        <v>611</v>
      </c>
      <c r="D261" s="3" t="s">
        <v>35</v>
      </c>
      <c r="E261" s="2" t="s">
        <v>215</v>
      </c>
      <c r="F261" s="2"/>
      <c r="G261" s="5">
        <v>46365</v>
      </c>
      <c r="H261" s="5">
        <v>46385</v>
      </c>
      <c r="I261" s="4" t="s">
        <v>17</v>
      </c>
      <c r="J261" s="6">
        <f t="shared" si="14"/>
        <v>20</v>
      </c>
      <c r="K261" s="4" t="str">
        <f t="shared" ca="1" si="13"/>
        <v>No</v>
      </c>
      <c r="L261" s="7">
        <f>IF($H261="","",$H261-'[2]Read Me'!$B$4)</f>
        <v>198</v>
      </c>
      <c r="M261" s="4" t="str">
        <f>IF($I261="Complete","Green",IF($H261="","Amber",IF($H261&lt;'[2]Read Me'!$B$4,"Red",IF($H261-'[2]Read Me'!$B$4&lt;=21,"Amber","Green"))))</f>
        <v>Green</v>
      </c>
      <c r="N261" s="3"/>
      <c r="O261" t="str">
        <f>IF($I261&lt;&gt;"Complete",IF(COUNTIFS($A$4:$A260,$A261,$B$4:$B260,$B261,$I$4:$I260,"&lt;&gt;Complete")=0,$A261&amp;"|"&amp;$B261,""),"")</f>
        <v/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 t="s">
        <v>596</v>
      </c>
      <c r="B262" s="2" t="s">
        <v>21</v>
      </c>
      <c r="C262" s="3" t="s">
        <v>611</v>
      </c>
      <c r="D262" s="3" t="s">
        <v>20</v>
      </c>
      <c r="E262" s="2" t="s">
        <v>184</v>
      </c>
      <c r="F262" s="2"/>
      <c r="G262" s="5">
        <v>46365</v>
      </c>
      <c r="H262" s="5">
        <v>46385</v>
      </c>
      <c r="I262" s="4" t="s">
        <v>17</v>
      </c>
      <c r="J262" s="6">
        <f t="shared" si="14"/>
        <v>20</v>
      </c>
      <c r="K262" s="4" t="str">
        <f t="shared" ca="1" si="13"/>
        <v>No</v>
      </c>
      <c r="L262" s="7">
        <f>IF($H262="","",$H262-'[2]Read Me'!$B$4)</f>
        <v>198</v>
      </c>
      <c r="M262" s="4" t="str">
        <f>IF($I262="Complete","Green",IF($H262="","Amber",IF($H262&lt;'[2]Read Me'!$B$4,"Red",IF($H262-'[2]Read Me'!$B$4&lt;=21,"Amber","Green"))))</f>
        <v>Green</v>
      </c>
      <c r="N262" s="3"/>
      <c r="O262" t="str">
        <f>IF($I262&lt;&gt;"Complete",IF(COUNTIFS($A$4:$A261,$A262,$B$4:$B261,$B262,$I$4:$I261,"&lt;&gt;Complete")=0,$A262&amp;"|"&amp;$B262,""),"")</f>
        <v/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 t="s">
        <v>596</v>
      </c>
      <c r="B263" s="2" t="s">
        <v>21</v>
      </c>
      <c r="C263" s="3" t="s">
        <v>611</v>
      </c>
      <c r="D263" s="3" t="s">
        <v>16</v>
      </c>
      <c r="E263" s="2" t="s">
        <v>215</v>
      </c>
      <c r="F263" s="2" t="s">
        <v>79</v>
      </c>
      <c r="G263" s="5">
        <v>46386</v>
      </c>
      <c r="H263" s="5">
        <v>46406</v>
      </c>
      <c r="I263" s="4" t="s">
        <v>17</v>
      </c>
      <c r="J263" s="6">
        <f t="shared" si="14"/>
        <v>20</v>
      </c>
      <c r="K263" s="4" t="str">
        <f t="shared" ca="1" si="13"/>
        <v>No</v>
      </c>
      <c r="L263" s="7">
        <f>IF($H263="","",$H263-'[2]Read Me'!$B$4)</f>
        <v>219</v>
      </c>
      <c r="M263" s="4" t="str">
        <f>IF($I263="Complete","Green",IF($H263="","Amber",IF($H263&lt;'[2]Read Me'!$B$4,"Red",IF($H263-'[2]Read Me'!$B$4&lt;=21,"Amber","Green"))))</f>
        <v>Green</v>
      </c>
      <c r="N263" s="3"/>
      <c r="O263" t="str">
        <f>IF($I263&lt;&gt;"Complete",IF(COUNTIFS($A$4:$A262,$A263,$B$4:$B262,$B263,$I$4:$I262,"&lt;&gt;Complete")=0,$A263&amp;"|"&amp;$B263,""),"")</f>
        <v/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 t="s">
        <v>596</v>
      </c>
      <c r="B264" s="2" t="s">
        <v>21</v>
      </c>
      <c r="C264" s="3" t="s">
        <v>611</v>
      </c>
      <c r="D264" s="3" t="s">
        <v>37</v>
      </c>
      <c r="E264" s="2" t="s">
        <v>215</v>
      </c>
      <c r="F264" s="2"/>
      <c r="G264" s="5">
        <v>46400</v>
      </c>
      <c r="H264" s="5">
        <v>46420</v>
      </c>
      <c r="I264" s="4" t="s">
        <v>17</v>
      </c>
      <c r="J264" s="6">
        <f t="shared" si="14"/>
        <v>20</v>
      </c>
      <c r="K264" s="4" t="str">
        <f t="shared" ca="1" si="13"/>
        <v>No</v>
      </c>
      <c r="L264" s="7">
        <f>IF($H264="","",$H264-'[2]Read Me'!$B$4)</f>
        <v>233</v>
      </c>
      <c r="M264" s="4" t="str">
        <f>IF($I264="Complete","Green",IF($H264="","Amber",IF($H264&lt;'[2]Read Me'!$B$4,"Red",IF($H264-'[2]Read Me'!$B$4&lt;=21,"Amber","Green"))))</f>
        <v>Green</v>
      </c>
      <c r="N264" s="3"/>
      <c r="O264" t="str">
        <f>IF($I264&lt;&gt;"Complete",IF(COUNTIFS($A$4:$A263,$A264,$B$4:$B263,$B264,$I$4:$I263,"&lt;&gt;Complete")=0,$A264&amp;"|"&amp;$B264,""),"")</f>
        <v/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 t="s">
        <v>612</v>
      </c>
      <c r="B265" s="2" t="s">
        <v>21</v>
      </c>
      <c r="C265" s="3"/>
      <c r="D265" s="3"/>
      <c r="E265" s="2"/>
      <c r="F265" s="2"/>
      <c r="G265" s="5">
        <v>46519</v>
      </c>
      <c r="H265" s="5">
        <v>46539</v>
      </c>
      <c r="I265" s="4"/>
      <c r="J265" s="6">
        <f t="shared" si="14"/>
        <v>20</v>
      </c>
      <c r="K265" s="4" t="str">
        <f t="shared" ref="K265:K312" ca="1" si="16">IF($H265="","",IF($H265&lt;TODAY(),"No","Yes"))</f>
        <v>Yes</v>
      </c>
      <c r="L265" s="7">
        <f>IF($H265="","",$H265-'[2]Read Me'!$B$4)</f>
        <v>352</v>
      </c>
      <c r="M265" s="4" t="str">
        <f>IF($I265="Complete","Green",IF($H265="","Amber",IF($H265&lt;'[2]Read Me'!$B$4,"Red",IF($H265-'[2]Read Me'!$B$4&lt;=21,"Amber","Green"))))</f>
        <v>Green</v>
      </c>
      <c r="N265" s="3"/>
      <c r="O265" t="str">
        <f>IF($I265&lt;&gt;"Complete",IF(COUNTIFS($A$4:$A264,$A265,$B$4:$B264,$B265,$I$4:$I264,"&lt;&gt;Complete")=0,$A265&amp;"|"&amp;$B265,""),"")</f>
        <v>Ph - 2C|Landscape</v>
      </c>
      <c r="P265">
        <f ca="1">IF($K265="Yes",COUNTIFS($K$4:$K265,"Yes"),"")</f>
        <v>14</v>
      </c>
      <c r="Q265">
        <f t="shared" ca="1" si="15"/>
        <v>1</v>
      </c>
      <c r="R265">
        <f ca="1">IF($Q265=1,SUM($Q$4:$Q265),"")</f>
        <v>14</v>
      </c>
    </row>
    <row r="266" spans="1:18" ht="45" customHeight="1" x14ac:dyDescent="0.3">
      <c r="A266" s="2" t="s">
        <v>612</v>
      </c>
      <c r="B266" s="2" t="s">
        <v>21</v>
      </c>
      <c r="C266" s="3" t="s">
        <v>613</v>
      </c>
      <c r="D266" s="3" t="s">
        <v>126</v>
      </c>
      <c r="E266" s="2" t="s">
        <v>215</v>
      </c>
      <c r="F266" s="2" t="s">
        <v>79</v>
      </c>
      <c r="G266" s="5">
        <v>46428</v>
      </c>
      <c r="H266" s="5">
        <v>46448</v>
      </c>
      <c r="I266" s="4" t="s">
        <v>17</v>
      </c>
      <c r="J266" s="6">
        <f t="shared" si="14"/>
        <v>20</v>
      </c>
      <c r="K266" s="4" t="str">
        <f t="shared" ca="1" si="16"/>
        <v>Yes</v>
      </c>
      <c r="L266" s="7">
        <f>IF($H266="","",$H266-'[2]Read Me'!$B$4)</f>
        <v>261</v>
      </c>
      <c r="M266" s="4" t="str">
        <f>IF($I266="Complete","Green",IF($H266="","Amber",IF($H266&lt;'[2]Read Me'!$B$4,"Red",IF($H266-'[2]Read Me'!$B$4&lt;=21,"Amber","Green"))))</f>
        <v>Green</v>
      </c>
      <c r="N266" s="3"/>
      <c r="O266" t="str">
        <f>IF($I266&lt;&gt;"Complete",IF(COUNTIFS($A$4:$A265,$A266,$B$4:$B265,$B266,$I$4:$I265,"&lt;&gt;Complete")=0,$A266&amp;"|"&amp;$B266,""),"")</f>
        <v/>
      </c>
      <c r="P266">
        <f ca="1">IF($K266="Yes",COUNTIFS($K$4:$K266,"Yes"),"")</f>
        <v>15</v>
      </c>
      <c r="Q266">
        <f t="shared" ca="1" si="15"/>
        <v>1</v>
      </c>
      <c r="R266">
        <f ca="1">IF($Q266=1,SUM($Q$4:$Q266),"")</f>
        <v>15</v>
      </c>
    </row>
    <row r="267" spans="1:18" ht="45" customHeight="1" x14ac:dyDescent="0.3">
      <c r="A267" s="2" t="s">
        <v>612</v>
      </c>
      <c r="B267" s="2" t="s">
        <v>21</v>
      </c>
      <c r="C267" s="3" t="s">
        <v>613</v>
      </c>
      <c r="D267" s="3" t="s">
        <v>34</v>
      </c>
      <c r="E267" s="2" t="s">
        <v>215</v>
      </c>
      <c r="F267" s="2"/>
      <c r="G267" s="5">
        <v>46442</v>
      </c>
      <c r="H267" s="5">
        <v>46462</v>
      </c>
      <c r="I267" s="4" t="s">
        <v>17</v>
      </c>
      <c r="J267" s="6">
        <f t="shared" si="14"/>
        <v>20</v>
      </c>
      <c r="K267" s="4" t="str">
        <f t="shared" ca="1" si="16"/>
        <v>Yes</v>
      </c>
      <c r="L267" s="7">
        <f>IF($H267="","",$H267-'[2]Read Me'!$B$4)</f>
        <v>275</v>
      </c>
      <c r="M267" s="4" t="str">
        <f>IF($I267="Complete","Green",IF($H267="","Amber",IF($H267&lt;'[2]Read Me'!$B$4,"Red",IF($H267-'[2]Read Me'!$B$4&lt;=21,"Amber","Green"))))</f>
        <v>Green</v>
      </c>
      <c r="N267" s="3"/>
      <c r="O267" t="str">
        <f>IF($I267&lt;&gt;"Complete",IF(COUNTIFS($A$4:$A266,$A267,$B$4:$B266,$B267,$I$4:$I266,"&lt;&gt;Complete")=0,$A267&amp;"|"&amp;$B267,""),"")</f>
        <v/>
      </c>
      <c r="P267">
        <f ca="1">IF($K267="Yes",COUNTIFS($K$4:$K267,"Yes"),"")</f>
        <v>16</v>
      </c>
      <c r="Q267">
        <f t="shared" ca="1" si="15"/>
        <v>1</v>
      </c>
      <c r="R267">
        <f ca="1">IF($Q267=1,SUM($Q$4:$Q267),"")</f>
        <v>16</v>
      </c>
    </row>
    <row r="268" spans="1:18" ht="14.25" customHeight="1" x14ac:dyDescent="0.3">
      <c r="A268" s="2" t="s">
        <v>612</v>
      </c>
      <c r="B268" s="2" t="s">
        <v>21</v>
      </c>
      <c r="C268" s="3" t="s">
        <v>613</v>
      </c>
      <c r="D268" s="3" t="s">
        <v>127</v>
      </c>
      <c r="E268" s="2" t="s">
        <v>215</v>
      </c>
      <c r="F268" s="2" t="s">
        <v>79</v>
      </c>
      <c r="G268" s="5">
        <v>46470</v>
      </c>
      <c r="H268" s="5">
        <v>46490</v>
      </c>
      <c r="I268" s="4" t="s">
        <v>17</v>
      </c>
      <c r="J268" s="6">
        <f t="shared" si="14"/>
        <v>20</v>
      </c>
      <c r="K268" s="4" t="str">
        <f t="shared" ca="1" si="16"/>
        <v>Yes</v>
      </c>
      <c r="L268" s="7">
        <f>IF($H268="","",$H268-'[2]Read Me'!$B$4)</f>
        <v>303</v>
      </c>
      <c r="M268" s="4" t="str">
        <f>IF($I268="Complete","Green",IF($H268="","Amber",IF($H268&lt;'[2]Read Me'!$B$4,"Red",IF($H268-'[2]Read Me'!$B$4&lt;=21,"Amber","Green"))))</f>
        <v>Green</v>
      </c>
      <c r="N268" s="3"/>
      <c r="O268" t="str">
        <f>IF($I268&lt;&gt;"Complete",IF(COUNTIFS($A$4:$A267,$A268,$B$4:$B267,$B268,$I$4:$I267,"&lt;&gt;Complete")=0,$A268&amp;"|"&amp;$B268,""),"")</f>
        <v/>
      </c>
      <c r="P268">
        <f ca="1">IF($K268="Yes",COUNTIFS($K$4:$K268,"Yes"),"")</f>
        <v>17</v>
      </c>
      <c r="Q268">
        <f t="shared" ca="1" si="15"/>
        <v>1</v>
      </c>
      <c r="R268">
        <f ca="1">IF($Q268=1,SUM($Q$4:$Q268),"")</f>
        <v>17</v>
      </c>
    </row>
    <row r="269" spans="1:18" ht="14.25" customHeight="1" x14ac:dyDescent="0.3">
      <c r="A269" s="2" t="s">
        <v>612</v>
      </c>
      <c r="B269" s="2" t="s">
        <v>21</v>
      </c>
      <c r="C269" s="3" t="s">
        <v>613</v>
      </c>
      <c r="D269" s="3" t="s">
        <v>35</v>
      </c>
      <c r="E269" s="2" t="s">
        <v>215</v>
      </c>
      <c r="F269" s="2"/>
      <c r="G269" s="5">
        <v>46484</v>
      </c>
      <c r="H269" s="5">
        <v>46504</v>
      </c>
      <c r="I269" s="4" t="s">
        <v>17</v>
      </c>
      <c r="J269" s="6">
        <f t="shared" si="14"/>
        <v>20</v>
      </c>
      <c r="K269" s="4" t="str">
        <f t="shared" ca="1" si="16"/>
        <v>Yes</v>
      </c>
      <c r="L269" s="7">
        <f>IF($H269="","",$H269-'[2]Read Me'!$B$4)</f>
        <v>317</v>
      </c>
      <c r="M269" s="4" t="str">
        <f>IF($I269="Complete","Green",IF($H269="","Amber",IF($H269&lt;'[2]Read Me'!$B$4,"Red",IF($H269-'[2]Read Me'!$B$4&lt;=21,"Amber","Green"))))</f>
        <v>Green</v>
      </c>
      <c r="N269" s="3"/>
      <c r="O269" t="str">
        <f>IF($I269&lt;&gt;"Complete",IF(COUNTIFS($A$4:$A268,$A269,$B$4:$B268,$B269,$I$4:$I268,"&lt;&gt;Complete")=0,$A269&amp;"|"&amp;$B269,""),"")</f>
        <v/>
      </c>
      <c r="P269">
        <f ca="1">IF($K269="Yes",COUNTIFS($K$4:$K269,"Yes"),"")</f>
        <v>18</v>
      </c>
      <c r="Q269">
        <f t="shared" ca="1" si="15"/>
        <v>1</v>
      </c>
      <c r="R269">
        <f ca="1">IF($Q269=1,SUM($Q$4:$Q269),"")</f>
        <v>18</v>
      </c>
    </row>
    <row r="270" spans="1:18" ht="14.25" customHeight="1" x14ac:dyDescent="0.3">
      <c r="A270" s="2" t="s">
        <v>612</v>
      </c>
      <c r="B270" s="2" t="s">
        <v>21</v>
      </c>
      <c r="C270" s="3" t="s">
        <v>613</v>
      </c>
      <c r="D270" s="3" t="s">
        <v>20</v>
      </c>
      <c r="E270" s="2" t="s">
        <v>184</v>
      </c>
      <c r="F270" s="2"/>
      <c r="G270" s="5">
        <v>46484</v>
      </c>
      <c r="H270" s="5">
        <v>46504</v>
      </c>
      <c r="I270" s="4" t="s">
        <v>17</v>
      </c>
      <c r="J270" s="6">
        <f t="shared" si="14"/>
        <v>20</v>
      </c>
      <c r="K270" s="4" t="str">
        <f t="shared" ca="1" si="16"/>
        <v>Yes</v>
      </c>
      <c r="L270" s="7">
        <f>IF($H270="","",$H270-'[2]Read Me'!$B$4)</f>
        <v>317</v>
      </c>
      <c r="M270" s="4" t="str">
        <f>IF($I270="Complete","Green",IF($H270="","Amber",IF($H270&lt;'[2]Read Me'!$B$4,"Red",IF($H270-'[2]Read Me'!$B$4&lt;=21,"Amber","Green"))))</f>
        <v>Green</v>
      </c>
      <c r="N270" s="3"/>
      <c r="O270" t="str">
        <f>IF($I270&lt;&gt;"Complete",IF(COUNTIFS($A$4:$A269,$A270,$B$4:$B269,$B270,$I$4:$I269,"&lt;&gt;Complete")=0,$A270&amp;"|"&amp;$B270,""),"")</f>
        <v/>
      </c>
      <c r="P270">
        <f ca="1">IF($K270="Yes",COUNTIFS($K$4:$K270,"Yes"),"")</f>
        <v>19</v>
      </c>
      <c r="Q270">
        <f t="shared" ca="1" si="15"/>
        <v>1</v>
      </c>
      <c r="R270">
        <f ca="1">IF($Q270=1,SUM($Q$4:$Q270),"")</f>
        <v>19</v>
      </c>
    </row>
    <row r="271" spans="1:18" ht="14.25" customHeight="1" x14ac:dyDescent="0.3">
      <c r="A271" s="2" t="s">
        <v>612</v>
      </c>
      <c r="B271" s="2" t="s">
        <v>21</v>
      </c>
      <c r="C271" s="3" t="s">
        <v>613</v>
      </c>
      <c r="D271" s="3" t="s">
        <v>16</v>
      </c>
      <c r="E271" s="2" t="s">
        <v>215</v>
      </c>
      <c r="F271" s="2" t="s">
        <v>79</v>
      </c>
      <c r="G271" s="5">
        <v>46505</v>
      </c>
      <c r="H271" s="5">
        <v>46525</v>
      </c>
      <c r="I271" s="4" t="s">
        <v>17</v>
      </c>
      <c r="J271" s="6">
        <f t="shared" si="14"/>
        <v>20</v>
      </c>
      <c r="K271" s="4" t="str">
        <f t="shared" ca="1" si="16"/>
        <v>Yes</v>
      </c>
      <c r="L271" s="7">
        <f>IF($H271="","",$H271-'[2]Read Me'!$B$4)</f>
        <v>338</v>
      </c>
      <c r="M271" s="4" t="str">
        <f>IF($I271="Complete","Green",IF($H271="","Amber",IF($H271&lt;'[2]Read Me'!$B$4,"Red",IF($H271-'[2]Read Me'!$B$4&lt;=21,"Amber","Green"))))</f>
        <v>Green</v>
      </c>
      <c r="N271" s="3"/>
      <c r="O271" t="str">
        <f>IF($I271&lt;&gt;"Complete",IF(COUNTIFS($A$4:$A270,$A271,$B$4:$B270,$B271,$I$4:$I270,"&lt;&gt;Complete")=0,$A271&amp;"|"&amp;$B271,""),"")</f>
        <v/>
      </c>
      <c r="P271">
        <f ca="1">IF($K271="Yes",COUNTIFS($K$4:$K271,"Yes"),"")</f>
        <v>20</v>
      </c>
      <c r="Q271">
        <f t="shared" ca="1" si="15"/>
        <v>1</v>
      </c>
      <c r="R271">
        <f ca="1">IF($Q271=1,SUM($Q$4:$Q271),"")</f>
        <v>20</v>
      </c>
    </row>
    <row r="272" spans="1:18" ht="14.25" customHeight="1" x14ac:dyDescent="0.3">
      <c r="A272" s="2" t="s">
        <v>612</v>
      </c>
      <c r="B272" s="2" t="s">
        <v>21</v>
      </c>
      <c r="C272" s="3" t="s">
        <v>613</v>
      </c>
      <c r="D272" s="3" t="s">
        <v>37</v>
      </c>
      <c r="E272" s="2" t="s">
        <v>215</v>
      </c>
      <c r="F272" s="2"/>
      <c r="G272" s="5">
        <v>46519</v>
      </c>
      <c r="H272" s="5">
        <v>46539</v>
      </c>
      <c r="I272" s="4" t="s">
        <v>17</v>
      </c>
      <c r="J272" s="6">
        <f t="shared" si="14"/>
        <v>20</v>
      </c>
      <c r="K272" s="4" t="str">
        <f t="shared" ca="1" si="16"/>
        <v>Yes</v>
      </c>
      <c r="L272" s="7">
        <f>IF($H272="","",$H272-'[2]Read Me'!$B$4)</f>
        <v>352</v>
      </c>
      <c r="M272" s="4" t="str">
        <f>IF($I272="Complete","Green",IF($H272="","Amber",IF($H272&lt;'[2]Read Me'!$B$4,"Red",IF($H272-'[2]Read Me'!$B$4&lt;=21,"Amber","Green"))))</f>
        <v>Green</v>
      </c>
      <c r="N272" s="3"/>
      <c r="O272" t="str">
        <f>IF($I272&lt;&gt;"Complete",IF(COUNTIFS($A$4:$A271,$A272,$B$4:$B271,$B272,$I$4:$I271,"&lt;&gt;Complete")=0,$A272&amp;"|"&amp;$B272,""),"")</f>
        <v/>
      </c>
      <c r="P272">
        <f ca="1">IF($K272="Yes",COUNTIFS($K$4:$K272,"Yes"),"")</f>
        <v>21</v>
      </c>
      <c r="Q272">
        <f t="shared" ca="1" si="15"/>
        <v>1</v>
      </c>
      <c r="R272">
        <f ca="1">IF($Q272=1,SUM($Q$4:$Q272),"")</f>
        <v>21</v>
      </c>
    </row>
    <row r="273" spans="1:18" ht="14.25" customHeight="1" x14ac:dyDescent="0.3">
      <c r="A273" s="2" t="s">
        <v>614</v>
      </c>
      <c r="B273" s="2" t="s">
        <v>21</v>
      </c>
      <c r="C273" s="3"/>
      <c r="D273" s="3"/>
      <c r="E273" s="2"/>
      <c r="F273" s="2"/>
      <c r="G273" s="5">
        <v>46355</v>
      </c>
      <c r="H273" s="5">
        <v>46356</v>
      </c>
      <c r="I273" s="4"/>
      <c r="J273" s="6">
        <f t="shared" si="14"/>
        <v>1</v>
      </c>
      <c r="K273" s="4" t="str">
        <f t="shared" ca="1" si="16"/>
        <v>Yes</v>
      </c>
      <c r="L273" s="7">
        <f>IF($H273="","",$H273-'[2]Read Me'!$B$4)</f>
        <v>169</v>
      </c>
      <c r="M273" s="4" t="str">
        <f>IF($I273="Complete","Green",IF($H273="","Amber",IF($H273&lt;'[2]Read Me'!$B$4,"Red",IF($H273-'[2]Read Me'!$B$4&lt;=21,"Amber","Green"))))</f>
        <v>Green</v>
      </c>
      <c r="N273" s="3"/>
      <c r="O273" t="str">
        <f>IF($I273&lt;&gt;"Complete",IF(COUNTIFS($A$4:$A272,$A273,$B$4:$B272,$B273,$I$4:$I272,"&lt;&gt;Complete")=0,$A273&amp;"|"&amp;$B273,""),"")</f>
        <v>External Fences and Gates|Landscape</v>
      </c>
      <c r="P273">
        <f ca="1">IF($K273="Yes",COUNTIFS($K$4:$K273,"Yes"),"")</f>
        <v>22</v>
      </c>
      <c r="Q273">
        <f t="shared" ca="1" si="15"/>
        <v>1</v>
      </c>
      <c r="R273">
        <f ca="1">IF($Q273=1,SUM($Q$4:$Q273),"")</f>
        <v>22</v>
      </c>
    </row>
    <row r="274" spans="1:18" ht="14.25" customHeight="1" x14ac:dyDescent="0.3">
      <c r="A274" s="2" t="s">
        <v>614</v>
      </c>
      <c r="B274" s="2" t="s">
        <v>21</v>
      </c>
      <c r="C274" s="3" t="s">
        <v>614</v>
      </c>
      <c r="D274" s="3" t="s">
        <v>615</v>
      </c>
      <c r="E274" s="2" t="s">
        <v>215</v>
      </c>
      <c r="F274" s="2" t="s">
        <v>277</v>
      </c>
      <c r="G274" s="5">
        <v>45929</v>
      </c>
      <c r="H274" s="5">
        <v>45963</v>
      </c>
      <c r="I274" s="4" t="s">
        <v>31</v>
      </c>
      <c r="J274" s="6">
        <f t="shared" si="14"/>
        <v>34</v>
      </c>
      <c r="K274" s="4" t="str">
        <f t="shared" ca="1" si="16"/>
        <v>No</v>
      </c>
      <c r="L274" s="7">
        <f>IF($H274="","",$H274-'[2]Read Me'!$B$4)</f>
        <v>-224</v>
      </c>
      <c r="M274" s="4" t="str">
        <f>IF($I274="Complete","Green",IF($H274="","Amber",IF($H274&lt;'[2]Read Me'!$B$4,"Red",IF($H274-'[2]Read Me'!$B$4&lt;=21,"Amber","Green"))))</f>
        <v>Red</v>
      </c>
      <c r="N274" s="3"/>
      <c r="O274" t="str">
        <f>IF($I274&lt;&gt;"Complete",IF(COUNTIFS($A$4:$A273,$A274,$B$4:$B273,$B274,$I$4:$I273,"&lt;&gt;Complete")=0,$A274&amp;"|"&amp;$B274,""),"")</f>
        <v/>
      </c>
      <c r="P274" t="str">
        <f ca="1">IF($K274="Yes",COUNTIFS($K$4:$K274,"Yes"),"")</f>
        <v/>
      </c>
      <c r="Q274">
        <f t="shared" ca="1" si="15"/>
        <v>0</v>
      </c>
      <c r="R274" t="str">
        <f ca="1">IF($Q274=1,SUM($Q$4:$Q274),"")</f>
        <v/>
      </c>
    </row>
    <row r="275" spans="1:18" ht="14.25" customHeight="1" x14ac:dyDescent="0.3">
      <c r="A275" s="2" t="s">
        <v>614</v>
      </c>
      <c r="B275" s="2" t="s">
        <v>21</v>
      </c>
      <c r="C275" s="3" t="s">
        <v>614</v>
      </c>
      <c r="D275" s="3" t="s">
        <v>47</v>
      </c>
      <c r="E275" s="2" t="s">
        <v>215</v>
      </c>
      <c r="F275" s="2"/>
      <c r="G275" s="5">
        <v>45943</v>
      </c>
      <c r="H275" s="5">
        <v>46034</v>
      </c>
      <c r="I275" s="4" t="s">
        <v>31</v>
      </c>
      <c r="J275" s="6">
        <f t="shared" si="14"/>
        <v>91</v>
      </c>
      <c r="K275" s="4" t="str">
        <f t="shared" ca="1" si="16"/>
        <v>No</v>
      </c>
      <c r="L275" s="7">
        <f>IF($H275="","",$H275-'[2]Read Me'!$B$4)</f>
        <v>-153</v>
      </c>
      <c r="M275" s="4" t="str">
        <f>IF($I275="Complete","Green",IF($H275="","Amber",IF($H275&lt;'[2]Read Me'!$B$4,"Red",IF($H275-'[2]Read Me'!$B$4&lt;=21,"Amber","Green"))))</f>
        <v>Red</v>
      </c>
      <c r="N275" s="3"/>
      <c r="O275" t="str">
        <f>IF($I275&lt;&gt;"Complete",IF(COUNTIFS($A$4:$A274,$A275,$B$4:$B274,$B275,$I$4:$I274,"&lt;&gt;Complete")=0,$A275&amp;"|"&amp;$B275,""),"")</f>
        <v/>
      </c>
      <c r="P275" t="str">
        <f ca="1">IF($K275="Yes",COUNTIFS($K$4:$K275,"Yes"),"")</f>
        <v/>
      </c>
      <c r="Q275">
        <f t="shared" ca="1" si="15"/>
        <v>0</v>
      </c>
      <c r="R275" t="str">
        <f ca="1">IF($Q275=1,SUM($Q$4:$Q275),"")</f>
        <v/>
      </c>
    </row>
    <row r="276" spans="1:18" ht="14.25" customHeight="1" x14ac:dyDescent="0.3">
      <c r="A276" s="2" t="s">
        <v>614</v>
      </c>
      <c r="B276" s="2" t="s">
        <v>21</v>
      </c>
      <c r="C276" s="3" t="s">
        <v>614</v>
      </c>
      <c r="D276" s="3" t="s">
        <v>616</v>
      </c>
      <c r="E276" s="2" t="s">
        <v>567</v>
      </c>
      <c r="F276" s="2"/>
      <c r="G276" s="5"/>
      <c r="H276" s="5">
        <v>46105</v>
      </c>
      <c r="I276" s="4" t="s">
        <v>31</v>
      </c>
      <c r="J276" s="6" t="str">
        <f t="shared" si="14"/>
        <v/>
      </c>
      <c r="K276" s="4" t="str">
        <f t="shared" ca="1" si="16"/>
        <v>No</v>
      </c>
      <c r="L276" s="7">
        <f>IF($H276="","",$H276-'[2]Read Me'!$B$4)</f>
        <v>-82</v>
      </c>
      <c r="M276" s="4" t="str">
        <f>IF($I276="Complete","Green",IF($H276="","Amber",IF($H276&lt;'[2]Read Me'!$B$4,"Red",IF($H276-'[2]Read Me'!$B$4&lt;=21,"Amber","Green"))))</f>
        <v>Red</v>
      </c>
      <c r="N276" s="3"/>
      <c r="O276" t="str">
        <f>IF($I276&lt;&gt;"Complete",IF(COUNTIFS($A$4:$A275,$A276,$B$4:$B275,$B276,$I$4:$I275,"&lt;&gt;Complete")=0,$A276&amp;"|"&amp;$B276,""),"")</f>
        <v/>
      </c>
      <c r="P276" t="str">
        <f ca="1">IF($K276="Yes",COUNTIFS($K$4:$K276,"Yes"),"")</f>
        <v/>
      </c>
      <c r="Q276">
        <f t="shared" ca="1" si="15"/>
        <v>0</v>
      </c>
      <c r="R276" t="str">
        <f ca="1">IF($Q276=1,SUM($Q$4:$Q276),"")</f>
        <v/>
      </c>
    </row>
    <row r="277" spans="1:18" ht="14.25" customHeight="1" x14ac:dyDescent="0.3">
      <c r="A277" s="2" t="s">
        <v>614</v>
      </c>
      <c r="B277" s="2" t="s">
        <v>21</v>
      </c>
      <c r="C277" s="3" t="s">
        <v>614</v>
      </c>
      <c r="D277" s="3" t="s">
        <v>617</v>
      </c>
      <c r="E277" s="2" t="s">
        <v>215</v>
      </c>
      <c r="F277" s="2" t="s">
        <v>277</v>
      </c>
      <c r="G277" s="5">
        <v>45971</v>
      </c>
      <c r="H277" s="5">
        <v>46139</v>
      </c>
      <c r="I277" s="4" t="s">
        <v>31</v>
      </c>
      <c r="J277" s="6">
        <f t="shared" si="14"/>
        <v>168</v>
      </c>
      <c r="K277" s="4" t="str">
        <f t="shared" ca="1" si="16"/>
        <v>No</v>
      </c>
      <c r="L277" s="7">
        <f>IF($H277="","",$H277-'[2]Read Me'!$B$4)</f>
        <v>-48</v>
      </c>
      <c r="M277" s="4" t="str">
        <f>IF($I277="Complete","Green",IF($H277="","Amber",IF($H277&lt;'[2]Read Me'!$B$4,"Red",IF($H277-'[2]Read Me'!$B$4&lt;=21,"Amber","Green"))))</f>
        <v>Red</v>
      </c>
      <c r="N277" s="3"/>
      <c r="O277" t="str">
        <f>IF($I277&lt;&gt;"Complete",IF(COUNTIFS($A$4:$A276,$A277,$B$4:$B276,$B277,$I$4:$I276,"&lt;&gt;Complete")=0,$A277&amp;"|"&amp;$B277,""),"")</f>
        <v/>
      </c>
      <c r="P277" t="str">
        <f ca="1">IF($K277="Yes",COUNTIFS($K$4:$K277,"Yes"),"")</f>
        <v/>
      </c>
      <c r="Q277">
        <f t="shared" ca="1" si="15"/>
        <v>0</v>
      </c>
      <c r="R277" t="str">
        <f ca="1">IF($Q277=1,SUM($Q$4:$Q277),"")</f>
        <v/>
      </c>
    </row>
    <row r="278" spans="1:18" ht="14.25" customHeight="1" x14ac:dyDescent="0.3">
      <c r="A278" s="2" t="s">
        <v>614</v>
      </c>
      <c r="B278" s="2" t="s">
        <v>21</v>
      </c>
      <c r="C278" s="3" t="s">
        <v>614</v>
      </c>
      <c r="D278" s="3" t="s">
        <v>32</v>
      </c>
      <c r="E278" s="2" t="s">
        <v>215</v>
      </c>
      <c r="F278" s="2"/>
      <c r="G278" s="5">
        <v>45985</v>
      </c>
      <c r="H278" s="5">
        <v>46146</v>
      </c>
      <c r="I278" s="4" t="s">
        <v>31</v>
      </c>
      <c r="J278" s="6">
        <f t="shared" si="14"/>
        <v>161</v>
      </c>
      <c r="K278" s="4" t="str">
        <f t="shared" ca="1" si="16"/>
        <v>No</v>
      </c>
      <c r="L278" s="7">
        <f>IF($H278="","",$H278-'[2]Read Me'!$B$4)</f>
        <v>-41</v>
      </c>
      <c r="M278" s="4" t="str">
        <f>IF($I278="Complete","Green",IF($H278="","Amber",IF($H278&lt;'[2]Read Me'!$B$4,"Red",IF($H278-'[2]Read Me'!$B$4&lt;=21,"Amber","Green"))))</f>
        <v>Red</v>
      </c>
      <c r="N278" s="3"/>
      <c r="O278" t="str">
        <f>IF($I278&lt;&gt;"Complete",IF(COUNTIFS($A$4:$A277,$A278,$B$4:$B277,$B278,$I$4:$I277,"&lt;&gt;Complete")=0,$A278&amp;"|"&amp;$B278,""),"")</f>
        <v/>
      </c>
      <c r="P278" t="str">
        <f ca="1">IF($K278="Yes",COUNTIFS($K$4:$K278,"Yes"),"")</f>
        <v/>
      </c>
      <c r="Q278">
        <f t="shared" ca="1" si="15"/>
        <v>0</v>
      </c>
      <c r="R278" t="str">
        <f ca="1">IF($Q278=1,SUM($Q$4:$Q278),"")</f>
        <v/>
      </c>
    </row>
    <row r="279" spans="1:18" ht="14.25" customHeight="1" x14ac:dyDescent="0.3">
      <c r="A279" s="2" t="s">
        <v>614</v>
      </c>
      <c r="B279" s="2" t="s">
        <v>21</v>
      </c>
      <c r="C279" s="3" t="s">
        <v>614</v>
      </c>
      <c r="D279" s="3" t="s">
        <v>549</v>
      </c>
      <c r="E279" s="2" t="s">
        <v>215</v>
      </c>
      <c r="F279" s="2" t="s">
        <v>79</v>
      </c>
      <c r="G279" s="5">
        <v>46152</v>
      </c>
      <c r="H279" s="5">
        <v>46160</v>
      </c>
      <c r="I279" s="4" t="s">
        <v>31</v>
      </c>
      <c r="J279" s="6">
        <f t="shared" si="14"/>
        <v>8</v>
      </c>
      <c r="K279" s="4" t="str">
        <f t="shared" ca="1" si="16"/>
        <v>No</v>
      </c>
      <c r="L279" s="7">
        <f>IF($H279="","",$H279-'[2]Read Me'!$B$4)</f>
        <v>-27</v>
      </c>
      <c r="M279" s="4" t="str">
        <f>IF($I279="Complete","Green",IF($H279="","Amber",IF($H279&lt;'[2]Read Me'!$B$4,"Red",IF($H279-'[2]Read Me'!$B$4&lt;=21,"Amber","Green"))))</f>
        <v>Red</v>
      </c>
      <c r="N279" s="3"/>
      <c r="O279" t="str">
        <f>IF($I279&lt;&gt;"Complete",IF(COUNTIFS($A$4:$A278,$A279,$B$4:$B278,$B279,$I$4:$I278,"&lt;&gt;Complete")=0,$A279&amp;"|"&amp;$B279,""),"")</f>
        <v/>
      </c>
      <c r="P279" t="str">
        <f ca="1">IF($K279="Yes",COUNTIFS($K$4:$K279,"Yes"),"")</f>
        <v/>
      </c>
      <c r="Q279">
        <f t="shared" ca="1" si="15"/>
        <v>0</v>
      </c>
      <c r="R279" t="str">
        <f ca="1">IF($Q279=1,SUM($Q$4:$Q279),"")</f>
        <v/>
      </c>
    </row>
    <row r="280" spans="1:18" ht="14.25" customHeight="1" x14ac:dyDescent="0.3">
      <c r="A280" s="2" t="s">
        <v>614</v>
      </c>
      <c r="B280" s="2" t="s">
        <v>21</v>
      </c>
      <c r="C280" s="3" t="s">
        <v>614</v>
      </c>
      <c r="D280" s="3" t="s">
        <v>618</v>
      </c>
      <c r="E280" s="2" t="s">
        <v>215</v>
      </c>
      <c r="F280" s="2"/>
      <c r="G280" s="5">
        <v>46166</v>
      </c>
      <c r="H280" s="5">
        <v>46167</v>
      </c>
      <c r="I280" s="4" t="s">
        <v>31</v>
      </c>
      <c r="J280" s="6">
        <f t="shared" si="14"/>
        <v>1</v>
      </c>
      <c r="K280" s="4" t="str">
        <f t="shared" ca="1" si="16"/>
        <v>No</v>
      </c>
      <c r="L280" s="7">
        <f>IF($H280="","",$H280-'[2]Read Me'!$B$4)</f>
        <v>-20</v>
      </c>
      <c r="M280" s="4" t="str">
        <f>IF($I280="Complete","Green",IF($H280="","Amber",IF($H280&lt;'[2]Read Me'!$B$4,"Red",IF($H280-'[2]Read Me'!$B$4&lt;=21,"Amber","Green"))))</f>
        <v>Red</v>
      </c>
      <c r="N280" s="3"/>
      <c r="O280" t="str">
        <f>IF($I280&lt;&gt;"Complete",IF(COUNTIFS($A$4:$A279,$A280,$B$4:$B279,$B280,$I$4:$I279,"&lt;&gt;Complete")=0,$A280&amp;"|"&amp;$B280,""),"")</f>
        <v/>
      </c>
      <c r="P280" t="str">
        <f ca="1">IF($K280="Yes",COUNTIFS($K$4:$K280,"Yes"),"")</f>
        <v/>
      </c>
      <c r="Q280">
        <f t="shared" ca="1" si="15"/>
        <v>0</v>
      </c>
      <c r="R280" t="str">
        <f ca="1">IF($Q280=1,SUM($Q$4:$Q280),"")</f>
        <v/>
      </c>
    </row>
    <row r="281" spans="1:18" ht="14.25" customHeight="1" x14ac:dyDescent="0.3">
      <c r="A281" s="2" t="s">
        <v>614</v>
      </c>
      <c r="B281" s="2" t="s">
        <v>21</v>
      </c>
      <c r="C281" s="3" t="s">
        <v>614</v>
      </c>
      <c r="D281" s="3" t="s">
        <v>14</v>
      </c>
      <c r="E281" s="2" t="s">
        <v>215</v>
      </c>
      <c r="F281" s="2" t="s">
        <v>79</v>
      </c>
      <c r="G281" s="5">
        <v>46194</v>
      </c>
      <c r="H281" s="5">
        <v>46195</v>
      </c>
      <c r="I281" s="4" t="s">
        <v>17</v>
      </c>
      <c r="J281" s="6">
        <f t="shared" si="14"/>
        <v>1</v>
      </c>
      <c r="K281" s="4" t="str">
        <f t="shared" ca="1" si="16"/>
        <v>No</v>
      </c>
      <c r="L281" s="7">
        <f>IF($H281="","",$H281-'[2]Read Me'!$B$4)</f>
        <v>8</v>
      </c>
      <c r="M281" s="4" t="str">
        <f>IF($I281="Complete","Green",IF($H281="","Amber",IF($H281&lt;'[2]Read Me'!$B$4,"Red",IF($H281-'[2]Read Me'!$B$4&lt;=21,"Amber","Green"))))</f>
        <v>Amber</v>
      </c>
      <c r="N281" s="3"/>
      <c r="O281" t="str">
        <f>IF($I281&lt;&gt;"Complete",IF(COUNTIFS($A$4:$A280,$A281,$B$4:$B280,$B281,$I$4:$I280,"&lt;&gt;Complete")=0,$A281&amp;"|"&amp;$B281,""),"")</f>
        <v/>
      </c>
      <c r="P281" t="str">
        <f ca="1">IF($K281="Yes",COUNTIFS($K$4:$K281,"Yes"),"")</f>
        <v/>
      </c>
      <c r="Q281">
        <f t="shared" ca="1" si="15"/>
        <v>0</v>
      </c>
      <c r="R281" t="str">
        <f ca="1">IF($Q281=1,SUM($Q$4:$Q281),"")</f>
        <v/>
      </c>
    </row>
    <row r="282" spans="1:18" ht="14.25" customHeight="1" x14ac:dyDescent="0.3">
      <c r="A282" s="2" t="s">
        <v>614</v>
      </c>
      <c r="B282" s="2" t="s">
        <v>21</v>
      </c>
      <c r="C282" s="3" t="s">
        <v>614</v>
      </c>
      <c r="D282" s="3" t="s">
        <v>34</v>
      </c>
      <c r="E282" s="2" t="s">
        <v>215</v>
      </c>
      <c r="F282" s="2"/>
      <c r="G282" s="5">
        <v>46208</v>
      </c>
      <c r="H282" s="5">
        <v>46209</v>
      </c>
      <c r="I282" s="4" t="s">
        <v>17</v>
      </c>
      <c r="J282" s="6">
        <f t="shared" si="14"/>
        <v>1</v>
      </c>
      <c r="K282" s="4" t="str">
        <f t="shared" ca="1" si="16"/>
        <v>Yes</v>
      </c>
      <c r="L282" s="7">
        <f>IF($H282="","",$H282-'[2]Read Me'!$B$4)</f>
        <v>22</v>
      </c>
      <c r="M282" s="4" t="str">
        <f>IF($I282="Complete","Green",IF($H282="","Amber",IF($H282&lt;'[2]Read Me'!$B$4,"Red",IF($H282-'[2]Read Me'!$B$4&lt;=21,"Amber","Green"))))</f>
        <v>Green</v>
      </c>
      <c r="N282" s="3"/>
      <c r="O282" t="str">
        <f>IF($I282&lt;&gt;"Complete",IF(COUNTIFS($A$4:$A281,$A282,$B$4:$B281,$B282,$I$4:$I281,"&lt;&gt;Complete")=0,$A282&amp;"|"&amp;$B282,""),"")</f>
        <v/>
      </c>
      <c r="P282">
        <f ca="1">IF($K282="Yes",COUNTIFS($K$4:$K282,"Yes"),"")</f>
        <v>23</v>
      </c>
      <c r="Q282">
        <f t="shared" ca="1" si="15"/>
        <v>1</v>
      </c>
      <c r="R282">
        <f ca="1">IF($Q282=1,SUM($Q$4:$Q282),"")</f>
        <v>23</v>
      </c>
    </row>
    <row r="283" spans="1:18" ht="14.25" customHeight="1" x14ac:dyDescent="0.3">
      <c r="A283" s="2" t="s">
        <v>614</v>
      </c>
      <c r="B283" s="2" t="s">
        <v>21</v>
      </c>
      <c r="C283" s="3" t="s">
        <v>614</v>
      </c>
      <c r="D283" s="3" t="s">
        <v>15</v>
      </c>
      <c r="E283" s="2" t="s">
        <v>215</v>
      </c>
      <c r="F283" s="2" t="s">
        <v>79</v>
      </c>
      <c r="G283" s="5">
        <v>46257</v>
      </c>
      <c r="H283" s="5">
        <v>46258</v>
      </c>
      <c r="I283" s="4" t="s">
        <v>17</v>
      </c>
      <c r="J283" s="6">
        <f t="shared" si="14"/>
        <v>1</v>
      </c>
      <c r="K283" s="4" t="str">
        <f t="shared" ca="1" si="16"/>
        <v>Yes</v>
      </c>
      <c r="L283" s="7">
        <f>IF($H283="","",$H283-'[2]Read Me'!$B$4)</f>
        <v>71</v>
      </c>
      <c r="M283" s="4" t="str">
        <f>IF($I283="Complete","Green",IF($H283="","Amber",IF($H283&lt;'[2]Read Me'!$B$4,"Red",IF($H283-'[2]Read Me'!$B$4&lt;=21,"Amber","Green"))))</f>
        <v>Green</v>
      </c>
      <c r="N283" s="3"/>
      <c r="O283" t="str">
        <f>IF($I283&lt;&gt;"Complete",IF(COUNTIFS($A$4:$A282,$A283,$B$4:$B282,$B283,$I$4:$I282,"&lt;&gt;Complete")=0,$A283&amp;"|"&amp;$B283,""),"")</f>
        <v/>
      </c>
      <c r="P283">
        <f ca="1">IF($K283="Yes",COUNTIFS($K$4:$K283,"Yes"),"")</f>
        <v>24</v>
      </c>
      <c r="Q283">
        <f t="shared" ca="1" si="15"/>
        <v>1</v>
      </c>
      <c r="R283">
        <f ca="1">IF($Q283=1,SUM($Q$4:$Q283),"")</f>
        <v>24</v>
      </c>
    </row>
    <row r="284" spans="1:18" ht="14.25" customHeight="1" x14ac:dyDescent="0.3">
      <c r="A284" s="2" t="s">
        <v>614</v>
      </c>
      <c r="B284" s="2" t="s">
        <v>21</v>
      </c>
      <c r="C284" s="3" t="s">
        <v>614</v>
      </c>
      <c r="D284" s="3" t="s">
        <v>35</v>
      </c>
      <c r="E284" s="2" t="s">
        <v>215</v>
      </c>
      <c r="F284" s="2"/>
      <c r="G284" s="5">
        <v>46271</v>
      </c>
      <c r="H284" s="5">
        <v>46272</v>
      </c>
      <c r="I284" s="4" t="s">
        <v>17</v>
      </c>
      <c r="J284" s="6">
        <f t="shared" si="14"/>
        <v>1</v>
      </c>
      <c r="K284" s="4" t="str">
        <f t="shared" ca="1" si="16"/>
        <v>Yes</v>
      </c>
      <c r="L284" s="7">
        <f>IF($H284="","",$H284-'[2]Read Me'!$B$4)</f>
        <v>85</v>
      </c>
      <c r="M284" s="4" t="str">
        <f>IF($I284="Complete","Green",IF($H284="","Amber",IF($H284&lt;'[2]Read Me'!$B$4,"Red",IF($H284-'[2]Read Me'!$B$4&lt;=21,"Amber","Green"))))</f>
        <v>Green</v>
      </c>
      <c r="N284" s="3"/>
      <c r="O284" t="str">
        <f>IF($I284&lt;&gt;"Complete",IF(COUNTIFS($A$4:$A283,$A284,$B$4:$B283,$B284,$I$4:$I283,"&lt;&gt;Complete")=0,$A284&amp;"|"&amp;$B284,""),"")</f>
        <v/>
      </c>
      <c r="P284">
        <f ca="1">IF($K284="Yes",COUNTIFS($K$4:$K284,"Yes"),"")</f>
        <v>25</v>
      </c>
      <c r="Q284">
        <f t="shared" ca="1" si="15"/>
        <v>1</v>
      </c>
      <c r="R284">
        <f ca="1">IF($Q284=1,SUM($Q$4:$Q284),"")</f>
        <v>25</v>
      </c>
    </row>
    <row r="285" spans="1:18" ht="14.25" customHeight="1" x14ac:dyDescent="0.3">
      <c r="A285" s="2" t="s">
        <v>614</v>
      </c>
      <c r="B285" s="2" t="s">
        <v>21</v>
      </c>
      <c r="C285" s="3" t="s">
        <v>614</v>
      </c>
      <c r="D285" s="3" t="s">
        <v>619</v>
      </c>
      <c r="E285" s="2" t="s">
        <v>215</v>
      </c>
      <c r="F285" s="2" t="s">
        <v>79</v>
      </c>
      <c r="G285" s="5">
        <v>46271</v>
      </c>
      <c r="H285" s="5">
        <v>46272</v>
      </c>
      <c r="I285" s="4" t="s">
        <v>17</v>
      </c>
      <c r="J285" s="6">
        <f t="shared" si="14"/>
        <v>1</v>
      </c>
      <c r="K285" s="4" t="str">
        <f t="shared" ca="1" si="16"/>
        <v>Yes</v>
      </c>
      <c r="L285" s="7">
        <f>IF($H285="","",$H285-'[2]Read Me'!$B$4)</f>
        <v>85</v>
      </c>
      <c r="M285" s="4" t="str">
        <f>IF($I285="Complete","Green",IF($H285="","Amber",IF($H285&lt;'[2]Read Me'!$B$4,"Red",IF($H285-'[2]Read Me'!$B$4&lt;=21,"Amber","Green"))))</f>
        <v>Green</v>
      </c>
      <c r="N285" s="3"/>
      <c r="O285" t="str">
        <f>IF($I285&lt;&gt;"Complete",IF(COUNTIFS($A$4:$A284,$A285,$B$4:$B284,$B285,$I$4:$I284,"&lt;&gt;Complete")=0,$A285&amp;"|"&amp;$B285,""),"")</f>
        <v/>
      </c>
      <c r="P285">
        <f ca="1">IF($K285="Yes",COUNTIFS($K$4:$K285,"Yes"),"")</f>
        <v>26</v>
      </c>
      <c r="Q285">
        <f t="shared" ca="1" si="15"/>
        <v>1</v>
      </c>
      <c r="R285">
        <f ca="1">IF($Q285=1,SUM($Q$4:$Q285),"")</f>
        <v>26</v>
      </c>
    </row>
    <row r="286" spans="1:18" ht="14.25" customHeight="1" x14ac:dyDescent="0.3">
      <c r="A286" s="2" t="s">
        <v>614</v>
      </c>
      <c r="B286" s="2" t="s">
        <v>21</v>
      </c>
      <c r="C286" s="3" t="s">
        <v>614</v>
      </c>
      <c r="D286" s="3" t="s">
        <v>16</v>
      </c>
      <c r="E286" s="2" t="s">
        <v>215</v>
      </c>
      <c r="F286" s="2" t="s">
        <v>79</v>
      </c>
      <c r="G286" s="5">
        <v>46313</v>
      </c>
      <c r="H286" s="5">
        <v>46314</v>
      </c>
      <c r="I286" s="4" t="s">
        <v>17</v>
      </c>
      <c r="J286" s="6">
        <f t="shared" si="14"/>
        <v>1</v>
      </c>
      <c r="K286" s="4" t="str">
        <f t="shared" ca="1" si="16"/>
        <v>Yes</v>
      </c>
      <c r="L286" s="7">
        <f>IF($H286="","",$H286-'[2]Read Me'!$B$4)</f>
        <v>127</v>
      </c>
      <c r="M286" s="4" t="str">
        <f>IF($I286="Complete","Green",IF($H286="","Amber",IF($H286&lt;'[2]Read Me'!$B$4,"Red",IF($H286-'[2]Read Me'!$B$4&lt;=21,"Amber","Green"))))</f>
        <v>Green</v>
      </c>
      <c r="N286" s="3"/>
      <c r="O286" t="str">
        <f>IF($I286&lt;&gt;"Complete",IF(COUNTIFS($A$4:$A285,$A286,$B$4:$B285,$B286,$I$4:$I285,"&lt;&gt;Complete")=0,$A286&amp;"|"&amp;$B286,""),"")</f>
        <v/>
      </c>
      <c r="P286">
        <f ca="1">IF($K286="Yes",COUNTIFS($K$4:$K286,"Yes"),"")</f>
        <v>27</v>
      </c>
      <c r="Q286">
        <f t="shared" ca="1" si="15"/>
        <v>1</v>
      </c>
      <c r="R286">
        <f ca="1">IF($Q286=1,SUM($Q$4:$Q286),"")</f>
        <v>27</v>
      </c>
    </row>
    <row r="287" spans="1:18" ht="14.25" customHeight="1" x14ac:dyDescent="0.3">
      <c r="A287" s="2" t="s">
        <v>614</v>
      </c>
      <c r="B287" s="2" t="s">
        <v>21</v>
      </c>
      <c r="C287" s="3" t="s">
        <v>614</v>
      </c>
      <c r="D287" s="3" t="s">
        <v>37</v>
      </c>
      <c r="E287" s="2" t="s">
        <v>215</v>
      </c>
      <c r="F287" s="2"/>
      <c r="G287" s="5">
        <v>46327</v>
      </c>
      <c r="H287" s="5">
        <v>46328</v>
      </c>
      <c r="I287" s="4" t="s">
        <v>17</v>
      </c>
      <c r="J287" s="6">
        <f t="shared" si="14"/>
        <v>1</v>
      </c>
      <c r="K287" s="4" t="str">
        <f t="shared" ca="1" si="16"/>
        <v>Yes</v>
      </c>
      <c r="L287" s="7">
        <f>IF($H287="","",$H287-'[2]Read Me'!$B$4)</f>
        <v>141</v>
      </c>
      <c r="M287" s="4" t="str">
        <f>IF($I287="Complete","Green",IF($H287="","Amber",IF($H287&lt;'[2]Read Me'!$B$4,"Red",IF($H287-'[2]Read Me'!$B$4&lt;=21,"Amber","Green"))))</f>
        <v>Green</v>
      </c>
      <c r="N287" s="3"/>
      <c r="O287" t="str">
        <f>IF($I287&lt;&gt;"Complete",IF(COUNTIFS($A$4:$A286,$A287,$B$4:$B286,$B287,$I$4:$I286,"&lt;&gt;Complete")=0,$A287&amp;"|"&amp;$B287,""),"")</f>
        <v/>
      </c>
      <c r="P287">
        <f ca="1">IF($K287="Yes",COUNTIFS($K$4:$K287,"Yes"),"")</f>
        <v>28</v>
      </c>
      <c r="Q287">
        <f t="shared" ca="1" si="15"/>
        <v>1</v>
      </c>
      <c r="R287">
        <f ca="1">IF($Q287=1,SUM($Q$4:$Q287),"")</f>
        <v>28</v>
      </c>
    </row>
    <row r="288" spans="1:18" ht="14.25" customHeight="1" x14ac:dyDescent="0.3">
      <c r="A288" s="2"/>
      <c r="B288" s="2"/>
      <c r="C288" s="3" t="s">
        <v>614</v>
      </c>
      <c r="D288" s="3" t="s">
        <v>388</v>
      </c>
      <c r="E288" s="2"/>
      <c r="F288" s="2"/>
      <c r="G288" s="5">
        <v>46341</v>
      </c>
      <c r="H288" s="5">
        <v>46342</v>
      </c>
      <c r="I288" s="4" t="s">
        <v>17</v>
      </c>
      <c r="J288" s="6">
        <f t="shared" si="14"/>
        <v>1</v>
      </c>
      <c r="K288" s="4" t="str">
        <f t="shared" ca="1" si="16"/>
        <v>Yes</v>
      </c>
      <c r="L288" s="7">
        <f>IF($H288="","",$H288-'[2]Read Me'!$B$4)</f>
        <v>155</v>
      </c>
      <c r="M288" s="4" t="str">
        <f>IF($I288="Complete","Green",IF($H288="","Amber",IF($H288&lt;'[2]Read Me'!$B$4,"Red",IF($H288-'[2]Read Me'!$B$4&lt;=21,"Amber","Green"))))</f>
        <v>Green</v>
      </c>
      <c r="N288" s="3"/>
      <c r="O288" t="str">
        <f>IF($I288&lt;&gt;"Complete",IF(COUNTIFS($A$4:$A287,$A288,$B$4:$B287,$B288,$I$4:$I287,"&lt;&gt;Complete")=0,$A288&amp;"|"&amp;$B288,""),"")</f>
        <v>|</v>
      </c>
      <c r="P288">
        <f ca="1">IF($K288="Yes",COUNTIFS($K$4:$K288,"Yes"),"")</f>
        <v>29</v>
      </c>
      <c r="Q288">
        <f t="shared" ca="1" si="15"/>
        <v>1</v>
      </c>
      <c r="R288">
        <f ca="1">IF($Q288=1,SUM($Q$4:$Q288),"")</f>
        <v>29</v>
      </c>
    </row>
    <row r="289" spans="1:18" ht="14.25" customHeight="1" x14ac:dyDescent="0.3">
      <c r="A289" s="2" t="s">
        <v>614</v>
      </c>
      <c r="B289" s="2" t="s">
        <v>49</v>
      </c>
      <c r="C289" s="3" t="s">
        <v>614</v>
      </c>
      <c r="D289" s="3" t="s">
        <v>620</v>
      </c>
      <c r="E289" s="2"/>
      <c r="F289" s="2"/>
      <c r="G289" s="5">
        <v>46355</v>
      </c>
      <c r="H289" s="5">
        <v>46356</v>
      </c>
      <c r="I289" s="4" t="s">
        <v>17</v>
      </c>
      <c r="J289" s="6">
        <f t="shared" si="14"/>
        <v>1</v>
      </c>
      <c r="K289" s="4" t="str">
        <f t="shared" ca="1" si="16"/>
        <v>Yes</v>
      </c>
      <c r="L289" s="7">
        <f>IF($H289="","",$H289-'[2]Read Me'!$B$4)</f>
        <v>169</v>
      </c>
      <c r="M289" s="4" t="str">
        <f>IF($I289="Complete","Green",IF($H289="","Amber",IF($H289&lt;'[2]Read Me'!$B$4,"Red",IF($H289-'[2]Read Me'!$B$4&lt;=21,"Amber","Green"))))</f>
        <v>Green</v>
      </c>
      <c r="N289" s="3"/>
      <c r="O289" t="str">
        <f>IF($I289&lt;&gt;"Complete",IF(COUNTIFS($A$4:$A288,$A289,$B$4:$B288,$B289,$I$4:$I288,"&lt;&gt;Complete")=0,$A289&amp;"|"&amp;$B289,""),"")</f>
        <v>External Fences and Gates|Authorities</v>
      </c>
      <c r="P289">
        <f ca="1">IF($K289="Yes",COUNTIFS($K$4:$K289,"Yes"),"")</f>
        <v>30</v>
      </c>
      <c r="Q289">
        <f t="shared" ca="1" si="15"/>
        <v>1</v>
      </c>
      <c r="R289">
        <f ca="1">IF($Q289=1,SUM($Q$4:$Q289),"")</f>
        <v>30</v>
      </c>
    </row>
    <row r="290" spans="1:18" ht="14.25" customHeight="1" x14ac:dyDescent="0.3">
      <c r="A290" s="2" t="s">
        <v>614</v>
      </c>
      <c r="B290" s="2" t="s">
        <v>49</v>
      </c>
      <c r="C290" s="3" t="s">
        <v>614</v>
      </c>
      <c r="D290" s="3" t="s">
        <v>110</v>
      </c>
      <c r="E290" s="2" t="s">
        <v>104</v>
      </c>
      <c r="F290" s="2"/>
      <c r="G290" s="5">
        <v>45999</v>
      </c>
      <c r="H290" s="5">
        <v>46106</v>
      </c>
      <c r="I290" s="4" t="s">
        <v>31</v>
      </c>
      <c r="J290" s="6">
        <f t="shared" si="14"/>
        <v>107</v>
      </c>
      <c r="K290" s="4" t="str">
        <f t="shared" ca="1" si="16"/>
        <v>No</v>
      </c>
      <c r="L290" s="7">
        <f>IF($H290="","",$H290-'[2]Read Me'!$B$4)</f>
        <v>-81</v>
      </c>
      <c r="M290" s="4" t="str">
        <f>IF($I290="Complete","Green",IF($H290="","Amber",IF($H290&lt;'[2]Read Me'!$B$4,"Red",IF($H290-'[2]Read Me'!$B$4&lt;=21,"Amber","Green"))))</f>
        <v>Red</v>
      </c>
      <c r="N290" s="3"/>
      <c r="O290" t="str">
        <f>IF($I290&lt;&gt;"Complete",IF(COUNTIFS($A$4:$A289,$A290,$B$4:$B289,$B290,$I$4:$I289,"&lt;&gt;Complete")=0,$A290&amp;"|"&amp;$B290,""),"")</f>
        <v/>
      </c>
      <c r="P290" t="str">
        <f ca="1">IF($K290="Yes",COUNTIFS($K$4:$K290,"Yes"),"")</f>
        <v/>
      </c>
      <c r="Q290">
        <f t="shared" ca="1" si="15"/>
        <v>0</v>
      </c>
      <c r="R290" t="str">
        <f ca="1">IF($Q290=1,SUM($Q$4:$Q290),"")</f>
        <v/>
      </c>
    </row>
    <row r="291" spans="1:18" ht="14.25" customHeight="1" x14ac:dyDescent="0.3">
      <c r="A291" s="2" t="s">
        <v>614</v>
      </c>
      <c r="B291" s="2" t="s">
        <v>49</v>
      </c>
      <c r="C291" s="3" t="s">
        <v>614</v>
      </c>
      <c r="D291" s="3" t="s">
        <v>621</v>
      </c>
      <c r="E291" s="2" t="s">
        <v>104</v>
      </c>
      <c r="F291" s="2"/>
      <c r="G291" s="5">
        <v>46355</v>
      </c>
      <c r="H291" s="5">
        <v>46356</v>
      </c>
      <c r="I291" s="4" t="s">
        <v>17</v>
      </c>
      <c r="J291" s="6">
        <f t="shared" si="14"/>
        <v>1</v>
      </c>
      <c r="K291" s="4" t="str">
        <f t="shared" ca="1" si="16"/>
        <v>Yes</v>
      </c>
      <c r="L291" s="7">
        <f>IF($H291="","",$H291-'[2]Read Me'!$B$4)</f>
        <v>169</v>
      </c>
      <c r="M291" s="4" t="str">
        <f>IF($I291="Complete","Green",IF($H291="","Amber",IF($H291&lt;'[2]Read Me'!$B$4,"Red",IF($H291-'[2]Read Me'!$B$4&lt;=21,"Amber","Green"))))</f>
        <v>Green</v>
      </c>
      <c r="N291" s="3"/>
      <c r="O291" t="str">
        <f>IF($I291&lt;&gt;"Complete",IF(COUNTIFS($A$4:$A290,$A291,$B$4:$B290,$B291,$I$4:$I290,"&lt;&gt;Complete")=0,$A291&amp;"|"&amp;$B291,""),"")</f>
        <v/>
      </c>
      <c r="P291">
        <f ca="1">IF($K291="Yes",COUNTIFS($K$4:$K291,"Yes"),"")</f>
        <v>31</v>
      </c>
      <c r="Q291">
        <f t="shared" ca="1" si="15"/>
        <v>1</v>
      </c>
      <c r="R291">
        <f ca="1">IF($Q291=1,SUM($Q$4:$Q291),"")</f>
        <v>31</v>
      </c>
    </row>
    <row r="292" spans="1:18" ht="14.25" customHeight="1" x14ac:dyDescent="0.3">
      <c r="A292" s="2" t="s">
        <v>622</v>
      </c>
      <c r="B292" s="2" t="s">
        <v>140</v>
      </c>
      <c r="C292" s="3"/>
      <c r="D292" s="3"/>
      <c r="E292" s="2"/>
      <c r="F292" s="2"/>
      <c r="G292" s="5">
        <v>46411</v>
      </c>
      <c r="H292" s="5">
        <v>46413</v>
      </c>
      <c r="I292" s="4"/>
      <c r="J292" s="6">
        <f t="shared" si="14"/>
        <v>2</v>
      </c>
      <c r="K292" s="4" t="str">
        <f t="shared" ca="1" si="16"/>
        <v>Yes</v>
      </c>
      <c r="L292" s="7">
        <f>IF($H292="","",$H292-'[2]Read Me'!$B$4)</f>
        <v>226</v>
      </c>
      <c r="M292" s="4" t="str">
        <f>IF($I292="Complete","Green",IF($H292="","Amber",IF($H292&lt;'[2]Read Me'!$B$4,"Red",IF($H292-'[2]Read Me'!$B$4&lt;=21,"Amber","Green"))))</f>
        <v>Green</v>
      </c>
      <c r="N292" s="3"/>
      <c r="O292" t="str">
        <f>IF($I292&lt;&gt;"Complete",IF(COUNTIFS($A$4:$A291,$A292,$B$4:$B291,$B292,$I$4:$I291,"&lt;&gt;Complete")=0,$A292&amp;"|"&amp;$B292,""),"")</f>
        <v>Ph - 2D 2E|Masterplan</v>
      </c>
      <c r="P292">
        <f ca="1">IF($K292="Yes",COUNTIFS($K$4:$K292,"Yes"),"")</f>
        <v>32</v>
      </c>
      <c r="Q292">
        <f t="shared" ca="1" si="15"/>
        <v>1</v>
      </c>
      <c r="R292">
        <f ca="1">IF($Q292=1,SUM($Q$4:$Q292),"")</f>
        <v>32</v>
      </c>
    </row>
    <row r="293" spans="1:18" ht="22.5" customHeight="1" x14ac:dyDescent="0.3">
      <c r="A293" s="2" t="s">
        <v>622</v>
      </c>
      <c r="B293" s="2" t="s">
        <v>140</v>
      </c>
      <c r="C293" s="3" t="s">
        <v>623</v>
      </c>
      <c r="D293" s="3" t="s">
        <v>14</v>
      </c>
      <c r="E293" s="2" t="s">
        <v>554</v>
      </c>
      <c r="F293" s="2" t="s">
        <v>79</v>
      </c>
      <c r="G293" s="5">
        <v>46285</v>
      </c>
      <c r="H293" s="5">
        <v>46287</v>
      </c>
      <c r="I293" s="4" t="s">
        <v>17</v>
      </c>
      <c r="J293" s="6">
        <f t="shared" si="14"/>
        <v>2</v>
      </c>
      <c r="K293" s="4" t="str">
        <f t="shared" ca="1" si="16"/>
        <v>Yes</v>
      </c>
      <c r="L293" s="7">
        <f>IF($H293="","",$H293-'[2]Read Me'!$B$4)</f>
        <v>100</v>
      </c>
      <c r="M293" s="4" t="str">
        <f>IF($I293="Complete","Green",IF($H293="","Amber",IF($H293&lt;'[2]Read Me'!$B$4,"Red",IF($H293-'[2]Read Me'!$B$4&lt;=21,"Amber","Green"))))</f>
        <v>Green</v>
      </c>
      <c r="N293" s="3"/>
      <c r="O293" t="str">
        <f>IF($I293&lt;&gt;"Complete",IF(COUNTIFS($A$4:$A292,$A293,$B$4:$B292,$B293,$I$4:$I292,"&lt;&gt;Complete")=0,$A293&amp;"|"&amp;$B293,""),"")</f>
        <v/>
      </c>
      <c r="P293">
        <f ca="1">IF($K293="Yes",COUNTIFS($K$4:$K293,"Yes"),"")</f>
        <v>33</v>
      </c>
      <c r="Q293">
        <f t="shared" ca="1" si="15"/>
        <v>1</v>
      </c>
      <c r="R293">
        <f ca="1">IF($Q293=1,SUM($Q$4:$Q293),"")</f>
        <v>33</v>
      </c>
    </row>
    <row r="294" spans="1:18" ht="22.5" customHeight="1" x14ac:dyDescent="0.3">
      <c r="A294" s="2" t="s">
        <v>622</v>
      </c>
      <c r="B294" s="2" t="s">
        <v>140</v>
      </c>
      <c r="C294" s="3" t="s">
        <v>623</v>
      </c>
      <c r="D294" s="3" t="s">
        <v>34</v>
      </c>
      <c r="E294" s="2" t="s">
        <v>554</v>
      </c>
      <c r="F294" s="2"/>
      <c r="G294" s="5">
        <v>46299</v>
      </c>
      <c r="H294" s="5">
        <v>46301</v>
      </c>
      <c r="I294" s="4" t="s">
        <v>17</v>
      </c>
      <c r="J294" s="6">
        <f t="shared" si="14"/>
        <v>2</v>
      </c>
      <c r="K294" s="4" t="str">
        <f t="shared" ca="1" si="16"/>
        <v>Yes</v>
      </c>
      <c r="L294" s="7">
        <f>IF($H294="","",$H294-'[2]Read Me'!$B$4)</f>
        <v>114</v>
      </c>
      <c r="M294" s="4" t="str">
        <f>IF($I294="Complete","Green",IF($H294="","Amber",IF($H294&lt;'[2]Read Me'!$B$4,"Red",IF($H294-'[2]Read Me'!$B$4&lt;=21,"Amber","Green"))))</f>
        <v>Green</v>
      </c>
      <c r="N294" s="3"/>
      <c r="O294" t="str">
        <f>IF($I294&lt;&gt;"Complete",IF(COUNTIFS($A$4:$A293,$A294,$B$4:$B293,$B294,$I$4:$I293,"&lt;&gt;Complete")=0,$A294&amp;"|"&amp;$B294,""),"")</f>
        <v/>
      </c>
      <c r="P294">
        <f ca="1">IF($K294="Yes",COUNTIFS($K$4:$K294,"Yes"),"")</f>
        <v>34</v>
      </c>
      <c r="Q294">
        <f t="shared" ca="1" si="15"/>
        <v>1</v>
      </c>
      <c r="R294">
        <f ca="1">IF($Q294=1,SUM($Q$4:$Q294),"")</f>
        <v>34</v>
      </c>
    </row>
    <row r="295" spans="1:18" ht="22.5" customHeight="1" x14ac:dyDescent="0.3">
      <c r="A295" s="2" t="s">
        <v>622</v>
      </c>
      <c r="B295" s="2" t="s">
        <v>140</v>
      </c>
      <c r="C295" s="3" t="s">
        <v>623</v>
      </c>
      <c r="D295" s="3" t="s">
        <v>15</v>
      </c>
      <c r="E295" s="2" t="s">
        <v>554</v>
      </c>
      <c r="F295" s="2" t="s">
        <v>79</v>
      </c>
      <c r="G295" s="5">
        <v>46355</v>
      </c>
      <c r="H295" s="5">
        <v>46357</v>
      </c>
      <c r="I295" s="4" t="s">
        <v>17</v>
      </c>
      <c r="J295" s="6">
        <f t="shared" si="14"/>
        <v>2</v>
      </c>
      <c r="K295" s="4" t="str">
        <f t="shared" ca="1" si="16"/>
        <v>Yes</v>
      </c>
      <c r="L295" s="7">
        <f>IF($H295="","",$H295-'[2]Read Me'!$B$4)</f>
        <v>170</v>
      </c>
      <c r="M295" s="4" t="str">
        <f>IF($I295="Complete","Green",IF($H295="","Amber",IF($H295&lt;'[2]Read Me'!$B$4,"Red",IF($H295-'[2]Read Me'!$B$4&lt;=21,"Amber","Green"))))</f>
        <v>Green</v>
      </c>
      <c r="N295" s="3"/>
      <c r="O295" t="str">
        <f>IF($I295&lt;&gt;"Complete",IF(COUNTIFS($A$4:$A294,$A295,$B$4:$B294,$B295,$I$4:$I294,"&lt;&gt;Complete")=0,$A295&amp;"|"&amp;$B295,""),"")</f>
        <v/>
      </c>
      <c r="P295">
        <f ca="1">IF($K295="Yes",COUNTIFS($K$4:$K295,"Yes"),"")</f>
        <v>35</v>
      </c>
      <c r="Q295">
        <f t="shared" ca="1" si="15"/>
        <v>1</v>
      </c>
      <c r="R295">
        <f ca="1">IF($Q295=1,SUM($Q$4:$Q295),"")</f>
        <v>35</v>
      </c>
    </row>
    <row r="296" spans="1:18" ht="22.5" customHeight="1" x14ac:dyDescent="0.3">
      <c r="A296" s="2" t="s">
        <v>622</v>
      </c>
      <c r="B296" s="2" t="s">
        <v>140</v>
      </c>
      <c r="C296" s="3" t="s">
        <v>623</v>
      </c>
      <c r="D296" s="3" t="s">
        <v>35</v>
      </c>
      <c r="E296" s="2" t="s">
        <v>554</v>
      </c>
      <c r="F296" s="2"/>
      <c r="G296" s="5">
        <v>46369</v>
      </c>
      <c r="H296" s="5">
        <v>46371</v>
      </c>
      <c r="I296" s="4" t="s">
        <v>17</v>
      </c>
      <c r="J296" s="6">
        <f t="shared" si="14"/>
        <v>2</v>
      </c>
      <c r="K296" s="4" t="str">
        <f t="shared" ca="1" si="16"/>
        <v>Yes</v>
      </c>
      <c r="L296" s="7">
        <f>IF($H296="","",$H296-'[2]Read Me'!$B$4)</f>
        <v>184</v>
      </c>
      <c r="M296" s="4" t="str">
        <f>IF($I296="Complete","Green",IF($H296="","Amber",IF($H296&lt;'[2]Read Me'!$B$4,"Red",IF($H296-'[2]Read Me'!$B$4&lt;=21,"Amber","Green"))))</f>
        <v>Green</v>
      </c>
      <c r="N296" s="3"/>
      <c r="O296" t="str">
        <f>IF($I296&lt;&gt;"Complete",IF(COUNTIFS($A$4:$A295,$A296,$B$4:$B295,$B296,$I$4:$I295,"&lt;&gt;Complete")=0,$A296&amp;"|"&amp;$B296,""),"")</f>
        <v/>
      </c>
      <c r="P296">
        <f ca="1">IF($K296="Yes",COUNTIFS($K$4:$K296,"Yes"),"")</f>
        <v>36</v>
      </c>
      <c r="Q296">
        <f t="shared" ca="1" si="15"/>
        <v>1</v>
      </c>
      <c r="R296">
        <f ca="1">IF($Q296=1,SUM($Q$4:$Q296),"")</f>
        <v>36</v>
      </c>
    </row>
    <row r="297" spans="1:18" ht="22.5" customHeight="1" x14ac:dyDescent="0.3">
      <c r="A297" s="2" t="s">
        <v>622</v>
      </c>
      <c r="B297" s="2" t="s">
        <v>140</v>
      </c>
      <c r="C297" s="3" t="s">
        <v>623</v>
      </c>
      <c r="D297" s="3" t="s">
        <v>16</v>
      </c>
      <c r="E297" s="2" t="s">
        <v>554</v>
      </c>
      <c r="F297" s="2" t="s">
        <v>79</v>
      </c>
      <c r="G297" s="5">
        <v>46383</v>
      </c>
      <c r="H297" s="5">
        <v>46385</v>
      </c>
      <c r="I297" s="4" t="s">
        <v>17</v>
      </c>
      <c r="J297" s="6">
        <f t="shared" si="14"/>
        <v>2</v>
      </c>
      <c r="K297" s="4" t="str">
        <f t="shared" ca="1" si="16"/>
        <v>Yes</v>
      </c>
      <c r="L297" s="7">
        <f>IF($H297="","",$H297-'[2]Read Me'!$B$4)</f>
        <v>198</v>
      </c>
      <c r="M297" s="4" t="str">
        <f>IF($I297="Complete","Green",IF($H297="","Amber",IF($H297&lt;'[2]Read Me'!$B$4,"Red",IF($H297-'[2]Read Me'!$B$4&lt;=21,"Amber","Green"))))</f>
        <v>Green</v>
      </c>
      <c r="N297" s="3"/>
      <c r="O297" t="str">
        <f>IF($I297&lt;&gt;"Complete",IF(COUNTIFS($A$4:$A296,$A297,$B$4:$B296,$B297,$I$4:$I296,"&lt;&gt;Complete")=0,$A297&amp;"|"&amp;$B297,""),"")</f>
        <v/>
      </c>
      <c r="P297">
        <f ca="1">IF($K297="Yes",COUNTIFS($K$4:$K297,"Yes"),"")</f>
        <v>37</v>
      </c>
      <c r="Q297">
        <f t="shared" ca="1" si="15"/>
        <v>1</v>
      </c>
      <c r="R297">
        <f ca="1">IF($Q297=1,SUM($Q$4:$Q297),"")</f>
        <v>37</v>
      </c>
    </row>
    <row r="298" spans="1:18" ht="22.5" customHeight="1" x14ac:dyDescent="0.3">
      <c r="A298" s="2" t="s">
        <v>622</v>
      </c>
      <c r="B298" s="2" t="s">
        <v>140</v>
      </c>
      <c r="C298" s="3" t="s">
        <v>623</v>
      </c>
      <c r="D298" s="3" t="s">
        <v>37</v>
      </c>
      <c r="E298" s="2" t="s">
        <v>554</v>
      </c>
      <c r="F298" s="2"/>
      <c r="G298" s="5">
        <v>46397</v>
      </c>
      <c r="H298" s="5">
        <v>46399</v>
      </c>
      <c r="I298" s="4" t="s">
        <v>17</v>
      </c>
      <c r="J298" s="6">
        <f t="shared" si="14"/>
        <v>2</v>
      </c>
      <c r="K298" s="4" t="str">
        <f t="shared" ca="1" si="16"/>
        <v>Yes</v>
      </c>
      <c r="L298" s="7">
        <f>IF($H298="","",$H298-'[2]Read Me'!$B$4)</f>
        <v>212</v>
      </c>
      <c r="M298" s="4" t="str">
        <f>IF($I298="Complete","Green",IF($H298="","Amber",IF($H298&lt;'[2]Read Me'!$B$4,"Red",IF($H298-'[2]Read Me'!$B$4&lt;=21,"Amber","Green"))))</f>
        <v>Green</v>
      </c>
      <c r="N298" s="3"/>
      <c r="O298" t="str">
        <f>IF($I298&lt;&gt;"Complete",IF(COUNTIFS($A$4:$A297,$A298,$B$4:$B297,$B298,$I$4:$I297,"&lt;&gt;Complete")=0,$A298&amp;"|"&amp;$B298,""),"")</f>
        <v/>
      </c>
      <c r="P298">
        <f ca="1">IF($K298="Yes",COUNTIFS($K$4:$K298,"Yes"),"")</f>
        <v>38</v>
      </c>
      <c r="Q298">
        <f t="shared" ca="1" si="15"/>
        <v>1</v>
      </c>
      <c r="R298">
        <f ca="1">IF($Q298=1,SUM($Q$4:$Q298),"")</f>
        <v>38</v>
      </c>
    </row>
    <row r="299" spans="1:18" ht="22.5" customHeight="1" x14ac:dyDescent="0.3">
      <c r="A299" s="2"/>
      <c r="B299" s="2"/>
      <c r="C299" s="3" t="s">
        <v>623</v>
      </c>
      <c r="D299" s="3" t="s">
        <v>388</v>
      </c>
      <c r="E299" s="2"/>
      <c r="F299" s="2"/>
      <c r="G299" s="5">
        <v>46411</v>
      </c>
      <c r="H299" s="5">
        <v>46413</v>
      </c>
      <c r="I299" s="4" t="s">
        <v>17</v>
      </c>
      <c r="J299" s="6">
        <f t="shared" si="14"/>
        <v>2</v>
      </c>
      <c r="K299" s="4" t="str">
        <f t="shared" ca="1" si="16"/>
        <v>Yes</v>
      </c>
      <c r="L299" s="7">
        <f>IF($H299="","",$H299-'[2]Read Me'!$B$4)</f>
        <v>226</v>
      </c>
      <c r="M299" s="4" t="str">
        <f>IF($I299="Complete","Green",IF($H299="","Amber",IF($H299&lt;'[2]Read Me'!$B$4,"Red",IF($H299-'[2]Read Me'!$B$4&lt;=21,"Amber","Green"))))</f>
        <v>Green</v>
      </c>
      <c r="N299" s="3"/>
      <c r="O299" t="str">
        <f>IF($I299&lt;&gt;"Complete",IF(COUNTIFS($A$4:$A298,$A299,$B$4:$B298,$B299,$I$4:$I298,"&lt;&gt;Complete")=0,$A299&amp;"|"&amp;$B299,""),"")</f>
        <v>|</v>
      </c>
      <c r="P299">
        <f ca="1">IF($K299="Yes",COUNTIFS($K$4:$K299,"Yes"),"")</f>
        <v>39</v>
      </c>
      <c r="Q299">
        <f t="shared" ca="1" si="15"/>
        <v>1</v>
      </c>
      <c r="R299">
        <f ca="1">IF($Q299=1,SUM($Q$4:$Q299),"")</f>
        <v>39</v>
      </c>
    </row>
    <row r="300" spans="1:18" ht="22.5" customHeight="1" x14ac:dyDescent="0.3">
      <c r="A300" s="2" t="s">
        <v>622</v>
      </c>
      <c r="B300" s="2" t="s">
        <v>171</v>
      </c>
      <c r="C300" s="3"/>
      <c r="D300" s="3"/>
      <c r="E300" s="2"/>
      <c r="F300" s="2"/>
      <c r="G300" s="5">
        <v>46411</v>
      </c>
      <c r="H300" s="5">
        <v>46413</v>
      </c>
      <c r="I300" s="4"/>
      <c r="J300" s="6">
        <f t="shared" si="14"/>
        <v>2</v>
      </c>
      <c r="K300" s="4" t="str">
        <f t="shared" ca="1" si="16"/>
        <v>Yes</v>
      </c>
      <c r="L300" s="7">
        <f>IF($H300="","",$H300-'[2]Read Me'!$B$4)</f>
        <v>226</v>
      </c>
      <c r="M300" s="4" t="str">
        <f>IF($I300="Complete","Green",IF($H300="","Amber",IF($H300&lt;'[2]Read Me'!$B$4,"Red",IF($H300-'[2]Read Me'!$B$4&lt;=21,"Amber","Green"))))</f>
        <v>Green</v>
      </c>
      <c r="N300" s="3"/>
      <c r="O300" t="str">
        <f>IF($I300&lt;&gt;"Complete",IF(COUNTIFS($A$4:$A299,$A300,$B$4:$B299,$B300,$I$4:$I299,"&lt;&gt;Complete")=0,$A300&amp;"|"&amp;$B300,""),"")</f>
        <v>Ph - 2D 2E|Infrastructure</v>
      </c>
      <c r="P300">
        <f ca="1">IF($K300="Yes",COUNTIFS($K$4:$K300,"Yes"),"")</f>
        <v>40</v>
      </c>
      <c r="Q300">
        <f t="shared" ca="1" si="15"/>
        <v>1</v>
      </c>
      <c r="R300">
        <f ca="1">IF($Q300=1,SUM($Q$4:$Q300),"")</f>
        <v>40</v>
      </c>
    </row>
    <row r="301" spans="1:18" ht="22.5" customHeight="1" x14ac:dyDescent="0.3">
      <c r="A301" s="2" t="s">
        <v>622</v>
      </c>
      <c r="B301" s="2" t="s">
        <v>171</v>
      </c>
      <c r="C301" s="3" t="s">
        <v>624</v>
      </c>
      <c r="D301" s="3" t="s">
        <v>14</v>
      </c>
      <c r="E301" s="2" t="s">
        <v>554</v>
      </c>
      <c r="F301" s="2" t="s">
        <v>79</v>
      </c>
      <c r="G301" s="5">
        <v>46285</v>
      </c>
      <c r="H301" s="5">
        <v>46287</v>
      </c>
      <c r="I301" s="4" t="s">
        <v>17</v>
      </c>
      <c r="J301" s="6">
        <f t="shared" si="14"/>
        <v>2</v>
      </c>
      <c r="K301" s="4" t="str">
        <f t="shared" ca="1" si="16"/>
        <v>Yes</v>
      </c>
      <c r="L301" s="7">
        <f>IF($H301="","",$H301-'[2]Read Me'!$B$4)</f>
        <v>100</v>
      </c>
      <c r="M301" s="4" t="str">
        <f>IF($I301="Complete","Green",IF($H301="","Amber",IF($H301&lt;'[2]Read Me'!$B$4,"Red",IF($H301-'[2]Read Me'!$B$4&lt;=21,"Amber","Green"))))</f>
        <v>Green</v>
      </c>
      <c r="N301" s="3"/>
      <c r="O301" t="str">
        <f>IF($I301&lt;&gt;"Complete",IF(COUNTIFS($A$4:$A300,$A301,$B$4:$B300,$B301,$I$4:$I300,"&lt;&gt;Complete")=0,$A301&amp;"|"&amp;$B301,""),"")</f>
        <v/>
      </c>
      <c r="P301">
        <f ca="1">IF($K301="Yes",COUNTIFS($K$4:$K301,"Yes"),"")</f>
        <v>41</v>
      </c>
      <c r="Q301">
        <f t="shared" ca="1" si="15"/>
        <v>1</v>
      </c>
      <c r="R301">
        <f ca="1">IF($Q301=1,SUM($Q$4:$Q301),"")</f>
        <v>41</v>
      </c>
    </row>
    <row r="302" spans="1:18" ht="22.5" customHeight="1" x14ac:dyDescent="0.3">
      <c r="A302" s="2" t="s">
        <v>622</v>
      </c>
      <c r="B302" s="2" t="s">
        <v>171</v>
      </c>
      <c r="C302" s="3" t="s">
        <v>624</v>
      </c>
      <c r="D302" s="3" t="s">
        <v>34</v>
      </c>
      <c r="E302" s="2" t="s">
        <v>554</v>
      </c>
      <c r="F302" s="2"/>
      <c r="G302" s="5">
        <v>46299</v>
      </c>
      <c r="H302" s="5">
        <v>46301</v>
      </c>
      <c r="I302" s="4" t="s">
        <v>17</v>
      </c>
      <c r="J302" s="6">
        <f t="shared" si="14"/>
        <v>2</v>
      </c>
      <c r="K302" s="4" t="str">
        <f t="shared" ca="1" si="16"/>
        <v>Yes</v>
      </c>
      <c r="L302" s="7">
        <f>IF($H302="","",$H302-'[2]Read Me'!$B$4)</f>
        <v>114</v>
      </c>
      <c r="M302" s="4" t="str">
        <f>IF($I302="Complete","Green",IF($H302="","Amber",IF($H302&lt;'[2]Read Me'!$B$4,"Red",IF($H302-'[2]Read Me'!$B$4&lt;=21,"Amber","Green"))))</f>
        <v>Green</v>
      </c>
      <c r="N302" s="3"/>
      <c r="O302" t="str">
        <f>IF($I302&lt;&gt;"Complete",IF(COUNTIFS($A$4:$A301,$A302,$B$4:$B301,$B302,$I$4:$I301,"&lt;&gt;Complete")=0,$A302&amp;"|"&amp;$B302,""),"")</f>
        <v/>
      </c>
      <c r="P302">
        <f ca="1">IF($K302="Yes",COUNTIFS($K$4:$K302,"Yes"),"")</f>
        <v>42</v>
      </c>
      <c r="Q302">
        <f t="shared" ca="1" si="15"/>
        <v>1</v>
      </c>
      <c r="R302">
        <f ca="1">IF($Q302=1,SUM($Q$4:$Q302),"")</f>
        <v>42</v>
      </c>
    </row>
    <row r="303" spans="1:18" ht="22.5" customHeight="1" x14ac:dyDescent="0.3">
      <c r="A303" s="2" t="s">
        <v>622</v>
      </c>
      <c r="B303" s="2" t="s">
        <v>171</v>
      </c>
      <c r="C303" s="3" t="s">
        <v>624</v>
      </c>
      <c r="D303" s="3" t="s">
        <v>15</v>
      </c>
      <c r="E303" s="2" t="s">
        <v>554</v>
      </c>
      <c r="F303" s="2" t="s">
        <v>79</v>
      </c>
      <c r="G303" s="5">
        <v>46355</v>
      </c>
      <c r="H303" s="5">
        <v>46357</v>
      </c>
      <c r="I303" s="4" t="s">
        <v>17</v>
      </c>
      <c r="J303" s="6">
        <f t="shared" si="14"/>
        <v>2</v>
      </c>
      <c r="K303" s="4" t="str">
        <f t="shared" ca="1" si="16"/>
        <v>Yes</v>
      </c>
      <c r="L303" s="7">
        <f>IF($H303="","",$H303-'[2]Read Me'!$B$4)</f>
        <v>170</v>
      </c>
      <c r="M303" s="4" t="str">
        <f>IF($I303="Complete","Green",IF($H303="","Amber",IF($H303&lt;'[2]Read Me'!$B$4,"Red",IF($H303-'[2]Read Me'!$B$4&lt;=21,"Amber","Green"))))</f>
        <v>Green</v>
      </c>
      <c r="N303" s="3"/>
      <c r="O303" t="str">
        <f>IF($I303&lt;&gt;"Complete",IF(COUNTIFS($A$4:$A302,$A303,$B$4:$B302,$B303,$I$4:$I302,"&lt;&gt;Complete")=0,$A303&amp;"|"&amp;$B303,""),"")</f>
        <v/>
      </c>
      <c r="P303">
        <f ca="1">IF($K303="Yes",COUNTIFS($K$4:$K303,"Yes"),"")</f>
        <v>43</v>
      </c>
      <c r="Q303">
        <f t="shared" ca="1" si="15"/>
        <v>1</v>
      </c>
      <c r="R303">
        <f ca="1">IF($Q303=1,SUM($Q$4:$Q303),"")</f>
        <v>43</v>
      </c>
    </row>
    <row r="304" spans="1:18" ht="22.5" customHeight="1" x14ac:dyDescent="0.3">
      <c r="A304" s="2" t="s">
        <v>622</v>
      </c>
      <c r="B304" s="2" t="s">
        <v>171</v>
      </c>
      <c r="C304" s="3" t="s">
        <v>624</v>
      </c>
      <c r="D304" s="3" t="s">
        <v>35</v>
      </c>
      <c r="E304" s="2" t="s">
        <v>554</v>
      </c>
      <c r="F304" s="2"/>
      <c r="G304" s="5">
        <v>46369</v>
      </c>
      <c r="H304" s="5">
        <v>46371</v>
      </c>
      <c r="I304" s="4" t="s">
        <v>17</v>
      </c>
      <c r="J304" s="6">
        <f t="shared" si="14"/>
        <v>2</v>
      </c>
      <c r="K304" s="4" t="str">
        <f t="shared" ca="1" si="16"/>
        <v>Yes</v>
      </c>
      <c r="L304" s="7">
        <f>IF($H304="","",$H304-'[2]Read Me'!$B$4)</f>
        <v>184</v>
      </c>
      <c r="M304" s="4" t="str">
        <f>IF($I304="Complete","Green",IF($H304="","Amber",IF($H304&lt;'[2]Read Me'!$B$4,"Red",IF($H304-'[2]Read Me'!$B$4&lt;=21,"Amber","Green"))))</f>
        <v>Green</v>
      </c>
      <c r="N304" s="3"/>
      <c r="O304" t="str">
        <f>IF($I304&lt;&gt;"Complete",IF(COUNTIFS($A$4:$A303,$A304,$B$4:$B303,$B304,$I$4:$I303,"&lt;&gt;Complete")=0,$A304&amp;"|"&amp;$B304,""),"")</f>
        <v/>
      </c>
      <c r="P304">
        <f ca="1">IF($K304="Yes",COUNTIFS($K$4:$K304,"Yes"),"")</f>
        <v>44</v>
      </c>
      <c r="Q304">
        <f t="shared" ca="1" si="15"/>
        <v>1</v>
      </c>
      <c r="R304">
        <f ca="1">IF($Q304=1,SUM($Q$4:$Q304),"")</f>
        <v>44</v>
      </c>
    </row>
    <row r="305" spans="1:18" ht="22.5" customHeight="1" x14ac:dyDescent="0.3">
      <c r="A305" s="2" t="s">
        <v>622</v>
      </c>
      <c r="B305" s="2" t="s">
        <v>171</v>
      </c>
      <c r="C305" s="3" t="s">
        <v>624</v>
      </c>
      <c r="D305" s="3" t="s">
        <v>16</v>
      </c>
      <c r="E305" s="2" t="s">
        <v>554</v>
      </c>
      <c r="F305" s="2" t="s">
        <v>79</v>
      </c>
      <c r="G305" s="5">
        <v>46383</v>
      </c>
      <c r="H305" s="5">
        <v>46385</v>
      </c>
      <c r="I305" s="4" t="s">
        <v>17</v>
      </c>
      <c r="J305" s="6">
        <f t="shared" si="14"/>
        <v>2</v>
      </c>
      <c r="K305" s="4" t="str">
        <f t="shared" ca="1" si="16"/>
        <v>Yes</v>
      </c>
      <c r="L305" s="7">
        <f>IF($H305="","",$H305-'[2]Read Me'!$B$4)</f>
        <v>198</v>
      </c>
      <c r="M305" s="4" t="str">
        <f>IF($I305="Complete","Green",IF($H305="","Amber",IF($H305&lt;'[2]Read Me'!$B$4,"Red",IF($H305-'[2]Read Me'!$B$4&lt;=21,"Amber","Green"))))</f>
        <v>Green</v>
      </c>
      <c r="N305" s="3"/>
      <c r="O305" t="str">
        <f>IF($I305&lt;&gt;"Complete",IF(COUNTIFS($A$4:$A304,$A305,$B$4:$B304,$B305,$I$4:$I304,"&lt;&gt;Complete")=0,$A305&amp;"|"&amp;$B305,""),"")</f>
        <v/>
      </c>
      <c r="P305">
        <f ca="1">IF($K305="Yes",COUNTIFS($K$4:$K305,"Yes"),"")</f>
        <v>45</v>
      </c>
      <c r="Q305">
        <f t="shared" ca="1" si="15"/>
        <v>1</v>
      </c>
      <c r="R305">
        <f ca="1">IF($Q305=1,SUM($Q$4:$Q305),"")</f>
        <v>45</v>
      </c>
    </row>
    <row r="306" spans="1:18" ht="22.5" customHeight="1" x14ac:dyDescent="0.3">
      <c r="A306" s="2" t="s">
        <v>622</v>
      </c>
      <c r="B306" s="2" t="s">
        <v>171</v>
      </c>
      <c r="C306" s="3" t="s">
        <v>624</v>
      </c>
      <c r="D306" s="3" t="s">
        <v>37</v>
      </c>
      <c r="E306" s="2" t="s">
        <v>554</v>
      </c>
      <c r="F306" s="2"/>
      <c r="G306" s="5">
        <v>46397</v>
      </c>
      <c r="H306" s="5">
        <v>46399</v>
      </c>
      <c r="I306" s="4" t="s">
        <v>17</v>
      </c>
      <c r="J306" s="6">
        <f t="shared" si="14"/>
        <v>2</v>
      </c>
      <c r="K306" s="4" t="str">
        <f t="shared" ca="1" si="16"/>
        <v>Yes</v>
      </c>
      <c r="L306" s="7">
        <f>IF($H306="","",$H306-'[2]Read Me'!$B$4)</f>
        <v>212</v>
      </c>
      <c r="M306" s="4" t="str">
        <f>IF($I306="Complete","Green",IF($H306="","Amber",IF($H306&lt;'[2]Read Me'!$B$4,"Red",IF($H306-'[2]Read Me'!$B$4&lt;=21,"Amber","Green"))))</f>
        <v>Green</v>
      </c>
      <c r="N306" s="3"/>
      <c r="O306" t="str">
        <f>IF($I306&lt;&gt;"Complete",IF(COUNTIFS($A$4:$A305,$A306,$B$4:$B305,$B306,$I$4:$I305,"&lt;&gt;Complete")=0,$A306&amp;"|"&amp;$B306,""),"")</f>
        <v/>
      </c>
      <c r="P306">
        <f ca="1">IF($K306="Yes",COUNTIFS($K$4:$K306,"Yes"),"")</f>
        <v>46</v>
      </c>
      <c r="Q306">
        <f t="shared" ca="1" si="15"/>
        <v>1</v>
      </c>
      <c r="R306">
        <f ca="1">IF($Q306=1,SUM($Q$4:$Q306),"")</f>
        <v>46</v>
      </c>
    </row>
    <row r="307" spans="1:18" ht="22.5" customHeight="1" x14ac:dyDescent="0.3">
      <c r="A307" s="2"/>
      <c r="B307" s="2"/>
      <c r="C307" s="3" t="s">
        <v>624</v>
      </c>
      <c r="D307" s="3" t="s">
        <v>388</v>
      </c>
      <c r="E307" s="2"/>
      <c r="F307" s="2"/>
      <c r="G307" s="5">
        <v>46411</v>
      </c>
      <c r="H307" s="5">
        <v>46413</v>
      </c>
      <c r="I307" s="4" t="s">
        <v>17</v>
      </c>
      <c r="J307" s="6">
        <f t="shared" si="14"/>
        <v>2</v>
      </c>
      <c r="K307" s="4" t="str">
        <f t="shared" ca="1" si="16"/>
        <v>Yes</v>
      </c>
      <c r="L307" s="7">
        <f>IF($H307="","",$H307-'[2]Read Me'!$B$4)</f>
        <v>226</v>
      </c>
      <c r="M307" s="4" t="str">
        <f>IF($I307="Complete","Green",IF($H307="","Amber",IF($H307&lt;'[2]Read Me'!$B$4,"Red",IF($H307-'[2]Read Me'!$B$4&lt;=21,"Amber","Green"))))</f>
        <v>Green</v>
      </c>
      <c r="N307" s="3"/>
      <c r="O307" t="str">
        <f>IF($I307&lt;&gt;"Complete",IF(COUNTIFS($A$4:$A306,$A307,$B$4:$B306,$B307,$I$4:$I306,"&lt;&gt;Complete")=0,$A307&amp;"|"&amp;$B307,""),"")</f>
        <v>|</v>
      </c>
      <c r="P307">
        <f ca="1">IF($K307="Yes",COUNTIFS($K$4:$K307,"Yes"),"")</f>
        <v>47</v>
      </c>
      <c r="Q307">
        <f t="shared" ca="1" si="15"/>
        <v>1</v>
      </c>
      <c r="R307">
        <f ca="1">IF($Q307=1,SUM($Q$4:$Q307),"")</f>
        <v>47</v>
      </c>
    </row>
    <row r="308" spans="1:18" ht="22.5" customHeight="1" x14ac:dyDescent="0.3">
      <c r="A308" s="2" t="s">
        <v>622</v>
      </c>
      <c r="B308" s="2" t="s">
        <v>21</v>
      </c>
      <c r="C308" s="3"/>
      <c r="D308" s="3"/>
      <c r="E308" s="2"/>
      <c r="F308" s="2"/>
      <c r="G308" s="5">
        <v>46652</v>
      </c>
      <c r="H308" s="5">
        <v>46672</v>
      </c>
      <c r="I308" s="4"/>
      <c r="J308" s="6">
        <f t="shared" si="14"/>
        <v>20</v>
      </c>
      <c r="K308" s="4" t="str">
        <f t="shared" ca="1" si="16"/>
        <v>Yes</v>
      </c>
      <c r="L308" s="7">
        <f>IF($H308="","",$H308-'[2]Read Me'!$B$4)</f>
        <v>485</v>
      </c>
      <c r="M308" s="4" t="str">
        <f>IF($I308="Complete","Green",IF($H308="","Amber",IF($H308&lt;'[2]Read Me'!$B$4,"Red",IF($H308-'[2]Read Me'!$B$4&lt;=21,"Amber","Green"))))</f>
        <v>Green</v>
      </c>
      <c r="N308" s="3"/>
      <c r="O308" t="str">
        <f>IF($I308&lt;&gt;"Complete",IF(COUNTIFS($A$4:$A307,$A308,$B$4:$B307,$B308,$I$4:$I307,"&lt;&gt;Complete")=0,$A308&amp;"|"&amp;$B308,""),"")</f>
        <v>Ph - 2D 2E|Landscape</v>
      </c>
      <c r="P308">
        <f ca="1">IF($K308="Yes",COUNTIFS($K$4:$K308,"Yes"),"")</f>
        <v>48</v>
      </c>
      <c r="Q308">
        <f t="shared" ca="1" si="15"/>
        <v>1</v>
      </c>
      <c r="R308">
        <f ca="1">IF($Q308=1,SUM($Q$4:$Q308),"")</f>
        <v>48</v>
      </c>
    </row>
    <row r="309" spans="1:18" ht="22.5" customHeight="1" x14ac:dyDescent="0.3">
      <c r="A309" s="2" t="s">
        <v>622</v>
      </c>
      <c r="B309" s="2" t="s">
        <v>21</v>
      </c>
      <c r="C309" s="3" t="s">
        <v>625</v>
      </c>
      <c r="D309" s="3" t="s">
        <v>126</v>
      </c>
      <c r="E309" s="2" t="s">
        <v>215</v>
      </c>
      <c r="F309" s="2" t="s">
        <v>79</v>
      </c>
      <c r="G309" s="5">
        <v>46547</v>
      </c>
      <c r="H309" s="5">
        <v>46567</v>
      </c>
      <c r="I309" s="4" t="s">
        <v>17</v>
      </c>
      <c r="J309" s="6">
        <f t="shared" si="14"/>
        <v>20</v>
      </c>
      <c r="K309" s="4" t="str">
        <f t="shared" ca="1" si="16"/>
        <v>Yes</v>
      </c>
      <c r="L309" s="7">
        <f>IF($H309="","",$H309-'[2]Read Me'!$B$4)</f>
        <v>380</v>
      </c>
      <c r="M309" s="4" t="str">
        <f>IF($I309="Complete","Green",IF($H309="","Amber",IF($H309&lt;'[2]Read Me'!$B$4,"Red",IF($H309-'[2]Read Me'!$B$4&lt;=21,"Amber","Green"))))</f>
        <v>Green</v>
      </c>
      <c r="N309" s="3"/>
      <c r="O309" t="str">
        <f>IF($I309&lt;&gt;"Complete",IF(COUNTIFS($A$4:$A308,$A309,$B$4:$B308,$B309,$I$4:$I308,"&lt;&gt;Complete")=0,$A309&amp;"|"&amp;$B309,""),"")</f>
        <v/>
      </c>
      <c r="P309">
        <f ca="1">IF($K309="Yes",COUNTIFS($K$4:$K309,"Yes"),"")</f>
        <v>49</v>
      </c>
      <c r="Q309">
        <f t="shared" ca="1" si="15"/>
        <v>1</v>
      </c>
      <c r="R309">
        <f ca="1">IF($Q309=1,SUM($Q$4:$Q309),"")</f>
        <v>49</v>
      </c>
    </row>
    <row r="310" spans="1:18" ht="14.25" customHeight="1" x14ac:dyDescent="0.3">
      <c r="A310" s="2" t="s">
        <v>622</v>
      </c>
      <c r="B310" s="2" t="s">
        <v>21</v>
      </c>
      <c r="C310" s="3" t="s">
        <v>625</v>
      </c>
      <c r="D310" s="3" t="s">
        <v>34</v>
      </c>
      <c r="E310" s="2" t="s">
        <v>215</v>
      </c>
      <c r="F310" s="2"/>
      <c r="G310" s="5">
        <v>46561</v>
      </c>
      <c r="H310" s="5">
        <v>46581</v>
      </c>
      <c r="I310" s="4" t="s">
        <v>17</v>
      </c>
      <c r="J310" s="6">
        <f t="shared" si="14"/>
        <v>20</v>
      </c>
      <c r="K310" s="4" t="str">
        <f t="shared" ca="1" si="16"/>
        <v>Yes</v>
      </c>
      <c r="L310" s="7">
        <f>IF($H310="","",$H310-'[2]Read Me'!$B$4)</f>
        <v>394</v>
      </c>
      <c r="M310" s="4" t="str">
        <f>IF($I310="Complete","Green",IF($H310="","Amber",IF($H310&lt;'[2]Read Me'!$B$4,"Red",IF($H310-'[2]Read Me'!$B$4&lt;=21,"Amber","Green"))))</f>
        <v>Green</v>
      </c>
      <c r="N310" s="3"/>
      <c r="O310" t="str">
        <f>IF($I310&lt;&gt;"Complete",IF(COUNTIFS($A$4:$A309,$A310,$B$4:$B309,$B310,$I$4:$I309,"&lt;&gt;Complete")=0,$A310&amp;"|"&amp;$B310,""),"")</f>
        <v/>
      </c>
      <c r="P310">
        <f ca="1">IF($K310="Yes",COUNTIFS($K$4:$K310,"Yes"),"")</f>
        <v>50</v>
      </c>
      <c r="Q310">
        <f t="shared" ca="1" si="15"/>
        <v>1</v>
      </c>
      <c r="R310">
        <f ca="1">IF($Q310=1,SUM($Q$4:$Q310),"")</f>
        <v>50</v>
      </c>
    </row>
    <row r="311" spans="1:18" ht="14.25" customHeight="1" x14ac:dyDescent="0.3">
      <c r="A311" s="2" t="s">
        <v>622</v>
      </c>
      <c r="B311" s="2" t="s">
        <v>21</v>
      </c>
      <c r="C311" s="3" t="s">
        <v>625</v>
      </c>
      <c r="D311" s="3" t="s">
        <v>127</v>
      </c>
      <c r="E311" s="2" t="s">
        <v>215</v>
      </c>
      <c r="F311" s="2" t="s">
        <v>79</v>
      </c>
      <c r="G311" s="5">
        <v>46589</v>
      </c>
      <c r="H311" s="5">
        <v>46609</v>
      </c>
      <c r="I311" s="4" t="s">
        <v>17</v>
      </c>
      <c r="J311" s="6">
        <f t="shared" si="14"/>
        <v>20</v>
      </c>
      <c r="K311" s="4" t="str">
        <f t="shared" ca="1" si="16"/>
        <v>Yes</v>
      </c>
      <c r="L311" s="7">
        <f>IF($H311="","",$H311-'[2]Read Me'!$B$4)</f>
        <v>422</v>
      </c>
      <c r="M311" s="4" t="str">
        <f>IF($I311="Complete","Green",IF($H311="","Amber",IF($H311&lt;'[2]Read Me'!$B$4,"Red",IF($H311-'[2]Read Me'!$B$4&lt;=21,"Amber","Green"))))</f>
        <v>Green</v>
      </c>
      <c r="N311" s="3"/>
      <c r="O311" t="str">
        <f>IF($I311&lt;&gt;"Complete",IF(COUNTIFS($A$4:$A310,$A311,$B$4:$B310,$B311,$I$4:$I310,"&lt;&gt;Complete")=0,$A311&amp;"|"&amp;$B311,""),"")</f>
        <v/>
      </c>
      <c r="P311">
        <f ca="1">IF($K311="Yes",COUNTIFS($K$4:$K311,"Yes"),"")</f>
        <v>51</v>
      </c>
      <c r="Q311">
        <f t="shared" ca="1" si="15"/>
        <v>1</v>
      </c>
      <c r="R311">
        <f ca="1">IF($Q311=1,SUM($Q$4:$Q311),"")</f>
        <v>51</v>
      </c>
    </row>
    <row r="312" spans="1:18" ht="14.25" customHeight="1" x14ac:dyDescent="0.3">
      <c r="A312" s="2" t="s">
        <v>622</v>
      </c>
      <c r="B312" s="2" t="s">
        <v>21</v>
      </c>
      <c r="C312" s="3" t="s">
        <v>625</v>
      </c>
      <c r="D312" s="3" t="s">
        <v>35</v>
      </c>
      <c r="E312" s="2" t="s">
        <v>215</v>
      </c>
      <c r="F312" s="2"/>
      <c r="G312" s="5">
        <v>46603</v>
      </c>
      <c r="H312" s="5">
        <v>46623</v>
      </c>
      <c r="I312" s="4" t="s">
        <v>17</v>
      </c>
      <c r="J312" s="6">
        <f t="shared" si="14"/>
        <v>20</v>
      </c>
      <c r="K312" s="4" t="str">
        <f t="shared" ca="1" si="16"/>
        <v>Yes</v>
      </c>
      <c r="L312" s="7">
        <f>IF($H312="","",$H312-'[2]Read Me'!$B$4)</f>
        <v>436</v>
      </c>
      <c r="M312" s="4" t="str">
        <f>IF($I312="Complete","Green",IF($H312="","Amber",IF($H312&lt;'[2]Read Me'!$B$4,"Red",IF($H312-'[2]Read Me'!$B$4&lt;=21,"Amber","Green"))))</f>
        <v>Green</v>
      </c>
      <c r="N312" s="3"/>
      <c r="O312" t="str">
        <f>IF($I312&lt;&gt;"Complete",IF(COUNTIFS($A$4:$A311,$A312,$B$4:$B311,$B312,$I$4:$I311,"&lt;&gt;Complete")=0,$A312&amp;"|"&amp;$B312,""),"")</f>
        <v/>
      </c>
      <c r="P312">
        <f ca="1">IF($K312="Yes",COUNTIFS($K$4:$K312,"Yes"),"")</f>
        <v>52</v>
      </c>
      <c r="Q312">
        <f t="shared" ca="1" si="15"/>
        <v>1</v>
      </c>
      <c r="R312">
        <f ca="1">IF($Q312=1,SUM($Q$4:$Q312),"")</f>
        <v>52</v>
      </c>
    </row>
    <row r="313" spans="1:18" x14ac:dyDescent="0.3">
      <c r="A313" t="s">
        <v>622</v>
      </c>
      <c r="B313" t="s">
        <v>21</v>
      </c>
      <c r="C313" t="s">
        <v>625</v>
      </c>
      <c r="D313" t="s">
        <v>20</v>
      </c>
      <c r="E313" t="s">
        <v>215</v>
      </c>
      <c r="G313" s="9">
        <v>46603</v>
      </c>
      <c r="H313" s="9">
        <v>46623</v>
      </c>
      <c r="I313" t="s">
        <v>17</v>
      </c>
    </row>
    <row r="314" spans="1:18" x14ac:dyDescent="0.3">
      <c r="A314" t="s">
        <v>622</v>
      </c>
      <c r="B314" t="s">
        <v>21</v>
      </c>
      <c r="C314" t="s">
        <v>625</v>
      </c>
      <c r="D314" t="s">
        <v>626</v>
      </c>
      <c r="E314" t="s">
        <v>215</v>
      </c>
      <c r="F314" t="s">
        <v>79</v>
      </c>
      <c r="G314" s="9">
        <v>46624</v>
      </c>
      <c r="H314" s="9">
        <v>46644</v>
      </c>
      <c r="I314" t="s">
        <v>17</v>
      </c>
    </row>
    <row r="315" spans="1:18" x14ac:dyDescent="0.3">
      <c r="A315" t="s">
        <v>622</v>
      </c>
      <c r="B315" t="s">
        <v>21</v>
      </c>
      <c r="C315" t="s">
        <v>625</v>
      </c>
      <c r="D315" t="s">
        <v>627</v>
      </c>
      <c r="E315" t="s">
        <v>215</v>
      </c>
      <c r="G315" s="9">
        <v>46638</v>
      </c>
      <c r="H315" s="9">
        <v>46658</v>
      </c>
      <c r="I315" t="s">
        <v>17</v>
      </c>
    </row>
    <row r="316" spans="1:18" x14ac:dyDescent="0.3">
      <c r="A316" t="s">
        <v>622</v>
      </c>
      <c r="B316" t="s">
        <v>21</v>
      </c>
      <c r="C316" t="s">
        <v>625</v>
      </c>
      <c r="D316" t="s">
        <v>628</v>
      </c>
      <c r="E316" t="s">
        <v>215</v>
      </c>
      <c r="F316" t="s">
        <v>79</v>
      </c>
      <c r="G316" s="9">
        <v>46645</v>
      </c>
      <c r="H316" s="9">
        <v>46665</v>
      </c>
      <c r="I316" t="s">
        <v>17</v>
      </c>
    </row>
    <row r="317" spans="1:18" x14ac:dyDescent="0.3">
      <c r="A317" t="s">
        <v>622</v>
      </c>
      <c r="B317" t="s">
        <v>21</v>
      </c>
      <c r="C317" t="s">
        <v>625</v>
      </c>
      <c r="D317" t="s">
        <v>629</v>
      </c>
      <c r="E317" t="s">
        <v>215</v>
      </c>
      <c r="G317" s="9">
        <v>46652</v>
      </c>
      <c r="H317" s="9">
        <v>46672</v>
      </c>
      <c r="I317" t="s">
        <v>17</v>
      </c>
    </row>
    <row r="318" spans="1:18" x14ac:dyDescent="0.3">
      <c r="A318" t="s">
        <v>505</v>
      </c>
      <c r="B318" t="s">
        <v>62</v>
      </c>
      <c r="C318" t="s">
        <v>625</v>
      </c>
      <c r="D318" t="s">
        <v>630</v>
      </c>
      <c r="G318" s="9">
        <v>46607</v>
      </c>
      <c r="H318" s="9">
        <v>46609</v>
      </c>
      <c r="I318" t="s">
        <v>17</v>
      </c>
    </row>
    <row r="319" spans="1:18" x14ac:dyDescent="0.3">
      <c r="A319" t="s">
        <v>505</v>
      </c>
      <c r="B319" t="s">
        <v>62</v>
      </c>
      <c r="C319" t="s">
        <v>625</v>
      </c>
      <c r="D319" t="s">
        <v>631</v>
      </c>
      <c r="G319" s="9">
        <v>46215</v>
      </c>
      <c r="H319" s="9">
        <v>46217</v>
      </c>
      <c r="I319" t="s">
        <v>17</v>
      </c>
    </row>
    <row r="320" spans="1:18" x14ac:dyDescent="0.3">
      <c r="A320" t="s">
        <v>505</v>
      </c>
      <c r="B320" t="s">
        <v>62</v>
      </c>
      <c r="C320" t="s">
        <v>625</v>
      </c>
      <c r="D320" t="s">
        <v>58</v>
      </c>
      <c r="G320" s="9">
        <v>46229</v>
      </c>
      <c r="H320" s="9">
        <v>46231</v>
      </c>
      <c r="I320" t="s">
        <v>17</v>
      </c>
    </row>
    <row r="321" spans="1:9" x14ac:dyDescent="0.3">
      <c r="A321" t="s">
        <v>505</v>
      </c>
      <c r="B321" t="s">
        <v>62</v>
      </c>
      <c r="C321" t="s">
        <v>625</v>
      </c>
      <c r="D321" t="s">
        <v>632</v>
      </c>
      <c r="G321" s="9">
        <v>46243</v>
      </c>
      <c r="H321" s="9">
        <v>46245</v>
      </c>
      <c r="I321" t="s">
        <v>17</v>
      </c>
    </row>
    <row r="322" spans="1:9" x14ac:dyDescent="0.3">
      <c r="A322" t="s">
        <v>505</v>
      </c>
      <c r="B322" t="s">
        <v>62</v>
      </c>
      <c r="C322" t="s">
        <v>625</v>
      </c>
      <c r="D322" t="s">
        <v>579</v>
      </c>
      <c r="G322" s="9">
        <v>46250</v>
      </c>
      <c r="H322" s="9">
        <v>46252</v>
      </c>
      <c r="I322" t="s">
        <v>17</v>
      </c>
    </row>
    <row r="323" spans="1:9" x14ac:dyDescent="0.3">
      <c r="A323" t="s">
        <v>505</v>
      </c>
      <c r="B323" t="s">
        <v>62</v>
      </c>
      <c r="C323" t="s">
        <v>625</v>
      </c>
      <c r="D323" t="s">
        <v>408</v>
      </c>
      <c r="G323" s="9">
        <v>46285</v>
      </c>
      <c r="H323" s="9">
        <v>46287</v>
      </c>
      <c r="I323" t="s">
        <v>17</v>
      </c>
    </row>
    <row r="324" spans="1:9" x14ac:dyDescent="0.3">
      <c r="A324" t="s">
        <v>505</v>
      </c>
      <c r="B324" t="s">
        <v>62</v>
      </c>
      <c r="C324" t="s">
        <v>625</v>
      </c>
      <c r="D324" t="s">
        <v>58</v>
      </c>
      <c r="G324" s="9">
        <v>46299</v>
      </c>
      <c r="H324" s="9">
        <v>46301</v>
      </c>
      <c r="I324" t="s">
        <v>17</v>
      </c>
    </row>
    <row r="325" spans="1:9" x14ac:dyDescent="0.3">
      <c r="A325" t="s">
        <v>505</v>
      </c>
      <c r="B325" t="s">
        <v>62</v>
      </c>
      <c r="C325" t="s">
        <v>625</v>
      </c>
      <c r="D325" t="s">
        <v>409</v>
      </c>
      <c r="G325" s="9">
        <v>46299</v>
      </c>
      <c r="H325" s="9">
        <v>46301</v>
      </c>
      <c r="I325" t="s">
        <v>17</v>
      </c>
    </row>
    <row r="326" spans="1:9" x14ac:dyDescent="0.3">
      <c r="A326" t="s">
        <v>505</v>
      </c>
      <c r="B326" t="s">
        <v>62</v>
      </c>
      <c r="C326" t="s">
        <v>625</v>
      </c>
      <c r="D326" t="s">
        <v>410</v>
      </c>
      <c r="G326" s="9">
        <v>46341</v>
      </c>
      <c r="H326" s="9">
        <v>46343</v>
      </c>
      <c r="I326" t="s">
        <v>17</v>
      </c>
    </row>
    <row r="327" spans="1:9" x14ac:dyDescent="0.3">
      <c r="A327" t="s">
        <v>505</v>
      </c>
      <c r="B327" t="s">
        <v>62</v>
      </c>
      <c r="C327" t="s">
        <v>625</v>
      </c>
      <c r="D327" t="s">
        <v>58</v>
      </c>
      <c r="G327" s="9">
        <v>46355</v>
      </c>
      <c r="H327" s="9">
        <v>46357</v>
      </c>
      <c r="I327" t="s">
        <v>17</v>
      </c>
    </row>
    <row r="328" spans="1:9" x14ac:dyDescent="0.3">
      <c r="A328" t="s">
        <v>505</v>
      </c>
      <c r="B328" t="s">
        <v>62</v>
      </c>
      <c r="C328" t="s">
        <v>625</v>
      </c>
      <c r="D328" t="s">
        <v>411</v>
      </c>
      <c r="G328" s="9">
        <v>46411</v>
      </c>
      <c r="H328" s="9">
        <v>46413</v>
      </c>
      <c r="I328" t="s">
        <v>17</v>
      </c>
    </row>
    <row r="329" spans="1:9" x14ac:dyDescent="0.3">
      <c r="A329" t="s">
        <v>505</v>
      </c>
      <c r="B329" t="s">
        <v>62</v>
      </c>
      <c r="C329" t="s">
        <v>625</v>
      </c>
      <c r="D329" t="s">
        <v>58</v>
      </c>
      <c r="G329" s="9">
        <v>46425</v>
      </c>
      <c r="H329" s="9">
        <v>46427</v>
      </c>
      <c r="I329" t="s">
        <v>17</v>
      </c>
    </row>
    <row r="330" spans="1:9" x14ac:dyDescent="0.3">
      <c r="A330" t="s">
        <v>505</v>
      </c>
      <c r="B330" t="s">
        <v>62</v>
      </c>
      <c r="C330" t="s">
        <v>625</v>
      </c>
      <c r="D330" t="s">
        <v>412</v>
      </c>
      <c r="G330" s="9">
        <v>46425</v>
      </c>
      <c r="H330" s="9">
        <v>46427</v>
      </c>
      <c r="I330" t="s">
        <v>17</v>
      </c>
    </row>
    <row r="331" spans="1:9" x14ac:dyDescent="0.3">
      <c r="A331" t="s">
        <v>505</v>
      </c>
      <c r="B331" t="s">
        <v>62</v>
      </c>
      <c r="C331" t="s">
        <v>625</v>
      </c>
      <c r="D331" t="s">
        <v>22</v>
      </c>
      <c r="G331" s="9">
        <v>46439</v>
      </c>
      <c r="H331" s="9">
        <v>46441</v>
      </c>
      <c r="I331" t="s">
        <v>17</v>
      </c>
    </row>
    <row r="332" spans="1:9" x14ac:dyDescent="0.3">
      <c r="A332" t="s">
        <v>505</v>
      </c>
      <c r="B332" t="s">
        <v>62</v>
      </c>
      <c r="C332" t="s">
        <v>625</v>
      </c>
      <c r="D332" t="s">
        <v>16</v>
      </c>
      <c r="G332" s="9">
        <v>46460</v>
      </c>
      <c r="H332" s="9">
        <v>46462</v>
      </c>
      <c r="I332" t="s">
        <v>17</v>
      </c>
    </row>
    <row r="333" spans="1:9" x14ac:dyDescent="0.3">
      <c r="A333" t="s">
        <v>505</v>
      </c>
      <c r="B333" t="s">
        <v>62</v>
      </c>
      <c r="C333" t="s">
        <v>625</v>
      </c>
      <c r="D333" t="s">
        <v>58</v>
      </c>
      <c r="G333" s="9">
        <v>46467</v>
      </c>
      <c r="H333" s="9">
        <v>46469</v>
      </c>
      <c r="I333" t="s">
        <v>17</v>
      </c>
    </row>
    <row r="334" spans="1:9" x14ac:dyDescent="0.3">
      <c r="A334" t="s">
        <v>505</v>
      </c>
      <c r="B334" t="s">
        <v>62</v>
      </c>
      <c r="C334" t="s">
        <v>625</v>
      </c>
      <c r="D334" t="s">
        <v>560</v>
      </c>
      <c r="G334" s="9">
        <v>46474</v>
      </c>
      <c r="H334" s="9">
        <v>46476</v>
      </c>
      <c r="I334" t="s">
        <v>17</v>
      </c>
    </row>
    <row r="335" spans="1:9" x14ac:dyDescent="0.3">
      <c r="A335" t="s">
        <v>505</v>
      </c>
      <c r="B335" t="s">
        <v>49</v>
      </c>
      <c r="C335" t="s">
        <v>625</v>
      </c>
      <c r="G335" s="9">
        <v>46607</v>
      </c>
      <c r="H335" s="9">
        <v>46609</v>
      </c>
      <c r="I335" t="s">
        <v>17</v>
      </c>
    </row>
    <row r="336" spans="1:9" x14ac:dyDescent="0.3">
      <c r="A336" t="s">
        <v>505</v>
      </c>
      <c r="B336" t="s">
        <v>49</v>
      </c>
      <c r="C336" t="s">
        <v>625</v>
      </c>
      <c r="D336" t="s">
        <v>456</v>
      </c>
      <c r="G336" s="9">
        <v>46481</v>
      </c>
      <c r="H336" s="9">
        <v>46483</v>
      </c>
      <c r="I336" t="s">
        <v>17</v>
      </c>
    </row>
    <row r="337" spans="1:9" x14ac:dyDescent="0.3">
      <c r="A337" t="s">
        <v>505</v>
      </c>
      <c r="B337" t="s">
        <v>49</v>
      </c>
      <c r="C337" t="s">
        <v>625</v>
      </c>
      <c r="D337" t="s">
        <v>91</v>
      </c>
      <c r="G337" s="9">
        <v>46481</v>
      </c>
      <c r="H337" s="9">
        <v>46483</v>
      </c>
      <c r="I337" t="s">
        <v>17</v>
      </c>
    </row>
    <row r="338" spans="1:9" x14ac:dyDescent="0.3">
      <c r="A338" t="s">
        <v>505</v>
      </c>
      <c r="B338" t="s">
        <v>49</v>
      </c>
      <c r="C338" t="s">
        <v>625</v>
      </c>
      <c r="D338" t="s">
        <v>93</v>
      </c>
      <c r="G338" s="9">
        <v>46523</v>
      </c>
      <c r="H338" s="9">
        <v>46525</v>
      </c>
      <c r="I338" t="s">
        <v>17</v>
      </c>
    </row>
    <row r="339" spans="1:9" x14ac:dyDescent="0.3">
      <c r="A339" t="s">
        <v>505</v>
      </c>
      <c r="B339" t="s">
        <v>49</v>
      </c>
      <c r="C339" t="s">
        <v>625</v>
      </c>
      <c r="D339" t="s">
        <v>94</v>
      </c>
      <c r="G339" s="9">
        <v>46607</v>
      </c>
      <c r="H339" s="9">
        <v>46609</v>
      </c>
      <c r="I339" t="s">
        <v>17</v>
      </c>
    </row>
    <row r="340" spans="1:9" x14ac:dyDescent="0.3">
      <c r="G340" s="9"/>
      <c r="H340" s="9"/>
    </row>
    <row r="341" spans="1:9" x14ac:dyDescent="0.3">
      <c r="G341" s="9"/>
      <c r="H341" s="9"/>
    </row>
    <row r="342" spans="1:9" x14ac:dyDescent="0.3">
      <c r="G342" s="9"/>
      <c r="H342" s="9"/>
    </row>
    <row r="343" spans="1:9" x14ac:dyDescent="0.3">
      <c r="G343" s="9"/>
      <c r="H343" s="9"/>
    </row>
    <row r="344" spans="1:9" x14ac:dyDescent="0.3">
      <c r="G344" s="9"/>
      <c r="H344" s="9"/>
    </row>
    <row r="345" spans="1:9" x14ac:dyDescent="0.3">
      <c r="G345" s="9"/>
      <c r="H345" s="9"/>
    </row>
    <row r="346" spans="1:9" x14ac:dyDescent="0.3">
      <c r="G346" s="9"/>
      <c r="H346" s="9"/>
    </row>
    <row r="347" spans="1:9" x14ac:dyDescent="0.3">
      <c r="G347" s="9"/>
      <c r="H347" s="9"/>
    </row>
    <row r="348" spans="1:9" x14ac:dyDescent="0.3">
      <c r="G348" s="9"/>
      <c r="H348" s="9"/>
    </row>
    <row r="349" spans="1:9" x14ac:dyDescent="0.3">
      <c r="G349" s="9"/>
      <c r="H349" s="9"/>
    </row>
    <row r="350" spans="1:9" x14ac:dyDescent="0.3">
      <c r="G350" s="9"/>
      <c r="H350" s="9"/>
    </row>
    <row r="351" spans="1:9" x14ac:dyDescent="0.3">
      <c r="G351" s="9"/>
      <c r="H351" s="9"/>
    </row>
    <row r="352" spans="1:9" x14ac:dyDescent="0.3">
      <c r="G352" s="9"/>
      <c r="H352" s="9"/>
    </row>
    <row r="353" spans="7:8" x14ac:dyDescent="0.3">
      <c r="G353" s="9"/>
      <c r="H353" s="9"/>
    </row>
    <row r="354" spans="7:8" x14ac:dyDescent="0.3">
      <c r="G354" s="9"/>
      <c r="H354" s="9"/>
    </row>
    <row r="355" spans="7:8" x14ac:dyDescent="0.3">
      <c r="G355" s="9"/>
      <c r="H355" s="9"/>
    </row>
    <row r="356" spans="7:8" x14ac:dyDescent="0.3">
      <c r="G356" s="9"/>
      <c r="H356" s="9"/>
    </row>
    <row r="357" spans="7:8" x14ac:dyDescent="0.3">
      <c r="G357" s="9"/>
      <c r="H357" s="9"/>
    </row>
    <row r="358" spans="7:8" x14ac:dyDescent="0.3">
      <c r="G358" s="9"/>
      <c r="H358" s="9"/>
    </row>
    <row r="359" spans="7:8" x14ac:dyDescent="0.3">
      <c r="G359" s="9"/>
      <c r="H359" s="9"/>
    </row>
    <row r="360" spans="7:8" x14ac:dyDescent="0.3">
      <c r="G360" s="9"/>
      <c r="H360" s="9"/>
    </row>
    <row r="361" spans="7:8" x14ac:dyDescent="0.3">
      <c r="G361" s="9"/>
      <c r="H361" s="9"/>
    </row>
    <row r="362" spans="7:8" x14ac:dyDescent="0.3">
      <c r="G362" s="9"/>
      <c r="H362" s="9"/>
    </row>
    <row r="363" spans="7:8" x14ac:dyDescent="0.3">
      <c r="G363" s="9"/>
      <c r="H363" s="9"/>
    </row>
    <row r="364" spans="7:8" x14ac:dyDescent="0.3">
      <c r="G364" s="9"/>
      <c r="H364" s="9"/>
    </row>
    <row r="365" spans="7:8" x14ac:dyDescent="0.3">
      <c r="G365" s="9"/>
      <c r="H365" s="9"/>
    </row>
    <row r="366" spans="7:8" x14ac:dyDescent="0.3">
      <c r="G366" s="9"/>
      <c r="H366" s="9"/>
    </row>
    <row r="367" spans="7:8" x14ac:dyDescent="0.3">
      <c r="G367" s="9"/>
      <c r="H367" s="9"/>
    </row>
    <row r="368" spans="7:8" x14ac:dyDescent="0.3">
      <c r="G368" s="9"/>
      <c r="H368" s="9"/>
    </row>
    <row r="369" spans="7:8" x14ac:dyDescent="0.3">
      <c r="G369" s="9"/>
      <c r="H369" s="9"/>
    </row>
    <row r="370" spans="7:8" x14ac:dyDescent="0.3">
      <c r="G370" s="9"/>
      <c r="H370" s="9"/>
    </row>
    <row r="371" spans="7:8" x14ac:dyDescent="0.3">
      <c r="G371" s="9"/>
      <c r="H371" s="9"/>
    </row>
    <row r="372" spans="7:8" x14ac:dyDescent="0.3">
      <c r="G372" s="9"/>
      <c r="H372" s="9"/>
    </row>
    <row r="373" spans="7:8" x14ac:dyDescent="0.3">
      <c r="G373" s="9"/>
      <c r="H373" s="9"/>
    </row>
    <row r="374" spans="7:8" x14ac:dyDescent="0.3">
      <c r="G374" s="9"/>
      <c r="H374" s="9"/>
    </row>
    <row r="375" spans="7:8" x14ac:dyDescent="0.3">
      <c r="G375" s="9"/>
      <c r="H375" s="9"/>
    </row>
    <row r="376" spans="7:8" x14ac:dyDescent="0.3">
      <c r="G376" s="9"/>
      <c r="H376" s="9"/>
    </row>
    <row r="377" spans="7:8" x14ac:dyDescent="0.3">
      <c r="G377" s="9"/>
      <c r="H377" s="9"/>
    </row>
    <row r="378" spans="7:8" x14ac:dyDescent="0.3">
      <c r="G378" s="9"/>
      <c r="H378" s="9"/>
    </row>
    <row r="379" spans="7:8" x14ac:dyDescent="0.3">
      <c r="G379" s="9"/>
      <c r="H379" s="9"/>
    </row>
    <row r="380" spans="7:8" x14ac:dyDescent="0.3">
      <c r="G380" s="9"/>
      <c r="H380" s="9"/>
    </row>
    <row r="381" spans="7:8" x14ac:dyDescent="0.3">
      <c r="G381" s="9"/>
      <c r="H381" s="9"/>
    </row>
    <row r="382" spans="7:8" x14ac:dyDescent="0.3">
      <c r="G382" s="9"/>
      <c r="H382" s="9"/>
    </row>
    <row r="383" spans="7:8" x14ac:dyDescent="0.3">
      <c r="G383" s="9"/>
      <c r="H383" s="9"/>
    </row>
    <row r="384" spans="7:8" x14ac:dyDescent="0.3">
      <c r="G384" s="9"/>
      <c r="H384" s="9"/>
    </row>
    <row r="385" spans="7:8" x14ac:dyDescent="0.3">
      <c r="G385" s="9"/>
      <c r="H385" s="9"/>
    </row>
    <row r="386" spans="7:8" x14ac:dyDescent="0.3">
      <c r="G386" s="9"/>
      <c r="H386" s="9"/>
    </row>
    <row r="387" spans="7:8" x14ac:dyDescent="0.3">
      <c r="G387" s="9"/>
      <c r="H387" s="9"/>
    </row>
    <row r="388" spans="7:8" x14ac:dyDescent="0.3">
      <c r="G388" s="9"/>
      <c r="H388" s="9"/>
    </row>
    <row r="389" spans="7:8" x14ac:dyDescent="0.3">
      <c r="G389" s="9"/>
      <c r="H389" s="9"/>
    </row>
    <row r="390" spans="7:8" x14ac:dyDescent="0.3">
      <c r="G390" s="9"/>
      <c r="H390" s="9"/>
    </row>
    <row r="391" spans="7:8" x14ac:dyDescent="0.3">
      <c r="G391" s="9"/>
      <c r="H391" s="9"/>
    </row>
    <row r="392" spans="7:8" x14ac:dyDescent="0.3">
      <c r="G392" s="9"/>
      <c r="H392" s="9"/>
    </row>
    <row r="393" spans="7:8" x14ac:dyDescent="0.3">
      <c r="G393" s="9"/>
      <c r="H393" s="9"/>
    </row>
    <row r="394" spans="7:8" x14ac:dyDescent="0.3">
      <c r="G394" s="9"/>
      <c r="H394" s="9"/>
    </row>
    <row r="395" spans="7:8" x14ac:dyDescent="0.3">
      <c r="G395" s="9"/>
      <c r="H395" s="9"/>
    </row>
    <row r="396" spans="7:8" x14ac:dyDescent="0.3">
      <c r="G396" s="9"/>
      <c r="H396" s="9"/>
    </row>
    <row r="397" spans="7:8" x14ac:dyDescent="0.3">
      <c r="G397" s="9"/>
      <c r="H397" s="9"/>
    </row>
    <row r="398" spans="7:8" x14ac:dyDescent="0.3">
      <c r="G398" s="9"/>
      <c r="H398" s="9"/>
    </row>
    <row r="399" spans="7:8" x14ac:dyDescent="0.3">
      <c r="G399" s="9"/>
      <c r="H399" s="9"/>
    </row>
    <row r="400" spans="7:8" x14ac:dyDescent="0.3">
      <c r="G400" s="9"/>
      <c r="H400" s="9"/>
    </row>
    <row r="401" spans="7:8" x14ac:dyDescent="0.3">
      <c r="G401" s="9"/>
      <c r="H401" s="9"/>
    </row>
    <row r="402" spans="7:8" x14ac:dyDescent="0.3">
      <c r="G402" s="9"/>
      <c r="H402" s="9"/>
    </row>
    <row r="403" spans="7:8" x14ac:dyDescent="0.3">
      <c r="G403" s="9"/>
      <c r="H403" s="9"/>
    </row>
    <row r="404" spans="7:8" x14ac:dyDescent="0.3">
      <c r="G404" s="9"/>
      <c r="H404" s="9"/>
    </row>
    <row r="405" spans="7:8" x14ac:dyDescent="0.3">
      <c r="G405" s="9"/>
      <c r="H405" s="9"/>
    </row>
    <row r="406" spans="7:8" x14ac:dyDescent="0.3">
      <c r="G406" s="9"/>
      <c r="H406" s="9"/>
    </row>
    <row r="407" spans="7:8" x14ac:dyDescent="0.3">
      <c r="G407" s="9"/>
      <c r="H407" s="9"/>
    </row>
    <row r="408" spans="7:8" x14ac:dyDescent="0.3">
      <c r="G408" s="9"/>
      <c r="H408" s="9"/>
    </row>
    <row r="409" spans="7:8" x14ac:dyDescent="0.3">
      <c r="G409" s="9"/>
      <c r="H409" s="9"/>
    </row>
  </sheetData>
  <autoFilter ref="A3:N312" xr:uid="{00000000-0001-0000-0700-000000000000}"/>
  <mergeCells count="1">
    <mergeCell ref="A2:N2"/>
  </mergeCells>
  <conditionalFormatting sqref="A4:A2000">
    <cfRule type="expression" dxfId="175" priority="22" stopIfTrue="1">
      <formula>A4=""</formula>
    </cfRule>
    <cfRule type="expression" dxfId="174" priority="24">
      <formula>C4=""</formula>
    </cfRule>
  </conditionalFormatting>
  <conditionalFormatting sqref="B4:H2000">
    <cfRule type="expression" dxfId="173" priority="9" stopIfTrue="1">
      <formula>$A4=""</formula>
    </cfRule>
    <cfRule type="expression" dxfId="172" priority="10">
      <formula>$C4=""</formula>
    </cfRule>
  </conditionalFormatting>
  <conditionalFormatting sqref="I4:I142">
    <cfRule type="expression" dxfId="171" priority="7">
      <formula>EXACT($I4,"Completed")</formula>
    </cfRule>
    <cfRule type="expression" dxfId="170" priority="8">
      <formula>EXACT($I4,"Inprogress")</formula>
    </cfRule>
    <cfRule type="expression" dxfId="169" priority="29">
      <formula>EXACT($I4,"Overdue")</formula>
    </cfRule>
    <cfRule type="expression" dxfId="168" priority="28">
      <formula>EXACT($I4,"Not Started")</formula>
    </cfRule>
  </conditionalFormatting>
  <conditionalFormatting sqref="I4:I2000">
    <cfRule type="expression" dxfId="167" priority="31">
      <formula>$C4=""</formula>
    </cfRule>
    <cfRule type="expression" dxfId="166" priority="30" stopIfTrue="1">
      <formula>$A4=""</formula>
    </cfRule>
  </conditionalFormatting>
  <conditionalFormatting sqref="J4:J2000">
    <cfRule type="expression" dxfId="165" priority="5" stopIfTrue="1">
      <formula>$A4=""</formula>
    </cfRule>
    <cfRule type="expression" dxfId="164" priority="6">
      <formula>$C4=""</formula>
    </cfRule>
  </conditionalFormatting>
  <conditionalFormatting sqref="K4:K243">
    <cfRule type="expression" dxfId="163" priority="3">
      <formula>EXACT($K4,"No")</formula>
    </cfRule>
    <cfRule type="expression" dxfId="162" priority="4">
      <formula>EXACT($K4,"Yes")</formula>
    </cfRule>
    <cfRule type="expression" dxfId="161" priority="32">
      <formula>EXACT($K4,"-")</formula>
    </cfRule>
  </conditionalFormatting>
  <conditionalFormatting sqref="K4:K2000">
    <cfRule type="expression" dxfId="160" priority="34">
      <formula>$C4=""</formula>
    </cfRule>
    <cfRule type="expression" dxfId="159" priority="33" stopIfTrue="1">
      <formula>$A4=""</formula>
    </cfRule>
  </conditionalFormatting>
  <conditionalFormatting sqref="L4:L2000">
    <cfRule type="expression" dxfId="158" priority="1" stopIfTrue="1">
      <formula>$A4=""</formula>
    </cfRule>
    <cfRule type="expression" dxfId="157" priority="2">
      <formula>$C4=""</formula>
    </cfRule>
  </conditionalFormatting>
  <conditionalFormatting sqref="M4:M312">
    <cfRule type="cellIs" dxfId="156" priority="25" operator="equal">
      <formula>"Green"</formula>
    </cfRule>
    <cfRule type="cellIs" dxfId="155" priority="26" operator="equal">
      <formula>"Amber"</formula>
    </cfRule>
    <cfRule type="cellIs" dxfId="154" priority="27" operator="equal">
      <formula>"Red"</formula>
    </cfRule>
  </conditionalFormatting>
  <dataValidations disablePrompts="1" count="1">
    <dataValidation type="list" allowBlank="1" sqref="I4:I312" xr:uid="{C86551A5-5A16-4D04-9012-51D3962DB8FD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D677-C2A0-4552-A26C-BB394DE7241E}">
  <sheetPr codeName="Sheet7">
    <tabColor rgb="FF777777"/>
  </sheetPr>
  <dimension ref="A1:R409"/>
  <sheetViews>
    <sheetView showGridLines="0" zoomScaleNormal="100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J1" sqref="J1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4.77734375" bestFit="1" customWidth="1"/>
    <col min="8" max="8" width="16.77734375" customWidth="1"/>
    <col min="9" max="9" width="12" customWidth="1"/>
    <col min="10" max="11" width="8" customWidth="1"/>
    <col min="12" max="13" width="7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404</v>
      </c>
      <c r="B1" s="10"/>
      <c r="C1" s="10"/>
      <c r="D1" s="10"/>
      <c r="E1" s="10"/>
      <c r="F1" s="10"/>
      <c r="G1" s="11">
        <f>+MAX(G4:G2000)</f>
        <v>46463.1</v>
      </c>
      <c r="H1" s="11">
        <f>+MAX(H4:H2000)</f>
        <v>46566</v>
      </c>
      <c r="I1" s="10"/>
      <c r="J1" s="12">
        <f t="shared" ref="J1" si="0">IF(OR($G1="",$H1=""),"",$H1-$G1)</f>
        <v>102.90000000000146</v>
      </c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465</v>
      </c>
      <c r="B4" s="2" t="s">
        <v>49</v>
      </c>
      <c r="C4" s="3"/>
      <c r="D4" s="3"/>
      <c r="E4" s="2"/>
      <c r="F4" s="2"/>
      <c r="G4" s="5">
        <v>45986</v>
      </c>
      <c r="H4" s="5">
        <v>46022</v>
      </c>
      <c r="I4" s="2"/>
      <c r="J4" s="6">
        <f t="shared" ref="J4:J67" si="1">IF(OR($G4="",$H4=""),"",$H4-$G4)</f>
        <v>36</v>
      </c>
      <c r="K4" s="4" t="str">
        <f t="shared" ref="K4:K67" ca="1" si="2">IF(C4="","",IF(H4="","",IF($I4="completed","-",IF($H4&gt;TODAY(),"No","Yes"))))</f>
        <v/>
      </c>
      <c r="L4" s="7">
        <f>IF(I4="Completed","0",IF($H4="","",$H4-'[2]Read Me'!$B$4))</f>
        <v>-165</v>
      </c>
      <c r="M4" s="4" t="str">
        <f>IF($I4="Complete","Green",IF($H4="","Amber",IF($H4&lt;'[2]Read Me'!$B$4,"Red",IF($H4-'[2]Read Me'!$B$4&lt;=21,"Amber","Green"))))</f>
        <v>Red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465</v>
      </c>
      <c r="B5" s="2" t="s">
        <v>49</v>
      </c>
      <c r="C5" s="3"/>
      <c r="D5" s="3"/>
      <c r="E5" s="2"/>
      <c r="F5" s="2"/>
      <c r="G5" s="5">
        <v>45986</v>
      </c>
      <c r="H5" s="5">
        <v>46022</v>
      </c>
      <c r="I5" s="2"/>
      <c r="J5" s="6">
        <f t="shared" si="1"/>
        <v>36</v>
      </c>
      <c r="K5" s="4" t="str">
        <f t="shared" ca="1" si="2"/>
        <v/>
      </c>
      <c r="L5" s="7">
        <f>IF(I5="Completed","0",IF($H5="","",$H5-'[2]Read Me'!$B$4))</f>
        <v>-165</v>
      </c>
      <c r="M5" s="4" t="str">
        <f>IF($I5="Complete","Green",IF($H5="","Amber",IF($H5&lt;'[2]Read Me'!$B$4,"Red",IF($H5-'[2]Read Me'!$B$4&lt;=21,"Amber","Green"))))</f>
        <v>Red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465</v>
      </c>
      <c r="B6" s="2" t="s">
        <v>49</v>
      </c>
      <c r="C6" s="3" t="s">
        <v>466</v>
      </c>
      <c r="D6" s="3" t="s">
        <v>287</v>
      </c>
      <c r="E6" s="2"/>
      <c r="F6" s="2"/>
      <c r="G6" s="5">
        <v>45803.541666666664</v>
      </c>
      <c r="H6" s="5">
        <v>45859.541666666664</v>
      </c>
      <c r="I6" s="2" t="s">
        <v>31</v>
      </c>
      <c r="J6" s="6">
        <f t="shared" si="1"/>
        <v>56</v>
      </c>
      <c r="K6" s="4" t="str">
        <f t="shared" ca="1" si="2"/>
        <v>-</v>
      </c>
      <c r="L6" s="7" t="str">
        <f>IF(I6="Completed","0",IF($H6="","",$H6-'[2]Read Me'!$B$4))</f>
        <v>0</v>
      </c>
      <c r="M6" s="4" t="str">
        <f>IF($I6="Complete","Green",IF($H6="","Amber",IF($H6&lt;'[2]Read Me'!$B$4,"Red",IF($H6-'[2]Read Me'!$B$4&lt;=21,"Amber","Green"))))</f>
        <v>Red</v>
      </c>
      <c r="N6" s="3"/>
      <c r="O6" t="str">
        <f>IF($I6&lt;&gt;"Complete",IF(COUNTIFS($A$4:$A5,$A6,$B$4:$B5,$B6,$I$4:$I5,"&lt;&gt;Complete")=0,$A6&amp;"|"&amp;$B6,""),"")</f>
        <v/>
      </c>
      <c r="P6" t="str">
        <f ca="1">IF($K6="Yes",COUNTIFS($K$4:$K6,"Yes"),"")</f>
        <v/>
      </c>
      <c r="Q6">
        <f t="shared" ca="1" si="3"/>
        <v>0</v>
      </c>
      <c r="R6" t="str">
        <f ca="1">IF($Q6=1,SUM($Q$4:$Q6),"")</f>
        <v/>
      </c>
    </row>
    <row r="7" spans="1:18" ht="33.75" customHeight="1" x14ac:dyDescent="0.3">
      <c r="A7" s="2" t="s">
        <v>465</v>
      </c>
      <c r="B7" s="2" t="s">
        <v>49</v>
      </c>
      <c r="C7" s="3" t="s">
        <v>466</v>
      </c>
      <c r="D7" s="3" t="s">
        <v>288</v>
      </c>
      <c r="E7" s="2"/>
      <c r="F7" s="2"/>
      <c r="G7" s="5">
        <v>45845.541666666664</v>
      </c>
      <c r="H7" s="5">
        <v>45901.541666666664</v>
      </c>
      <c r="I7" s="2" t="s">
        <v>31</v>
      </c>
      <c r="J7" s="6">
        <f t="shared" si="1"/>
        <v>56</v>
      </c>
      <c r="K7" s="4" t="str">
        <f t="shared" ca="1" si="2"/>
        <v>-</v>
      </c>
      <c r="L7" s="7" t="str">
        <f>IF(I7="Completed","0",IF($H7="","",$H7-'[2]Read Me'!$B$4))</f>
        <v>0</v>
      </c>
      <c r="M7" s="4" t="str">
        <f>IF($I7="Complete","Green",IF($H7="","Amber",IF($H7&lt;'[2]Read Me'!$B$4,"Red",IF($H7-'[2]Read Me'!$B$4&lt;=21,"Amber","Green"))))</f>
        <v>Red</v>
      </c>
      <c r="N7" s="3"/>
      <c r="O7" t="str">
        <f>IF($I7&lt;&gt;"Complete",IF(COUNTIFS($A$4:$A6,$A7,$B$4:$B6,$B7,$I$4:$I6,"&lt;&gt;Complete")=0,$A7&amp;"|"&amp;$B7,""),"")</f>
        <v/>
      </c>
      <c r="P7" t="str">
        <f ca="1">IF($K7="Yes",COUNTIFS($K$4:$K7,"Yes"),"")</f>
        <v/>
      </c>
      <c r="Q7">
        <f t="shared" ca="1" si="3"/>
        <v>0</v>
      </c>
      <c r="R7" t="str">
        <f ca="1">IF($Q7=1,SUM($Q$4:$Q7),"")</f>
        <v/>
      </c>
    </row>
    <row r="8" spans="1:18" ht="33.75" customHeight="1" x14ac:dyDescent="0.3">
      <c r="A8" s="2" t="s">
        <v>465</v>
      </c>
      <c r="B8" s="2" t="s">
        <v>49</v>
      </c>
      <c r="C8" s="3" t="s">
        <v>466</v>
      </c>
      <c r="D8" s="3" t="s">
        <v>51</v>
      </c>
      <c r="E8" s="2"/>
      <c r="F8" s="2"/>
      <c r="G8" s="5">
        <v>45887.541666666664</v>
      </c>
      <c r="H8" s="5">
        <v>45924</v>
      </c>
      <c r="I8" s="2" t="s">
        <v>31</v>
      </c>
      <c r="J8" s="6">
        <f t="shared" si="1"/>
        <v>36.458333333335759</v>
      </c>
      <c r="K8" s="4" t="str">
        <f t="shared" ca="1" si="2"/>
        <v>-</v>
      </c>
      <c r="L8" s="7" t="str">
        <f>IF(I8="Completed","0",IF($H8="","",$H8-'[2]Read Me'!$B$4))</f>
        <v>0</v>
      </c>
      <c r="M8" s="4" t="str">
        <f>IF($I8="Complete","Green",IF($H8="","Amber",IF($H8&lt;'[2]Read Me'!$B$4,"Red",IF($H8-'[2]Read Me'!$B$4&lt;=21,"Amber","Green"))))</f>
        <v>Red</v>
      </c>
      <c r="N8" s="3"/>
      <c r="O8" t="str">
        <f>IF($I8&lt;&gt;"Complete",IF(COUNTIFS($A$4:$A7,$A8,$B$4:$B7,$B8,$I$4:$I7,"&lt;&gt;Complete")=0,$A8&amp;"|"&amp;$B8,""),"")</f>
        <v/>
      </c>
      <c r="P8" t="str">
        <f ca="1">IF($K8="Yes",COUNTIFS($K$4:$K8,"Yes"),"")</f>
        <v/>
      </c>
      <c r="Q8">
        <f t="shared" ca="1" si="3"/>
        <v>0</v>
      </c>
      <c r="R8" t="str">
        <f ca="1">IF($Q8=1,SUM($Q$4:$Q8),"")</f>
        <v/>
      </c>
    </row>
    <row r="9" spans="1:18" ht="33.75" customHeight="1" x14ac:dyDescent="0.3">
      <c r="A9" s="2" t="s">
        <v>465</v>
      </c>
      <c r="B9" s="2" t="s">
        <v>49</v>
      </c>
      <c r="C9" s="3" t="s">
        <v>466</v>
      </c>
      <c r="D9" s="3" t="s">
        <v>413</v>
      </c>
      <c r="E9" s="2"/>
      <c r="F9" s="2"/>
      <c r="G9" s="5">
        <v>45986</v>
      </c>
      <c r="H9" s="5">
        <v>45992</v>
      </c>
      <c r="I9" s="2" t="s">
        <v>31</v>
      </c>
      <c r="J9" s="6">
        <f t="shared" si="1"/>
        <v>6</v>
      </c>
      <c r="K9" s="4" t="str">
        <f t="shared" ca="1" si="2"/>
        <v>-</v>
      </c>
      <c r="L9" s="7" t="str">
        <f>IF(I9="Completed","0",IF($H9="","",$H9-'[2]Read Me'!$B$4))</f>
        <v>0</v>
      </c>
      <c r="M9" s="4" t="str">
        <f>IF($I9="Complete","Green",IF($H9="","Amber",IF($H9&lt;'[2]Read Me'!$B$4,"Red",IF($H9-'[2]Read Me'!$B$4&lt;=21,"Amber","Green"))))</f>
        <v>Red</v>
      </c>
      <c r="N9" s="3"/>
      <c r="O9" t="str">
        <f>IF($I9&lt;&gt;"Complete",IF(COUNTIFS($A$4:$A8,$A9,$B$4:$B8,$B9,$I$4:$I8,"&lt;&gt;Complete")=0,$A9&amp;"|"&amp;$B9,""),"")</f>
        <v/>
      </c>
      <c r="P9" t="str">
        <f ca="1">IF($K9="Yes",COUNTIFS($K$4:$K9,"Yes"),"")</f>
        <v/>
      </c>
      <c r="Q9">
        <f t="shared" ca="1" si="3"/>
        <v>0</v>
      </c>
      <c r="R9" t="str">
        <f ca="1">IF($Q9=1,SUM($Q$4:$Q9),"")</f>
        <v/>
      </c>
    </row>
    <row r="10" spans="1:18" ht="33.75" customHeight="1" x14ac:dyDescent="0.3">
      <c r="A10" s="2" t="s">
        <v>465</v>
      </c>
      <c r="B10" s="2" t="s">
        <v>49</v>
      </c>
      <c r="C10" s="3" t="s">
        <v>466</v>
      </c>
      <c r="D10" s="3" t="s">
        <v>414</v>
      </c>
      <c r="E10" s="2"/>
      <c r="F10" s="2"/>
      <c r="G10" s="5">
        <v>45986</v>
      </c>
      <c r="H10" s="5">
        <v>46022</v>
      </c>
      <c r="I10" s="2" t="s">
        <v>31</v>
      </c>
      <c r="J10" s="6">
        <f t="shared" si="1"/>
        <v>36</v>
      </c>
      <c r="K10" s="4" t="str">
        <f t="shared" ca="1" si="2"/>
        <v>-</v>
      </c>
      <c r="L10" s="7" t="str">
        <f>IF(I10="Completed","0",IF($H10="","",$H10-'[2]Read Me'!$B$4))</f>
        <v>0</v>
      </c>
      <c r="M10" s="4" t="str">
        <f>IF($I10="Complete","Green",IF($H10="","Amber",IF($H10&lt;'[2]Read Me'!$B$4,"Red",IF($H10-'[2]Read Me'!$B$4&lt;=21,"Amber","Green"))))</f>
        <v>Red</v>
      </c>
      <c r="N10" s="3"/>
      <c r="O10" t="str">
        <f>IF($I10&lt;&gt;"Complete",IF(COUNTIFS($A$4:$A9,$A10,$B$4:$B9,$B10,$I$4:$I9,"&lt;&gt;Complete")=0,$A10&amp;"|"&amp;$B10,""),"")</f>
        <v/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465</v>
      </c>
      <c r="B11" s="2" t="s">
        <v>49</v>
      </c>
      <c r="C11" s="3" t="s">
        <v>466</v>
      </c>
      <c r="D11" s="3" t="s">
        <v>415</v>
      </c>
      <c r="E11" s="2"/>
      <c r="F11" s="2"/>
      <c r="G11" s="5"/>
      <c r="H11" s="5"/>
      <c r="I11" s="2" t="s">
        <v>17</v>
      </c>
      <c r="J11" s="6" t="str">
        <f t="shared" si="1"/>
        <v/>
      </c>
      <c r="K11" s="4" t="str">
        <f t="shared" ca="1" si="2"/>
        <v/>
      </c>
      <c r="L11" s="7" t="str">
        <f>IF(I11="Completed","0",IF($H11="","",$H11-'[2]Read Me'!$B$4))</f>
        <v/>
      </c>
      <c r="M11" s="4" t="str">
        <f>IF($I11="Complete","Green",IF($H11="","Amber",IF($H11&lt;'[2]Read Me'!$B$4,"Red",IF($H11-'[2]Read Me'!$B$4&lt;=21,"Amber","Green"))))</f>
        <v>Amber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465</v>
      </c>
      <c r="B12" s="2" t="s">
        <v>140</v>
      </c>
      <c r="C12" s="3"/>
      <c r="D12" s="3"/>
      <c r="E12" s="2"/>
      <c r="F12" s="2"/>
      <c r="G12" s="5">
        <v>45691.541666666664</v>
      </c>
      <c r="H12" s="5">
        <v>45691.541666666664</v>
      </c>
      <c r="I12" s="2"/>
      <c r="J12" s="6">
        <f t="shared" si="1"/>
        <v>0</v>
      </c>
      <c r="K12" s="4" t="str">
        <f t="shared" ca="1" si="2"/>
        <v/>
      </c>
      <c r="L12" s="7">
        <f>IF(I12="Completed","0",IF($H12="","",$H12-'[2]Read Me'!$B$4))</f>
        <v>-495.45833333333576</v>
      </c>
      <c r="M12" s="4" t="str">
        <f>IF($I12="Complete","Green",IF($H12="","Amber",IF($H12&lt;'[2]Read Me'!$B$4,"Red",IF($H12-'[2]Read Me'!$B$4&lt;=21,"Amber","Green"))))</f>
        <v>Red</v>
      </c>
      <c r="N12" s="3"/>
      <c r="O12" t="str">
        <f>IF($I12&lt;&gt;"Complete",IF(COUNTIFS($A$4:$A11,$A12,$B$4:$B11,$B12,$I$4:$I11,"&lt;&gt;Complete")=0,$A12&amp;"|"&amp;$B12,""),"")</f>
        <v>Park 226|Masterplan</v>
      </c>
      <c r="P12" t="str">
        <f ca="1">IF($K12="Yes",COUNTIFS($K$4:$K12,"Yes"),"")</f>
        <v/>
      </c>
      <c r="Q12">
        <f t="shared" ca="1" si="3"/>
        <v>0</v>
      </c>
      <c r="R12" t="str">
        <f ca="1">IF($Q12=1,SUM($Q$4:$Q12),"")</f>
        <v/>
      </c>
    </row>
    <row r="13" spans="1:18" ht="33.75" customHeight="1" x14ac:dyDescent="0.3">
      <c r="A13" s="2" t="s">
        <v>465</v>
      </c>
      <c r="B13" s="2" t="s">
        <v>140</v>
      </c>
      <c r="C13" s="3" t="s">
        <v>467</v>
      </c>
      <c r="D13" s="3" t="s">
        <v>468</v>
      </c>
      <c r="E13" s="2"/>
      <c r="F13" s="2"/>
      <c r="G13" s="5" t="s">
        <v>469</v>
      </c>
      <c r="H13" s="5"/>
      <c r="I13" s="2" t="s">
        <v>17</v>
      </c>
      <c r="J13" s="6" t="str">
        <f t="shared" si="1"/>
        <v/>
      </c>
      <c r="K13" s="4" t="str">
        <f t="shared" ca="1" si="2"/>
        <v/>
      </c>
      <c r="L13" s="7" t="str">
        <f>IF(I13="Completed","0",IF($H13="","",$H13-'[2]Read Me'!$B$4))</f>
        <v/>
      </c>
      <c r="M13" s="4" t="str">
        <f>IF($I13="Complete","Green",IF($H13="","Amber",IF($H13&lt;'[2]Read Me'!$B$4,"Red",IF($H13-'[2]Read Me'!$B$4&lt;=21,"Amber","Green"))))</f>
        <v>Amber</v>
      </c>
      <c r="N13" s="3"/>
      <c r="O13" t="str">
        <f>IF($I13&lt;&gt;"Complete",IF(COUNTIFS($A$4:$A12,$A13,$B$4:$B12,$B13,$I$4:$I12,"&lt;&gt;Complete")=0,$A13&amp;"|"&amp;$B13,""),"")</f>
        <v/>
      </c>
      <c r="P13" t="str">
        <f ca="1">IF($K13="Yes",COUNTIFS($K$4:$K13,"Yes"),"")</f>
        <v/>
      </c>
      <c r="Q13">
        <f t="shared" ca="1" si="3"/>
        <v>0</v>
      </c>
      <c r="R13" t="str">
        <f ca="1">IF($Q13=1,SUM($Q$4:$Q13),"")</f>
        <v/>
      </c>
    </row>
    <row r="14" spans="1:18" ht="33.75" customHeight="1" x14ac:dyDescent="0.3">
      <c r="A14" s="2" t="s">
        <v>465</v>
      </c>
      <c r="B14" s="2" t="s">
        <v>140</v>
      </c>
      <c r="C14" s="3" t="s">
        <v>467</v>
      </c>
      <c r="D14" s="3" t="s">
        <v>58</v>
      </c>
      <c r="E14" s="2"/>
      <c r="F14" s="2"/>
      <c r="G14" s="5" t="s">
        <v>469</v>
      </c>
      <c r="H14" s="5"/>
      <c r="I14" s="2" t="s">
        <v>17</v>
      </c>
      <c r="J14" s="6" t="str">
        <f t="shared" si="1"/>
        <v/>
      </c>
      <c r="K14" s="4" t="str">
        <f t="shared" ca="1" si="2"/>
        <v/>
      </c>
      <c r="L14" s="7" t="str">
        <f>IF(I14="Completed","0",IF($H14="","",$H14-'[2]Read Me'!$B$4))</f>
        <v/>
      </c>
      <c r="M14" s="4" t="str">
        <f>IF($I14="Complete","Green",IF($H14="","Amber",IF($H14&lt;'[2]Read Me'!$B$4,"Red",IF($H14-'[2]Read Me'!$B$4&lt;=21,"Amber","Green"))))</f>
        <v>Amber</v>
      </c>
      <c r="N14" s="3"/>
      <c r="O14" t="str">
        <f>IF($I14&lt;&gt;"Complete",IF(COUNTIFS($A$4:$A13,$A14,$B$4:$B13,$B14,$I$4:$I13,"&lt;&gt;Complete")=0,$A14&amp;"|"&amp;$B14,""),"")</f>
        <v/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465</v>
      </c>
      <c r="B15" s="2" t="s">
        <v>140</v>
      </c>
      <c r="C15" s="3" t="s">
        <v>467</v>
      </c>
      <c r="D15" s="3" t="s">
        <v>470</v>
      </c>
      <c r="E15" s="2"/>
      <c r="F15" s="2"/>
      <c r="G15" s="5">
        <v>45117</v>
      </c>
      <c r="H15" s="5">
        <v>45117</v>
      </c>
      <c r="I15" s="2" t="s">
        <v>31</v>
      </c>
      <c r="J15" s="6">
        <f t="shared" si="1"/>
        <v>0</v>
      </c>
      <c r="K15" s="4" t="str">
        <f t="shared" ca="1" si="2"/>
        <v>-</v>
      </c>
      <c r="L15" s="7" t="str">
        <f>IF(I15="Completed","0",IF($H15="","",$H15-'[2]Read Me'!$B$4))</f>
        <v>0</v>
      </c>
      <c r="M15" s="4" t="str">
        <f>IF($I15="Complete","Green",IF($H15="","Amber",IF($H15&lt;'[2]Read Me'!$B$4,"Red",IF($H15-'[2]Read Me'!$B$4&lt;=21,"Amber","Green"))))</f>
        <v>Red</v>
      </c>
      <c r="N15" s="3"/>
      <c r="O15" t="str">
        <f>IF($I15&lt;&gt;"Complete",IF(COUNTIFS($A$4:$A14,$A15,$B$4:$B14,$B15,$I$4:$I14,"&lt;&gt;Complete")=0,$A15&amp;"|"&amp;$B15,""),"")</f>
        <v/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465</v>
      </c>
      <c r="B16" s="2" t="s">
        <v>140</v>
      </c>
      <c r="C16" s="3" t="s">
        <v>467</v>
      </c>
      <c r="D16" s="3" t="s">
        <v>471</v>
      </c>
      <c r="E16" s="2"/>
      <c r="F16" s="2"/>
      <c r="G16" s="5">
        <v>44804</v>
      </c>
      <c r="H16" s="5">
        <v>44804</v>
      </c>
      <c r="I16" s="2" t="s">
        <v>31</v>
      </c>
      <c r="J16" s="6">
        <f t="shared" si="1"/>
        <v>0</v>
      </c>
      <c r="K16" s="4" t="str">
        <f t="shared" ca="1" si="2"/>
        <v>-</v>
      </c>
      <c r="L16" s="7" t="str">
        <f>IF(I16="Completed","0",IF($H16="","",$H16-'[2]Read Me'!$B$4))</f>
        <v>0</v>
      </c>
      <c r="M16" s="4" t="str">
        <f>IF($I16="Complete","Green",IF($H16="","Amber",IF($H16&lt;'[2]Read Me'!$B$4,"Red",IF($H16-'[2]Read Me'!$B$4&lt;=21,"Amber","Green"))))</f>
        <v>Red</v>
      </c>
      <c r="N16" s="3"/>
      <c r="O16" t="str">
        <f>IF($I16&lt;&gt;"Complete",IF(COUNTIFS($A$4:$A15,$A16,$B$4:$B15,$B16,$I$4:$I15,"&lt;&gt;Complete")=0,$A16&amp;"|"&amp;$B16,""),"")</f>
        <v/>
      </c>
      <c r="P16" t="str">
        <f ca="1">IF($K16="Yes",COUNTIFS($K$4:$K16,"Yes"),"")</f>
        <v/>
      </c>
      <c r="Q16">
        <f t="shared" ca="1" si="3"/>
        <v>0</v>
      </c>
      <c r="R16" t="str">
        <f ca="1">IF($Q16=1,SUM($Q$4:$Q16),"")</f>
        <v/>
      </c>
    </row>
    <row r="17" spans="1:18" ht="33.75" customHeight="1" x14ac:dyDescent="0.3">
      <c r="A17" s="2" t="s">
        <v>465</v>
      </c>
      <c r="B17" s="2" t="s">
        <v>140</v>
      </c>
      <c r="C17" s="3" t="s">
        <v>467</v>
      </c>
      <c r="D17" s="3" t="s">
        <v>58</v>
      </c>
      <c r="E17" s="2"/>
      <c r="F17" s="2"/>
      <c r="G17" s="5">
        <v>44824</v>
      </c>
      <c r="H17" s="5">
        <v>44824</v>
      </c>
      <c r="I17" s="2" t="s">
        <v>31</v>
      </c>
      <c r="J17" s="6">
        <f t="shared" si="1"/>
        <v>0</v>
      </c>
      <c r="K17" s="4" t="str">
        <f t="shared" ca="1" si="2"/>
        <v>-</v>
      </c>
      <c r="L17" s="7" t="str">
        <f>IF(I17="Completed","0",IF($H17="","",$H17-'[2]Read Me'!$B$4))</f>
        <v>0</v>
      </c>
      <c r="M17" s="4" t="str">
        <f>IF($I17="Complete","Green",IF($H17="","Amber",IF($H17&lt;'[2]Read Me'!$B$4,"Red",IF($H17-'[2]Read Me'!$B$4&lt;=21,"Amber","Green"))))</f>
        <v>Red</v>
      </c>
      <c r="N17" s="3"/>
      <c r="O17" t="str">
        <f>IF($I17&lt;&gt;"Complete",IF(COUNTIFS($A$4:$A16,$A17,$B$4:$B16,$B17,$I$4:$I16,"&lt;&gt;Complete")=0,$A17&amp;"|"&amp;$B17,""),"")</f>
        <v/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465</v>
      </c>
      <c r="B18" s="2" t="s">
        <v>140</v>
      </c>
      <c r="C18" s="3" t="s">
        <v>467</v>
      </c>
      <c r="D18" s="3" t="s">
        <v>472</v>
      </c>
      <c r="E18" s="2"/>
      <c r="F18" s="2"/>
      <c r="G18" s="5">
        <v>44958</v>
      </c>
      <c r="H18" s="5">
        <v>44958</v>
      </c>
      <c r="I18" s="2" t="s">
        <v>31</v>
      </c>
      <c r="J18" s="6">
        <f t="shared" si="1"/>
        <v>0</v>
      </c>
      <c r="K18" s="4" t="str">
        <f t="shared" ca="1" si="2"/>
        <v>-</v>
      </c>
      <c r="L18" s="7" t="str">
        <f>IF(I18="Completed","0",IF($H18="","",$H18-'[2]Read Me'!$B$4))</f>
        <v>0</v>
      </c>
      <c r="M18" s="4" t="str">
        <f>IF($I18="Complete","Green",IF($H18="","Amber",IF($H18&lt;'[2]Read Me'!$B$4,"Red",IF($H18-'[2]Read Me'!$B$4&lt;=21,"Amber","Green"))))</f>
        <v>Red</v>
      </c>
      <c r="N18" s="3"/>
      <c r="O18" t="str">
        <f>IF($I18&lt;&gt;"Complete",IF(COUNTIFS($A$4:$A17,$A18,$B$4:$B17,$B18,$I$4:$I17,"&lt;&gt;Complete")=0,$A18&amp;"|"&amp;$B18,""),"")</f>
        <v/>
      </c>
      <c r="P18" t="str">
        <f ca="1">IF($K18="Yes",COUNTIFS($K$4:$K18,"Yes"),"")</f>
        <v/>
      </c>
      <c r="Q18">
        <f t="shared" ca="1" si="3"/>
        <v>0</v>
      </c>
      <c r="R18" t="str">
        <f ca="1">IF($Q18=1,SUM($Q$4:$Q18),"")</f>
        <v/>
      </c>
    </row>
    <row r="19" spans="1:18" ht="33.75" customHeight="1" x14ac:dyDescent="0.3">
      <c r="A19" s="2" t="s">
        <v>465</v>
      </c>
      <c r="B19" s="2" t="s">
        <v>140</v>
      </c>
      <c r="C19" s="3" t="s">
        <v>467</v>
      </c>
      <c r="D19" s="3" t="s">
        <v>58</v>
      </c>
      <c r="E19" s="2"/>
      <c r="F19" s="2"/>
      <c r="G19" s="5">
        <v>44966</v>
      </c>
      <c r="H19" s="5">
        <v>44966</v>
      </c>
      <c r="I19" s="2" t="s">
        <v>31</v>
      </c>
      <c r="J19" s="6">
        <f t="shared" si="1"/>
        <v>0</v>
      </c>
      <c r="K19" s="4" t="str">
        <f t="shared" ca="1" si="2"/>
        <v>-</v>
      </c>
      <c r="L19" s="7" t="str">
        <f>IF(I19="Completed","0",IF($H19="","",$H19-'[2]Read Me'!$B$4))</f>
        <v>0</v>
      </c>
      <c r="M19" s="4" t="str">
        <f>IF($I19="Complete","Green",IF($H19="","Amber",IF($H19&lt;'[2]Read Me'!$B$4,"Red",IF($H19-'[2]Read Me'!$B$4&lt;=21,"Amber","Green"))))</f>
        <v>Red</v>
      </c>
      <c r="N19" s="3"/>
      <c r="O19" t="str">
        <f>IF($I19&lt;&gt;"Complete",IF(COUNTIFS($A$4:$A18,$A19,$B$4:$B18,$B19,$I$4:$I18,"&lt;&gt;Complete")=0,$A19&amp;"|"&amp;$B19,""),"")</f>
        <v/>
      </c>
      <c r="P19" t="str">
        <f ca="1">IF($K19="Yes",COUNTIFS($K$4:$K19,"Yes"),"")</f>
        <v/>
      </c>
      <c r="Q19">
        <f t="shared" ca="1" si="3"/>
        <v>0</v>
      </c>
      <c r="R19" t="str">
        <f ca="1">IF($Q19=1,SUM($Q$4:$Q19),"")</f>
        <v/>
      </c>
    </row>
    <row r="20" spans="1:18" ht="33.75" customHeight="1" x14ac:dyDescent="0.3">
      <c r="A20" s="2" t="s">
        <v>465</v>
      </c>
      <c r="B20" s="2" t="s">
        <v>140</v>
      </c>
      <c r="C20" s="3" t="s">
        <v>467</v>
      </c>
      <c r="D20" s="3" t="s">
        <v>473</v>
      </c>
      <c r="E20" s="2"/>
      <c r="F20" s="2"/>
      <c r="G20" s="5">
        <v>44977</v>
      </c>
      <c r="H20" s="5">
        <v>44977</v>
      </c>
      <c r="I20" s="2" t="s">
        <v>31</v>
      </c>
      <c r="J20" s="6">
        <f t="shared" si="1"/>
        <v>0</v>
      </c>
      <c r="K20" s="4" t="str">
        <f t="shared" ca="1" si="2"/>
        <v>-</v>
      </c>
      <c r="L20" s="7" t="str">
        <f>IF(I20="Completed","0",IF($H20="","",$H20-'[2]Read Me'!$B$4))</f>
        <v>0</v>
      </c>
      <c r="M20" s="4" t="str">
        <f>IF($I20="Complete","Green",IF($H20="","Amber",IF($H20&lt;'[2]Read Me'!$B$4,"Red",IF($H20-'[2]Read Me'!$B$4&lt;=21,"Amber","Green"))))</f>
        <v>Red</v>
      </c>
      <c r="N20" s="3"/>
      <c r="O20" t="str">
        <f>IF($I20&lt;&gt;"Complete",IF(COUNTIFS($A$4:$A19,$A20,$B$4:$B19,$B20,$I$4:$I19,"&lt;&gt;Complete")=0,$A20&amp;"|"&amp;$B20,""),"")</f>
        <v/>
      </c>
      <c r="P20" t="str">
        <f ca="1">IF($K20="Yes",COUNTIFS($K$4:$K20,"Yes"),"")</f>
        <v/>
      </c>
      <c r="Q20">
        <f t="shared" ca="1" si="3"/>
        <v>0</v>
      </c>
      <c r="R20" t="str">
        <f ca="1">IF($Q20=1,SUM($Q$4:$Q20),"")</f>
        <v/>
      </c>
    </row>
    <row r="21" spans="1:18" ht="33.75" customHeight="1" x14ac:dyDescent="0.3">
      <c r="A21" s="2" t="s">
        <v>465</v>
      </c>
      <c r="B21" s="2" t="s">
        <v>140</v>
      </c>
      <c r="C21" s="3" t="s">
        <v>467</v>
      </c>
      <c r="D21" s="3" t="s">
        <v>470</v>
      </c>
      <c r="E21" s="2"/>
      <c r="F21" s="2"/>
      <c r="G21" s="5">
        <v>45092.666666666664</v>
      </c>
      <c r="H21" s="5">
        <v>45092.666666666664</v>
      </c>
      <c r="I21" s="2" t="s">
        <v>31</v>
      </c>
      <c r="J21" s="6">
        <f t="shared" si="1"/>
        <v>0</v>
      </c>
      <c r="K21" s="4" t="str">
        <f t="shared" ca="1" si="2"/>
        <v>-</v>
      </c>
      <c r="L21" s="7" t="str">
        <f>IF(I21="Completed","0",IF($H21="","",$H21-'[2]Read Me'!$B$4))</f>
        <v>0</v>
      </c>
      <c r="M21" s="4" t="str">
        <f>IF($I21="Complete","Green",IF($H21="","Amber",IF($H21&lt;'[2]Read Me'!$B$4,"Red",IF($H21-'[2]Read Me'!$B$4&lt;=21,"Amber","Green"))))</f>
        <v>Red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465</v>
      </c>
      <c r="B22" s="2" t="s">
        <v>140</v>
      </c>
      <c r="C22" s="3" t="s">
        <v>467</v>
      </c>
      <c r="D22" s="3" t="s">
        <v>472</v>
      </c>
      <c r="E22" s="2"/>
      <c r="F22" s="2"/>
      <c r="G22" s="5">
        <v>45246</v>
      </c>
      <c r="H22" s="5">
        <v>45246</v>
      </c>
      <c r="I22" s="2" t="s">
        <v>31</v>
      </c>
      <c r="J22" s="6">
        <f t="shared" si="1"/>
        <v>0</v>
      </c>
      <c r="K22" s="4" t="str">
        <f t="shared" ca="1" si="2"/>
        <v>-</v>
      </c>
      <c r="L22" s="7" t="str">
        <f>IF(I22="Completed","0",IF($H22="","",$H22-'[2]Read Me'!$B$4))</f>
        <v>0</v>
      </c>
      <c r="M22" s="4" t="str">
        <f>IF($I22="Complete","Green",IF($H22="","Amber",IF($H22&lt;'[2]Read Me'!$B$4,"Red",IF($H22-'[2]Read Me'!$B$4&lt;=21,"Amber","Green"))))</f>
        <v>Red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465</v>
      </c>
      <c r="B23" s="2" t="s">
        <v>140</v>
      </c>
      <c r="C23" s="3" t="s">
        <v>467</v>
      </c>
      <c r="D23" s="3" t="s">
        <v>58</v>
      </c>
      <c r="E23" s="2"/>
      <c r="F23" s="2"/>
      <c r="G23" s="5">
        <v>45260</v>
      </c>
      <c r="H23" s="5">
        <v>45260</v>
      </c>
      <c r="I23" s="2" t="s">
        <v>31</v>
      </c>
      <c r="J23" s="6">
        <f t="shared" si="1"/>
        <v>0</v>
      </c>
      <c r="K23" s="4" t="str">
        <f t="shared" ca="1" si="2"/>
        <v>-</v>
      </c>
      <c r="L23" s="7" t="str">
        <f>IF(I23="Completed","0",IF($H23="","",$H23-'[2]Read Me'!$B$4))</f>
        <v>0</v>
      </c>
      <c r="M23" s="4" t="str">
        <f>IF($I23="Complete","Green",IF($H23="","Amber",IF($H23&lt;'[2]Read Me'!$B$4,"Red",IF($H23-'[2]Read Me'!$B$4&lt;=21,"Amber","Green"))))</f>
        <v>Red</v>
      </c>
      <c r="N23" s="3"/>
      <c r="O23" t="str">
        <f>IF($I23&lt;&gt;"Complete",IF(COUNTIFS($A$4:$A22,$A23,$B$4:$B22,$B23,$I$4:$I22,"&lt;&gt;Complete")=0,$A23&amp;"|"&amp;$B23,""),"")</f>
        <v/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465</v>
      </c>
      <c r="B24" s="2" t="s">
        <v>140</v>
      </c>
      <c r="C24" s="3" t="s">
        <v>467</v>
      </c>
      <c r="D24" s="3" t="s">
        <v>473</v>
      </c>
      <c r="E24" s="2"/>
      <c r="F24" s="2"/>
      <c r="G24" s="5">
        <v>45400</v>
      </c>
      <c r="H24" s="5">
        <v>45400</v>
      </c>
      <c r="I24" s="2" t="s">
        <v>31</v>
      </c>
      <c r="J24" s="6">
        <f t="shared" si="1"/>
        <v>0</v>
      </c>
      <c r="K24" s="4" t="str">
        <f t="shared" ca="1" si="2"/>
        <v>-</v>
      </c>
      <c r="L24" s="7" t="str">
        <f>IF(I24="Completed","0",IF($H24="","",$H24-'[2]Read Me'!$B$4))</f>
        <v>0</v>
      </c>
      <c r="M24" s="4" t="str">
        <f>IF($I24="Complete","Green",IF($H24="","Amber",IF($H24&lt;'[2]Read Me'!$B$4,"Red",IF($H24-'[2]Read Me'!$B$4&lt;=21,"Amber","Green"))))</f>
        <v>Red</v>
      </c>
      <c r="N24" s="3"/>
      <c r="O24" t="str">
        <f>IF($I24&lt;&gt;"Complete",IF(COUNTIFS($A$4:$A23,$A24,$B$4:$B23,$B24,$I$4:$I23,"&lt;&gt;Complete")=0,$A24&amp;"|"&amp;$B24,""),"")</f>
        <v/>
      </c>
      <c r="P24" t="str">
        <f ca="1">IF($K24="Yes",COUNTIFS($K$4:$K24,"Yes"),"")</f>
        <v/>
      </c>
      <c r="Q24">
        <f t="shared" ca="1" si="3"/>
        <v>0</v>
      </c>
      <c r="R24" t="str">
        <f ca="1">IF($Q24=1,SUM($Q$4:$Q24),"")</f>
        <v/>
      </c>
    </row>
    <row r="25" spans="1:18" ht="33.75" customHeight="1" x14ac:dyDescent="0.3">
      <c r="A25" s="2" t="s">
        <v>465</v>
      </c>
      <c r="B25" s="2" t="s">
        <v>140</v>
      </c>
      <c r="C25" s="3" t="s">
        <v>467</v>
      </c>
      <c r="D25" s="3" t="s">
        <v>474</v>
      </c>
      <c r="E25" s="2"/>
      <c r="F25" s="2"/>
      <c r="G25" s="5">
        <v>45433</v>
      </c>
      <c r="H25" s="5">
        <v>45433</v>
      </c>
      <c r="I25" s="2" t="s">
        <v>31</v>
      </c>
      <c r="J25" s="6">
        <f t="shared" si="1"/>
        <v>0</v>
      </c>
      <c r="K25" s="4" t="str">
        <f t="shared" ca="1" si="2"/>
        <v>-</v>
      </c>
      <c r="L25" s="7" t="str">
        <f>IF(I25="Completed","0",IF($H25="","",$H25-'[2]Read Me'!$B$4))</f>
        <v>0</v>
      </c>
      <c r="M25" s="4" t="str">
        <f>IF($I25="Complete","Green",IF($H25="","Amber",IF($H25&lt;'[2]Read Me'!$B$4,"Red",IF($H25-'[2]Read Me'!$B$4&lt;=21,"Amber","Green"))))</f>
        <v>Red</v>
      </c>
      <c r="N25" s="3"/>
      <c r="O25" t="str">
        <f>IF($I25&lt;&gt;"Complete",IF(COUNTIFS($A$4:$A24,$A25,$B$4:$B24,$B25,$I$4:$I24,"&lt;&gt;Complete")=0,$A25&amp;"|"&amp;$B25,""),"")</f>
        <v/>
      </c>
      <c r="P25" t="str">
        <f ca="1">IF($K25="Yes",COUNTIFS($K$4:$K25,"Yes"),"")</f>
        <v/>
      </c>
      <c r="Q25">
        <f t="shared" ca="1" si="3"/>
        <v>0</v>
      </c>
      <c r="R25" t="str">
        <f ca="1">IF($Q25=1,SUM($Q$4:$Q25),"")</f>
        <v/>
      </c>
    </row>
    <row r="26" spans="1:18" ht="33.75" customHeight="1" x14ac:dyDescent="0.3">
      <c r="A26" s="2" t="s">
        <v>465</v>
      </c>
      <c r="B26" s="2" t="s">
        <v>140</v>
      </c>
      <c r="C26" s="3" t="s">
        <v>467</v>
      </c>
      <c r="D26" s="3" t="s">
        <v>475</v>
      </c>
      <c r="E26" s="2"/>
      <c r="F26" s="2"/>
      <c r="G26" s="5">
        <v>45691.541666666664</v>
      </c>
      <c r="H26" s="5">
        <v>45691.541666666664</v>
      </c>
      <c r="I26" s="2" t="s">
        <v>31</v>
      </c>
      <c r="J26" s="6">
        <f t="shared" si="1"/>
        <v>0</v>
      </c>
      <c r="K26" s="4" t="str">
        <f t="shared" ca="1" si="2"/>
        <v>-</v>
      </c>
      <c r="L26" s="7" t="str">
        <f>IF(I26="Completed","0",IF($H26="","",$H26-'[2]Read Me'!$B$4))</f>
        <v>0</v>
      </c>
      <c r="M26" s="4" t="str">
        <f>IF($I26="Complete","Green",IF($H26="","Amber",IF($H26&lt;'[2]Read Me'!$B$4,"Red",IF($H26-'[2]Read Me'!$B$4&lt;=21,"Amber","Green"))))</f>
        <v>Red</v>
      </c>
      <c r="N26" s="3"/>
      <c r="O26" t="str">
        <f>IF($I26&lt;&gt;"Complete",IF(COUNTIFS($A$4:$A25,$A26,$B$4:$B25,$B26,$I$4:$I25,"&lt;&gt;Complete")=0,$A26&amp;"|"&amp;$B26,""),"")</f>
        <v/>
      </c>
      <c r="P26" t="str">
        <f ca="1">IF($K26="Yes",COUNTIFS($K$4:$K26,"Yes"),"")</f>
        <v/>
      </c>
      <c r="Q26">
        <f t="shared" ca="1" si="3"/>
        <v>0</v>
      </c>
      <c r="R26" t="str">
        <f ca="1">IF($Q26=1,SUM($Q$4:$Q26),"")</f>
        <v/>
      </c>
    </row>
    <row r="27" spans="1:18" ht="33.75" customHeight="1" x14ac:dyDescent="0.3">
      <c r="A27" s="2" t="s">
        <v>465</v>
      </c>
      <c r="B27" s="2" t="s">
        <v>171</v>
      </c>
      <c r="C27" s="3"/>
      <c r="D27" s="3"/>
      <c r="E27" s="2"/>
      <c r="F27" s="2"/>
      <c r="G27" s="5">
        <v>46008</v>
      </c>
      <c r="H27" s="5">
        <v>46006</v>
      </c>
      <c r="I27" s="2"/>
      <c r="J27" s="6">
        <f t="shared" si="1"/>
        <v>-2</v>
      </c>
      <c r="K27" s="4" t="str">
        <f t="shared" ca="1" si="2"/>
        <v/>
      </c>
      <c r="L27" s="7">
        <f>IF(I27="Completed","0",IF($H27="","",$H27-'[2]Read Me'!$B$4))</f>
        <v>-181</v>
      </c>
      <c r="M27" s="4" t="str">
        <f>IF($I27="Complete","Green",IF($H27="","Amber",IF($H27&lt;'[2]Read Me'!$B$4,"Red",IF($H27-'[2]Read Me'!$B$4&lt;=21,"Amber","Green"))))</f>
        <v>Red</v>
      </c>
      <c r="N27" s="3"/>
      <c r="O27" t="str">
        <f>IF($I27&lt;&gt;"Complete",IF(COUNTIFS($A$4:$A26,$A27,$B$4:$B26,$B27,$I$4:$I26,"&lt;&gt;Complete")=0,$A27&amp;"|"&amp;$B27,""),"")</f>
        <v>Park 226|Infrastructure</v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465</v>
      </c>
      <c r="B28" s="2" t="s">
        <v>171</v>
      </c>
      <c r="C28" s="3" t="s">
        <v>476</v>
      </c>
      <c r="D28" s="3" t="s">
        <v>78</v>
      </c>
      <c r="E28" s="2"/>
      <c r="F28" s="2"/>
      <c r="G28" s="5" t="s">
        <v>469</v>
      </c>
      <c r="H28" s="5"/>
      <c r="I28" s="2" t="s">
        <v>17</v>
      </c>
      <c r="J28" s="6" t="str">
        <f t="shared" si="1"/>
        <v/>
      </c>
      <c r="K28" s="4" t="str">
        <f t="shared" ca="1" si="2"/>
        <v/>
      </c>
      <c r="L28" s="7" t="str">
        <f>IF(I28="Completed","0",IF($H28="","",$H28-'[2]Read Me'!$B$4))</f>
        <v/>
      </c>
      <c r="M28" s="4" t="str">
        <f>IF($I28="Complete","Green",IF($H28="","Amber",IF($H28&lt;'[2]Read Me'!$B$4,"Red",IF($H28-'[2]Read Me'!$B$4&lt;=21,"Amber","Green"))))</f>
        <v>Amber</v>
      </c>
      <c r="N28" s="3"/>
      <c r="O28" t="str">
        <f>IF($I28&lt;&gt;"Complete",IF(COUNTIFS($A$4:$A27,$A28,$B$4:$B27,$B28,$I$4:$I27,"&lt;&gt;Complete")=0,$A28&amp;"|"&amp;$B28,""),"")</f>
        <v/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465</v>
      </c>
      <c r="B29" s="2" t="s">
        <v>171</v>
      </c>
      <c r="C29" s="3" t="s">
        <v>476</v>
      </c>
      <c r="D29" s="3" t="s">
        <v>408</v>
      </c>
      <c r="E29" s="2"/>
      <c r="F29" s="2"/>
      <c r="G29" s="5">
        <v>44770</v>
      </c>
      <c r="H29" s="5">
        <v>44770</v>
      </c>
      <c r="I29" s="2" t="s">
        <v>31</v>
      </c>
      <c r="J29" s="6">
        <f t="shared" si="1"/>
        <v>0</v>
      </c>
      <c r="K29" s="4" t="str">
        <f t="shared" ca="1" si="2"/>
        <v>-</v>
      </c>
      <c r="L29" s="7" t="str">
        <f>IF(I29="Completed","0",IF($H29="","",$H29-'[2]Read Me'!$B$4))</f>
        <v>0</v>
      </c>
      <c r="M29" s="4" t="str">
        <f>IF($I29="Complete","Green",IF($H29="","Amber",IF($H29&lt;'[2]Read Me'!$B$4,"Red",IF($H29-'[2]Read Me'!$B$4&lt;=21,"Amber","Green"))))</f>
        <v>Red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465</v>
      </c>
      <c r="B30" s="2" t="s">
        <v>171</v>
      </c>
      <c r="C30" s="3" t="s">
        <v>476</v>
      </c>
      <c r="D30" s="3" t="s">
        <v>58</v>
      </c>
      <c r="E30" s="2"/>
      <c r="F30" s="2"/>
      <c r="G30" s="5">
        <v>44784</v>
      </c>
      <c r="H30" s="5">
        <v>44784</v>
      </c>
      <c r="I30" s="2" t="s">
        <v>31</v>
      </c>
      <c r="J30" s="6">
        <f t="shared" si="1"/>
        <v>0</v>
      </c>
      <c r="K30" s="4" t="str">
        <f t="shared" ca="1" si="2"/>
        <v>-</v>
      </c>
      <c r="L30" s="7" t="str">
        <f>IF(I30="Completed","0",IF($H30="","",$H30-'[2]Read Me'!$B$4))</f>
        <v>0</v>
      </c>
      <c r="M30" s="4" t="str">
        <f>IF($I30="Complete","Green",IF($H30="","Amber",IF($H30&lt;'[2]Read Me'!$B$4,"Red",IF($H30-'[2]Read Me'!$B$4&lt;=21,"Amber","Green"))))</f>
        <v>Red</v>
      </c>
      <c r="N30" s="3"/>
      <c r="O30" t="str">
        <f>IF($I30&lt;&gt;"Complete",IF(COUNTIFS($A$4:$A29,$A30,$B$4:$B29,$B30,$I$4:$I29,"&lt;&gt;Complete")=0,$A30&amp;"|"&amp;$B30,""),"")</f>
        <v/>
      </c>
      <c r="P30" t="str">
        <f ca="1">IF($K30="Yes",COUNTIFS($K$4:$K30,"Yes"),"")</f>
        <v/>
      </c>
      <c r="Q30">
        <f t="shared" ca="1" si="3"/>
        <v>0</v>
      </c>
      <c r="R30" t="str">
        <f ca="1">IF($Q30=1,SUM($Q$4:$Q30),"")</f>
        <v/>
      </c>
    </row>
    <row r="31" spans="1:18" ht="14.25" customHeight="1" x14ac:dyDescent="0.3">
      <c r="A31" s="2" t="s">
        <v>465</v>
      </c>
      <c r="B31" s="2" t="s">
        <v>171</v>
      </c>
      <c r="C31" s="3" t="s">
        <v>476</v>
      </c>
      <c r="D31" s="3" t="s">
        <v>397</v>
      </c>
      <c r="E31" s="2"/>
      <c r="F31" s="2"/>
      <c r="G31" s="5">
        <v>45187</v>
      </c>
      <c r="H31" s="5">
        <v>45187</v>
      </c>
      <c r="I31" s="2" t="s">
        <v>31</v>
      </c>
      <c r="J31" s="6">
        <f t="shared" si="1"/>
        <v>0</v>
      </c>
      <c r="K31" s="4" t="str">
        <f t="shared" ca="1" si="2"/>
        <v>-</v>
      </c>
      <c r="L31" s="7" t="str">
        <f>IF(I31="Completed","0",IF($H31="","",$H31-'[2]Read Me'!$B$4))</f>
        <v>0</v>
      </c>
      <c r="M31" s="4" t="str">
        <f>IF($I31="Complete","Green",IF($H31="","Amber",IF($H31&lt;'[2]Read Me'!$B$4,"Red",IF($H31-'[2]Read Me'!$B$4&lt;=21,"Amber","Green"))))</f>
        <v>Red</v>
      </c>
      <c r="N31" s="3"/>
      <c r="O31" t="str">
        <f>IF($I31&lt;&gt;"Complete",IF(COUNTIFS($A$4:$A30,$A31,$B$4:$B30,$B31,$I$4:$I30,"&lt;&gt;Complete")=0,$A31&amp;"|"&amp;$B31,""),"")</f>
        <v/>
      </c>
      <c r="P31" t="str">
        <f ca="1">IF($K31="Yes",COUNTIFS($K$4:$K31,"Yes"),"")</f>
        <v/>
      </c>
      <c r="Q31">
        <f t="shared" ca="1" si="3"/>
        <v>0</v>
      </c>
      <c r="R31" t="str">
        <f ca="1">IF($Q31=1,SUM($Q$4:$Q31),"")</f>
        <v/>
      </c>
    </row>
    <row r="32" spans="1:18" ht="14.25" customHeight="1" x14ac:dyDescent="0.3">
      <c r="A32" s="2" t="s">
        <v>465</v>
      </c>
      <c r="B32" s="2" t="s">
        <v>171</v>
      </c>
      <c r="C32" s="3" t="s">
        <v>476</v>
      </c>
      <c r="D32" s="3" t="s">
        <v>58</v>
      </c>
      <c r="E32" s="2"/>
      <c r="F32" s="2"/>
      <c r="G32" s="5">
        <v>45194</v>
      </c>
      <c r="H32" s="5">
        <v>45194</v>
      </c>
      <c r="I32" s="2" t="s">
        <v>31</v>
      </c>
      <c r="J32" s="6">
        <f t="shared" si="1"/>
        <v>0</v>
      </c>
      <c r="K32" s="4" t="str">
        <f t="shared" ca="1" si="2"/>
        <v>-</v>
      </c>
      <c r="L32" s="7" t="str">
        <f>IF(I32="Completed","0",IF($H32="","",$H32-'[2]Read Me'!$B$4))</f>
        <v>0</v>
      </c>
      <c r="M32" s="4" t="str">
        <f>IF($I32="Complete","Green",IF($H32="","Amber",IF($H32&lt;'[2]Read Me'!$B$4,"Red",IF($H32-'[2]Read Me'!$B$4&lt;=21,"Amber","Green"))))</f>
        <v>Red</v>
      </c>
      <c r="N32" s="3"/>
      <c r="O32" t="str">
        <f>IF($I32&lt;&gt;"Complete",IF(COUNTIFS($A$4:$A31,$A32,$B$4:$B31,$B32,$I$4:$I31,"&lt;&gt;Complete")=0,$A32&amp;"|"&amp;$B32,""),"")</f>
        <v/>
      </c>
      <c r="P32" t="str">
        <f ca="1">IF($K32="Yes",COUNTIFS($K$4:$K32,"Yes"),"")</f>
        <v/>
      </c>
      <c r="Q32">
        <f t="shared" ca="1" si="3"/>
        <v>0</v>
      </c>
      <c r="R32" t="str">
        <f ca="1">IF($Q32=1,SUM($Q$4:$Q32),"")</f>
        <v/>
      </c>
    </row>
    <row r="33" spans="1:18" ht="14.25" customHeight="1" x14ac:dyDescent="0.3">
      <c r="A33" s="2" t="s">
        <v>465</v>
      </c>
      <c r="B33" s="2" t="s">
        <v>171</v>
      </c>
      <c r="C33" s="3" t="s">
        <v>476</v>
      </c>
      <c r="D33" s="3" t="s">
        <v>477</v>
      </c>
      <c r="E33" s="2"/>
      <c r="F33" s="2"/>
      <c r="G33" s="5">
        <v>45288</v>
      </c>
      <c r="H33" s="5">
        <v>45288</v>
      </c>
      <c r="I33" s="2" t="s">
        <v>31</v>
      </c>
      <c r="J33" s="6">
        <f t="shared" si="1"/>
        <v>0</v>
      </c>
      <c r="K33" s="4" t="str">
        <f t="shared" ca="1" si="2"/>
        <v>-</v>
      </c>
      <c r="L33" s="7" t="str">
        <f>IF(I33="Completed","0",IF($H33="","",$H33-'[2]Read Me'!$B$4))</f>
        <v>0</v>
      </c>
      <c r="M33" s="4" t="str">
        <f>IF($I33="Complete","Green",IF($H33="","Amber",IF($H33&lt;'[2]Read Me'!$B$4,"Red",IF($H33-'[2]Read Me'!$B$4&lt;=21,"Amber","Green"))))</f>
        <v>Red</v>
      </c>
      <c r="N33" s="3"/>
      <c r="O33" t="str">
        <f>IF($I33&lt;&gt;"Complete",IF(COUNTIFS($A$4:$A32,$A33,$B$4:$B32,$B33,$I$4:$I32,"&lt;&gt;Complete")=0,$A33&amp;"|"&amp;$B33,""),"")</f>
        <v/>
      </c>
      <c r="P33" t="str">
        <f ca="1">IF($K33="Yes",COUNTIFS($K$4:$K33,"Yes"),"")</f>
        <v/>
      </c>
      <c r="Q33">
        <f t="shared" ca="1" si="3"/>
        <v>0</v>
      </c>
      <c r="R33" t="str">
        <f ca="1">IF($Q33=1,SUM($Q$4:$Q33),"")</f>
        <v/>
      </c>
    </row>
    <row r="34" spans="1:18" ht="14.25" customHeight="1" x14ac:dyDescent="0.3">
      <c r="A34" s="2" t="s">
        <v>465</v>
      </c>
      <c r="B34" s="2" t="s">
        <v>171</v>
      </c>
      <c r="C34" s="3" t="s">
        <v>476</v>
      </c>
      <c r="D34" s="3" t="s">
        <v>58</v>
      </c>
      <c r="E34" s="2"/>
      <c r="F34" s="2"/>
      <c r="G34" s="5">
        <v>45295</v>
      </c>
      <c r="H34" s="5">
        <v>45295</v>
      </c>
      <c r="I34" s="2" t="s">
        <v>31</v>
      </c>
      <c r="J34" s="6">
        <f t="shared" si="1"/>
        <v>0</v>
      </c>
      <c r="K34" s="4" t="str">
        <f t="shared" ca="1" si="2"/>
        <v>-</v>
      </c>
      <c r="L34" s="7" t="str">
        <f>IF(I34="Completed","0",IF($H34="","",$H34-'[2]Read Me'!$B$4))</f>
        <v>0</v>
      </c>
      <c r="M34" s="4" t="str">
        <f>IF($I34="Complete","Green",IF($H34="","Amber",IF($H34&lt;'[2]Read Me'!$B$4,"Red",IF($H34-'[2]Read Me'!$B$4&lt;=21,"Amber","Green"))))</f>
        <v>Red</v>
      </c>
      <c r="N34" s="3"/>
      <c r="O34" t="str">
        <f>IF($I34&lt;&gt;"Complete",IF(COUNTIFS($A$4:$A33,$A34,$B$4:$B33,$B34,$I$4:$I33,"&lt;&gt;Complete")=0,$A34&amp;"|"&amp;$B34,""),"")</f>
        <v/>
      </c>
      <c r="P34" t="str">
        <f ca="1">IF($K34="Yes",COUNTIFS($K$4:$K34,"Yes"),"")</f>
        <v/>
      </c>
      <c r="Q34">
        <f t="shared" ca="1" si="3"/>
        <v>0</v>
      </c>
      <c r="R34" t="str">
        <f ca="1">IF($Q34=1,SUM($Q$4:$Q34),"")</f>
        <v/>
      </c>
    </row>
    <row r="35" spans="1:18" ht="14.25" customHeight="1" x14ac:dyDescent="0.3">
      <c r="A35" s="2" t="s">
        <v>465</v>
      </c>
      <c r="B35" s="2" t="s">
        <v>171</v>
      </c>
      <c r="C35" s="3" t="s">
        <v>476</v>
      </c>
      <c r="D35" s="3" t="s">
        <v>478</v>
      </c>
      <c r="E35" s="2"/>
      <c r="F35" s="2"/>
      <c r="G35" s="5">
        <v>45734.791666666664</v>
      </c>
      <c r="H35" s="5">
        <v>45734.791666666664</v>
      </c>
      <c r="I35" s="2" t="s">
        <v>31</v>
      </c>
      <c r="J35" s="6">
        <f t="shared" si="1"/>
        <v>0</v>
      </c>
      <c r="K35" s="4" t="str">
        <f t="shared" ca="1" si="2"/>
        <v>-</v>
      </c>
      <c r="L35" s="7" t="str">
        <f>IF(I35="Completed","0",IF($H35="","",$H35-'[2]Read Me'!$B$4))</f>
        <v>0</v>
      </c>
      <c r="M35" s="4" t="str">
        <f>IF($I35="Complete","Green",IF($H35="","Amber",IF($H35&lt;'[2]Read Me'!$B$4,"Red",IF($H35-'[2]Read Me'!$B$4&lt;=21,"Amber","Green"))))</f>
        <v>Red</v>
      </c>
      <c r="N35" s="3"/>
      <c r="O35" t="str">
        <f>IF($I35&lt;&gt;"Complete",IF(COUNTIFS($A$4:$A34,$A35,$B$4:$B34,$B35,$I$4:$I34,"&lt;&gt;Complete")=0,$A35&amp;"|"&amp;$B35,""),"")</f>
        <v/>
      </c>
      <c r="P35" t="str">
        <f ca="1">IF($K35="Yes",COUNTIFS($K$4:$K35,"Yes"),"")</f>
        <v/>
      </c>
      <c r="Q35">
        <f t="shared" ca="1" si="3"/>
        <v>0</v>
      </c>
      <c r="R35" t="str">
        <f ca="1">IF($Q35=1,SUM($Q$4:$Q35),"")</f>
        <v/>
      </c>
    </row>
    <row r="36" spans="1:18" ht="14.25" customHeight="1" x14ac:dyDescent="0.3">
      <c r="A36" s="2" t="s">
        <v>465</v>
      </c>
      <c r="B36" s="2" t="s">
        <v>171</v>
      </c>
      <c r="C36" s="3" t="s">
        <v>476</v>
      </c>
      <c r="D36" s="3" t="s">
        <v>431</v>
      </c>
      <c r="E36" s="2"/>
      <c r="F36" s="2"/>
      <c r="G36" s="5">
        <v>45932</v>
      </c>
      <c r="H36" s="5">
        <v>45986</v>
      </c>
      <c r="I36" s="2" t="s">
        <v>31</v>
      </c>
      <c r="J36" s="6">
        <f t="shared" si="1"/>
        <v>54</v>
      </c>
      <c r="K36" s="4" t="str">
        <f t="shared" ca="1" si="2"/>
        <v>-</v>
      </c>
      <c r="L36" s="7" t="str">
        <f>IF(I36="Completed","0",IF($H36="","",$H36-'[2]Read Me'!$B$4))</f>
        <v>0</v>
      </c>
      <c r="M36" s="4" t="str">
        <f>IF($I36="Complete","Green",IF($H36="","Amber",IF($H36&lt;'[2]Read Me'!$B$4,"Red",IF($H36-'[2]Read Me'!$B$4&lt;=21,"Amber","Green"))))</f>
        <v>Red</v>
      </c>
      <c r="N36" s="3"/>
      <c r="O36" t="str">
        <f>IF($I36&lt;&gt;"Complete",IF(COUNTIFS($A$4:$A35,$A36,$B$4:$B35,$B36,$I$4:$I35,"&lt;&gt;Complete")=0,$A36&amp;"|"&amp;$B36,""),"")</f>
        <v/>
      </c>
      <c r="P36" t="str">
        <f ca="1">IF($K36="Yes",COUNTIFS($K$4:$K36,"Yes"),"")</f>
        <v/>
      </c>
      <c r="Q36">
        <f t="shared" ca="1" si="3"/>
        <v>0</v>
      </c>
      <c r="R36" t="str">
        <f ca="1">IF($Q36=1,SUM($Q$4:$Q36),"")</f>
        <v/>
      </c>
    </row>
    <row r="37" spans="1:18" ht="14.25" customHeight="1" x14ac:dyDescent="0.3">
      <c r="A37" s="2" t="s">
        <v>465</v>
      </c>
      <c r="B37" s="2" t="s">
        <v>171</v>
      </c>
      <c r="C37" s="3" t="s">
        <v>476</v>
      </c>
      <c r="D37" s="3" t="s">
        <v>479</v>
      </c>
      <c r="E37" s="2"/>
      <c r="F37" s="2"/>
      <c r="G37" s="5"/>
      <c r="H37" s="5">
        <v>46006</v>
      </c>
      <c r="I37" s="2" t="s">
        <v>31</v>
      </c>
      <c r="J37" s="6" t="str">
        <f t="shared" si="1"/>
        <v/>
      </c>
      <c r="K37" s="4" t="str">
        <f t="shared" ca="1" si="2"/>
        <v>-</v>
      </c>
      <c r="L37" s="7" t="str">
        <f>IF(I37="Completed","0",IF($H37="","",$H37-'[2]Read Me'!$B$4))</f>
        <v>0</v>
      </c>
      <c r="M37" s="4" t="str">
        <f>IF($I37="Complete","Green",IF($H37="","Amber",IF($H37&lt;'[2]Read Me'!$B$4,"Red",IF($H37-'[2]Read Me'!$B$4&lt;=21,"Amber","Green"))))</f>
        <v>Red</v>
      </c>
      <c r="N37" s="3"/>
      <c r="O37" t="str">
        <f>IF($I37&lt;&gt;"Complete",IF(COUNTIFS($A$4:$A36,$A37,$B$4:$B36,$B37,$I$4:$I36,"&lt;&gt;Complete")=0,$A37&amp;"|"&amp;$B37,""),"")</f>
        <v/>
      </c>
      <c r="P37" t="str">
        <f ca="1">IF($K37="Yes",COUNTIFS($K$4:$K37,"Yes"),"")</f>
        <v/>
      </c>
      <c r="Q37">
        <f t="shared" ca="1" si="3"/>
        <v>0</v>
      </c>
      <c r="R37" t="str">
        <f ca="1">IF($Q37=1,SUM($Q$4:$Q37),"")</f>
        <v/>
      </c>
    </row>
    <row r="38" spans="1:18" ht="14.25" customHeight="1" x14ac:dyDescent="0.3">
      <c r="A38" s="2" t="s">
        <v>465</v>
      </c>
      <c r="B38" s="2" t="s">
        <v>171</v>
      </c>
      <c r="C38" s="3" t="s">
        <v>476</v>
      </c>
      <c r="D38" s="3" t="s">
        <v>480</v>
      </c>
      <c r="E38" s="2"/>
      <c r="F38" s="2"/>
      <c r="G38" s="5">
        <v>45963</v>
      </c>
      <c r="H38" s="5">
        <v>45960</v>
      </c>
      <c r="I38" s="2" t="s">
        <v>31</v>
      </c>
      <c r="J38" s="6">
        <f t="shared" si="1"/>
        <v>-3</v>
      </c>
      <c r="K38" s="4" t="str">
        <f t="shared" ca="1" si="2"/>
        <v>-</v>
      </c>
      <c r="L38" s="7" t="str">
        <f>IF(I38="Completed","0",IF($H38="","",$H38-'[2]Read Me'!$B$4))</f>
        <v>0</v>
      </c>
      <c r="M38" s="4" t="str">
        <f>IF($I38="Complete","Green",IF($H38="","Amber",IF($H38&lt;'[2]Read Me'!$B$4,"Red",IF($H38-'[2]Read Me'!$B$4&lt;=21,"Amber","Green"))))</f>
        <v>Red</v>
      </c>
      <c r="N38" s="3"/>
      <c r="O38" t="str">
        <f>IF($I38&lt;&gt;"Complete",IF(COUNTIFS($A$4:$A37,$A38,$B$4:$B37,$B38,$I$4:$I37,"&lt;&gt;Complete")=0,$A38&amp;"|"&amp;$B38,""),"")</f>
        <v/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465</v>
      </c>
      <c r="B39" s="2" t="s">
        <v>171</v>
      </c>
      <c r="C39" s="3" t="s">
        <v>476</v>
      </c>
      <c r="D39" s="3" t="s">
        <v>58</v>
      </c>
      <c r="E39" s="2"/>
      <c r="F39" s="2"/>
      <c r="G39" s="5">
        <v>45978</v>
      </c>
      <c r="H39" s="5">
        <v>46001</v>
      </c>
      <c r="I39" s="2" t="s">
        <v>31</v>
      </c>
      <c r="J39" s="6">
        <f t="shared" si="1"/>
        <v>23</v>
      </c>
      <c r="K39" s="4" t="str">
        <f t="shared" ca="1" si="2"/>
        <v>-</v>
      </c>
      <c r="L39" s="7" t="str">
        <f>IF(I39="Completed","0",IF($H39="","",$H39-'[2]Read Me'!$B$4))</f>
        <v>0</v>
      </c>
      <c r="M39" s="4" t="str">
        <f>IF($I39="Complete","Green",IF($H39="","Amber",IF($H39&lt;'[2]Read Me'!$B$4,"Red",IF($H39-'[2]Read Me'!$B$4&lt;=21,"Amber","Green"))))</f>
        <v>Red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/>
      <c r="B40" s="2"/>
      <c r="C40" s="3"/>
      <c r="D40" s="3"/>
      <c r="E40" s="2"/>
      <c r="F40" s="2"/>
      <c r="G40" s="5">
        <v>46047</v>
      </c>
      <c r="H40" s="5">
        <v>46210</v>
      </c>
      <c r="I40" s="2"/>
      <c r="J40" s="6">
        <f t="shared" si="1"/>
        <v>163</v>
      </c>
      <c r="K40" s="4" t="str">
        <f t="shared" ca="1" si="2"/>
        <v/>
      </c>
      <c r="L40" s="7">
        <f>IF(I40="Completed","0",IF($H40="","",$H40-'[2]Read Me'!$B$4))</f>
        <v>23</v>
      </c>
      <c r="M40" s="4" t="str">
        <f>IF($I40="Complete","Green",IF($H40="","Amber",IF($H40&lt;'[2]Read Me'!$B$4,"Red",IF($H40-'[2]Read Me'!$B$4&lt;=21,"Amber","Green"))))</f>
        <v>Green</v>
      </c>
      <c r="N40" s="3"/>
      <c r="O40" t="str">
        <f>IF($I40&lt;&gt;"Complete",IF(COUNTIFS($A$4:$A39,$A40,$B$4:$B39,$B40,$I$4:$I39,"&lt;&gt;Complete")=0,$A40&amp;"|"&amp;$B40,""),"")</f>
        <v>|</v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 t="s">
        <v>465</v>
      </c>
      <c r="B41" s="2" t="s">
        <v>21</v>
      </c>
      <c r="C41" s="3" t="s">
        <v>481</v>
      </c>
      <c r="D41" s="3" t="s">
        <v>482</v>
      </c>
      <c r="E41" s="2"/>
      <c r="F41" s="2"/>
      <c r="G41" s="5">
        <v>45784</v>
      </c>
      <c r="H41" s="5">
        <v>45784</v>
      </c>
      <c r="I41" s="2" t="s">
        <v>31</v>
      </c>
      <c r="J41" s="6">
        <f t="shared" si="1"/>
        <v>0</v>
      </c>
      <c r="K41" s="4" t="str">
        <f t="shared" ca="1" si="2"/>
        <v>-</v>
      </c>
      <c r="L41" s="7" t="str">
        <f>IF(I41="Completed","0",IF($H41="","",$H41-'[2]Read Me'!$B$4))</f>
        <v>0</v>
      </c>
      <c r="M41" s="4" t="str">
        <f>IF($I41="Complete","Green",IF($H41="","Amber",IF($H41&lt;'[2]Read Me'!$B$4,"Red",IF($H41-'[2]Read Me'!$B$4&lt;=21,"Amber","Green"))))</f>
        <v>Red</v>
      </c>
      <c r="N41" s="3"/>
      <c r="O41" t="str">
        <f>IF($I41&lt;&gt;"Complete",IF(COUNTIFS($A$4:$A40,$A41,$B$4:$B40,$B41,$I$4:$I40,"&lt;&gt;Complete")=0,$A41&amp;"|"&amp;$B41,""),"")</f>
        <v>Park 226|Landscape</v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 t="s">
        <v>465</v>
      </c>
      <c r="B42" s="2" t="s">
        <v>21</v>
      </c>
      <c r="C42" s="3" t="s">
        <v>481</v>
      </c>
      <c r="D42" s="3" t="s">
        <v>58</v>
      </c>
      <c r="E42" s="2"/>
      <c r="F42" s="2"/>
      <c r="G42" s="5">
        <v>45798</v>
      </c>
      <c r="H42" s="5">
        <v>45798</v>
      </c>
      <c r="I42" s="2" t="s">
        <v>31</v>
      </c>
      <c r="J42" s="6">
        <f t="shared" si="1"/>
        <v>0</v>
      </c>
      <c r="K42" s="4" t="str">
        <f t="shared" ca="1" si="2"/>
        <v>-</v>
      </c>
      <c r="L42" s="7" t="str">
        <f>IF(I42="Completed","0",IF($H42="","",$H42-'[2]Read Me'!$B$4))</f>
        <v>0</v>
      </c>
      <c r="M42" s="4" t="str">
        <f>IF($I42="Complete","Green",IF($H42="","Amber",IF($H42&lt;'[2]Read Me'!$B$4,"Red",IF($H42-'[2]Read Me'!$B$4&lt;=21,"Amber","Green"))))</f>
        <v>Red</v>
      </c>
      <c r="N42" s="3"/>
      <c r="O42" t="str">
        <f>IF($I42&lt;&gt;"Complete",IF(COUNTIFS($A$4:$A41,$A42,$B$4:$B41,$B42,$I$4:$I41,"&lt;&gt;Complete")=0,$A42&amp;"|"&amp;$B42,""),"")</f>
        <v/>
      </c>
      <c r="P42" t="str">
        <f ca="1">IF($K42="Yes",COUNTIFS($K$4:$K42,"Yes"),"")</f>
        <v/>
      </c>
      <c r="Q42">
        <f t="shared" ca="1" si="3"/>
        <v>0</v>
      </c>
      <c r="R42" t="str">
        <f ca="1">IF($Q42=1,SUM($Q$4:$Q42),"")</f>
        <v/>
      </c>
    </row>
    <row r="43" spans="1:18" ht="22.5" customHeight="1" x14ac:dyDescent="0.3">
      <c r="A43" s="2" t="s">
        <v>465</v>
      </c>
      <c r="B43" s="2" t="s">
        <v>21</v>
      </c>
      <c r="C43" s="3" t="s">
        <v>481</v>
      </c>
      <c r="D43" s="3" t="s">
        <v>282</v>
      </c>
      <c r="E43" s="2"/>
      <c r="F43" s="2"/>
      <c r="G43" s="5">
        <v>45798</v>
      </c>
      <c r="H43" s="5">
        <v>45798</v>
      </c>
      <c r="I43" s="2" t="s">
        <v>31</v>
      </c>
      <c r="J43" s="6">
        <f t="shared" si="1"/>
        <v>0</v>
      </c>
      <c r="K43" s="4" t="str">
        <f t="shared" ca="1" si="2"/>
        <v>-</v>
      </c>
      <c r="L43" s="7" t="str">
        <f>IF(I43="Completed","0",IF($H43="","",$H43-'[2]Read Me'!$B$4))</f>
        <v>0</v>
      </c>
      <c r="M43" s="4" t="str">
        <f>IF($I43="Complete","Green",IF($H43="","Amber",IF($H43&lt;'[2]Read Me'!$B$4,"Red",IF($H43-'[2]Read Me'!$B$4&lt;=21,"Amber","Green"))))</f>
        <v>Red</v>
      </c>
      <c r="N43" s="3"/>
      <c r="O43" t="str">
        <f>IF($I43&lt;&gt;"Complete",IF(COUNTIFS($A$4:$A42,$A43,$B$4:$B42,$B43,$I$4:$I42,"&lt;&gt;Complete")=0,$A43&amp;"|"&amp;$B43,""),"")</f>
        <v/>
      </c>
      <c r="P43" t="str">
        <f ca="1">IF($K43="Yes",COUNTIFS($K$4:$K43,"Yes"),"")</f>
        <v/>
      </c>
      <c r="Q43">
        <f t="shared" ca="1" si="3"/>
        <v>0</v>
      </c>
      <c r="R43" t="str">
        <f ca="1">IF($Q43=1,SUM($Q$4:$Q43),"")</f>
        <v/>
      </c>
    </row>
    <row r="44" spans="1:18" ht="14.25" customHeight="1" x14ac:dyDescent="0.3">
      <c r="A44" s="2" t="s">
        <v>465</v>
      </c>
      <c r="B44" s="2" t="s">
        <v>21</v>
      </c>
      <c r="C44" s="3" t="s">
        <v>481</v>
      </c>
      <c r="D44" s="3" t="s">
        <v>281</v>
      </c>
      <c r="E44" s="2"/>
      <c r="F44" s="2"/>
      <c r="G44" s="5">
        <v>45812</v>
      </c>
      <c r="H44" s="5">
        <v>45812</v>
      </c>
      <c r="I44" s="4" t="s">
        <v>31</v>
      </c>
      <c r="J44" s="6">
        <f t="shared" si="1"/>
        <v>0</v>
      </c>
      <c r="K44" s="4" t="str">
        <f t="shared" ca="1" si="2"/>
        <v>-</v>
      </c>
      <c r="L44" s="7" t="str">
        <f>IF(I44="Completed","0",IF($H44="","",$H44-'[2]Read Me'!$B$4))</f>
        <v>0</v>
      </c>
      <c r="M44" s="4" t="str">
        <f>IF($I44="Complete","Green",IF($H44="","Amber",IF($H44&lt;'[2]Read Me'!$B$4,"Red",IF($H44-'[2]Read Me'!$B$4&lt;=21,"Amber","Green"))))</f>
        <v>Red</v>
      </c>
      <c r="N44" s="3"/>
      <c r="O44" t="str">
        <f>IF($I44&lt;&gt;"Complete",IF(COUNTIFS($A$4:$A43,$A44,$B$4:$B43,$B44,$I$4:$I43,"&lt;&gt;Complete")=0,$A44&amp;"|"&amp;$B44,""),"")</f>
        <v/>
      </c>
      <c r="P44" t="str">
        <f ca="1">IF($K44="Yes",COUNTIFS($K$4:$K44,"Yes"),"")</f>
        <v/>
      </c>
      <c r="Q44">
        <f t="shared" ca="1" si="3"/>
        <v>0</v>
      </c>
      <c r="R44" t="str">
        <f ca="1">IF($Q44=1,SUM($Q$4:$Q44),"")</f>
        <v/>
      </c>
    </row>
    <row r="45" spans="1:18" ht="14.25" customHeight="1" x14ac:dyDescent="0.3">
      <c r="A45" s="2" t="s">
        <v>465</v>
      </c>
      <c r="B45" s="2" t="s">
        <v>21</v>
      </c>
      <c r="C45" s="3" t="s">
        <v>481</v>
      </c>
      <c r="D45" s="3" t="s">
        <v>58</v>
      </c>
      <c r="E45" s="2"/>
      <c r="F45" s="2"/>
      <c r="G45" s="5">
        <v>45826</v>
      </c>
      <c r="H45" s="5">
        <v>45826</v>
      </c>
      <c r="I45" s="4" t="s">
        <v>31</v>
      </c>
      <c r="J45" s="6">
        <f t="shared" si="1"/>
        <v>0</v>
      </c>
      <c r="K45" s="4" t="str">
        <f t="shared" ca="1" si="2"/>
        <v>-</v>
      </c>
      <c r="L45" s="7" t="str">
        <f>IF(I45="Completed","0",IF($H45="","",$H45-'[2]Read Me'!$B$4))</f>
        <v>0</v>
      </c>
      <c r="M45" s="4" t="str">
        <f>IF($I45="Complete","Green",IF($H45="","Amber",IF($H45&lt;'[2]Read Me'!$B$4,"Red",IF($H45-'[2]Read Me'!$B$4&lt;=21,"Amber","Green"))))</f>
        <v>Red</v>
      </c>
      <c r="N45" s="3"/>
      <c r="O45" t="str">
        <f>IF($I45&lt;&gt;"Complete",IF(COUNTIFS($A$4:$A44,$A45,$B$4:$B44,$B45,$I$4:$I44,"&lt;&gt;Complete")=0,$A45&amp;"|"&amp;$B45,""),"")</f>
        <v/>
      </c>
      <c r="P45" t="str">
        <f ca="1">IF($K45="Yes",COUNTIFS($K$4:$K45,"Yes"),"")</f>
        <v/>
      </c>
      <c r="Q45">
        <f t="shared" ca="1" si="3"/>
        <v>0</v>
      </c>
      <c r="R45" t="str">
        <f ca="1">IF($Q45=1,SUM($Q$4:$Q45),"")</f>
        <v/>
      </c>
    </row>
    <row r="46" spans="1:18" ht="22.5" customHeight="1" x14ac:dyDescent="0.3">
      <c r="A46" s="2" t="s">
        <v>465</v>
      </c>
      <c r="B46" s="2" t="s">
        <v>21</v>
      </c>
      <c r="C46" s="3" t="s">
        <v>481</v>
      </c>
      <c r="D46" s="3" t="s">
        <v>282</v>
      </c>
      <c r="E46" s="2"/>
      <c r="F46" s="2"/>
      <c r="G46" s="5">
        <v>45833</v>
      </c>
      <c r="H46" s="5">
        <v>45833</v>
      </c>
      <c r="I46" s="4" t="s">
        <v>31</v>
      </c>
      <c r="J46" s="6">
        <f t="shared" si="1"/>
        <v>0</v>
      </c>
      <c r="K46" s="4" t="str">
        <f t="shared" ca="1" si="2"/>
        <v>-</v>
      </c>
      <c r="L46" s="7" t="str">
        <f>IF(I46="Completed","0",IF($H46="","",$H46-'[2]Read Me'!$B$4))</f>
        <v>0</v>
      </c>
      <c r="M46" s="4" t="str">
        <f>IF($I46="Complete","Green",IF($H46="","Amber",IF($H46&lt;'[2]Read Me'!$B$4,"Red",IF($H46-'[2]Read Me'!$B$4&lt;=21,"Amber","Green"))))</f>
        <v>Red</v>
      </c>
      <c r="N46" s="3"/>
      <c r="O46" t="str">
        <f>IF($I46&lt;&gt;"Complete",IF(COUNTIFS($A$4:$A45,$A46,$B$4:$B45,$B46,$I$4:$I45,"&lt;&gt;Complete")=0,$A46&amp;"|"&amp;$B46,""),"")</f>
        <v/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 t="s">
        <v>465</v>
      </c>
      <c r="B47" s="2" t="s">
        <v>21</v>
      </c>
      <c r="C47" s="3" t="s">
        <v>481</v>
      </c>
      <c r="D47" s="3" t="s">
        <v>410</v>
      </c>
      <c r="E47" s="2"/>
      <c r="F47" s="2"/>
      <c r="G47" s="5">
        <v>45861</v>
      </c>
      <c r="H47" s="5">
        <v>45861</v>
      </c>
      <c r="I47" s="4" t="s">
        <v>31</v>
      </c>
      <c r="J47" s="6">
        <f t="shared" si="1"/>
        <v>0</v>
      </c>
      <c r="K47" s="4" t="str">
        <f t="shared" ca="1" si="2"/>
        <v>-</v>
      </c>
      <c r="L47" s="7" t="str">
        <f>IF(I47="Completed","0",IF($H47="","",$H47-'[2]Read Me'!$B$4))</f>
        <v>0</v>
      </c>
      <c r="M47" s="4" t="str">
        <f>IF($I47="Complete","Green",IF($H47="","Amber",IF($H47&lt;'[2]Read Me'!$B$4,"Red",IF($H47-'[2]Read Me'!$B$4&lt;=21,"Amber","Green"))))</f>
        <v>Red</v>
      </c>
      <c r="N47" s="3"/>
      <c r="O47" t="str">
        <f>IF($I47&lt;&gt;"Complete",IF(COUNTIFS($A$4:$A46,$A47,$B$4:$B46,$B47,$I$4:$I46,"&lt;&gt;Complete")=0,$A47&amp;"|"&amp;$B47,""),"")</f>
        <v/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 t="s">
        <v>465</v>
      </c>
      <c r="B48" s="2" t="s">
        <v>21</v>
      </c>
      <c r="C48" s="3" t="s">
        <v>481</v>
      </c>
      <c r="D48" s="3" t="s">
        <v>58</v>
      </c>
      <c r="E48" s="2"/>
      <c r="F48" s="2"/>
      <c r="G48" s="5">
        <v>45930</v>
      </c>
      <c r="H48" s="5">
        <v>45931</v>
      </c>
      <c r="I48" s="4" t="s">
        <v>31</v>
      </c>
      <c r="J48" s="6">
        <f t="shared" si="1"/>
        <v>1</v>
      </c>
      <c r="K48" s="4" t="str">
        <f t="shared" ca="1" si="2"/>
        <v>-</v>
      </c>
      <c r="L48" s="7" t="str">
        <f>IF(I48="Completed","0",IF($H48="","",$H48-'[2]Read Me'!$B$4))</f>
        <v>0</v>
      </c>
      <c r="M48" s="4" t="str">
        <f>IF($I48="Complete","Green",IF($H48="","Amber",IF($H48&lt;'[2]Read Me'!$B$4,"Red",IF($H48-'[2]Read Me'!$B$4&lt;=21,"Amber","Green"))))</f>
        <v>Red</v>
      </c>
      <c r="N48" s="3"/>
      <c r="O48" t="str">
        <f>IF($I48&lt;&gt;"Complete",IF(COUNTIFS($A$4:$A47,$A48,$B$4:$B47,$B48,$I$4:$I47,"&lt;&gt;Complete")=0,$A48&amp;"|"&amp;$B48,""),"")</f>
        <v/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 t="s">
        <v>465</v>
      </c>
      <c r="B49" s="2" t="s">
        <v>21</v>
      </c>
      <c r="C49" s="3" t="s">
        <v>481</v>
      </c>
      <c r="D49" s="3" t="s">
        <v>411</v>
      </c>
      <c r="E49" s="2"/>
      <c r="F49" s="2"/>
      <c r="G49" s="5">
        <v>45959</v>
      </c>
      <c r="H49" s="5">
        <v>45946</v>
      </c>
      <c r="I49" s="4" t="s">
        <v>31</v>
      </c>
      <c r="J49" s="6">
        <f t="shared" si="1"/>
        <v>-13</v>
      </c>
      <c r="K49" s="4" t="str">
        <f t="shared" ca="1" si="2"/>
        <v>-</v>
      </c>
      <c r="L49" s="7" t="str">
        <f>IF(I49="Completed","0",IF($H49="","",$H49-'[2]Read Me'!$B$4))</f>
        <v>0</v>
      </c>
      <c r="M49" s="4" t="str">
        <f>IF($I49="Complete","Green",IF($H49="","Amber",IF($H49&lt;'[2]Read Me'!$B$4,"Red",IF($H49-'[2]Read Me'!$B$4&lt;=21,"Amber","Green"))))</f>
        <v>Red</v>
      </c>
      <c r="N49" s="3"/>
      <c r="O49" t="str">
        <f>IF($I49&lt;&gt;"Complete",IF(COUNTIFS($A$4:$A48,$A49,$B$4:$B48,$B49,$I$4:$I48,"&lt;&gt;Complete")=0,$A49&amp;"|"&amp;$B49,""),"")</f>
        <v/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 t="s">
        <v>465</v>
      </c>
      <c r="B50" s="2" t="s">
        <v>21</v>
      </c>
      <c r="C50" s="3" t="s">
        <v>481</v>
      </c>
      <c r="D50" s="3" t="s">
        <v>58</v>
      </c>
      <c r="E50" s="2"/>
      <c r="F50" s="2"/>
      <c r="G50" s="5">
        <v>45974</v>
      </c>
      <c r="H50" s="5">
        <v>45965</v>
      </c>
      <c r="I50" s="4" t="s">
        <v>31</v>
      </c>
      <c r="J50" s="6">
        <f t="shared" si="1"/>
        <v>-9</v>
      </c>
      <c r="K50" s="4" t="str">
        <f t="shared" ca="1" si="2"/>
        <v>-</v>
      </c>
      <c r="L50" s="7" t="str">
        <f>IF(I50="Completed","0",IF($H50="","",$H50-'[2]Read Me'!$B$4))</f>
        <v>0</v>
      </c>
      <c r="M50" s="4" t="str">
        <f>IF($I50="Complete","Green",IF($H50="","Amber",IF($H50&lt;'[2]Read Me'!$B$4,"Red",IF($H50-'[2]Read Me'!$B$4&lt;=21,"Amber","Green"))))</f>
        <v>Red</v>
      </c>
      <c r="N50" s="3"/>
      <c r="O50" t="str">
        <f>IF($I50&lt;&gt;"Complete",IF(COUNTIFS($A$4:$A49,$A50,$B$4:$B49,$B50,$I$4:$I49,"&lt;&gt;Complete")=0,$A50&amp;"|"&amp;$B50,""),"")</f>
        <v/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 t="s">
        <v>465</v>
      </c>
      <c r="B51" s="2" t="s">
        <v>21</v>
      </c>
      <c r="C51" s="3" t="s">
        <v>481</v>
      </c>
      <c r="D51" s="3" t="s">
        <v>285</v>
      </c>
      <c r="E51" s="2" t="s">
        <v>395</v>
      </c>
      <c r="F51" s="2" t="s">
        <v>182</v>
      </c>
      <c r="G51" s="5">
        <v>46002</v>
      </c>
      <c r="H51" s="5">
        <v>46203</v>
      </c>
      <c r="I51" s="4" t="s">
        <v>46</v>
      </c>
      <c r="J51" s="6">
        <f t="shared" si="1"/>
        <v>201</v>
      </c>
      <c r="K51" s="4" t="str">
        <f t="shared" ca="1" si="2"/>
        <v>Yes</v>
      </c>
      <c r="L51" s="7">
        <f>IF(I51="Completed","0",IF($H51="","",$H51-'[2]Read Me'!$B$4))</f>
        <v>16</v>
      </c>
      <c r="M51" s="4" t="str">
        <f>IF($I51="Complete","Green",IF($H51="","Amber",IF($H51&lt;'[2]Read Me'!$B$4,"Red",IF($H51-'[2]Read Me'!$B$4&lt;=21,"Amber","Green"))))</f>
        <v>Amber</v>
      </c>
      <c r="N51" s="3"/>
      <c r="O51" t="str">
        <f>IF($I51&lt;&gt;"Complete",IF(COUNTIFS($A$4:$A50,$A51,$B$4:$B50,$B51,$I$4:$I50,"&lt;&gt;Complete")=0,$A51&amp;"|"&amp;$B51,""),"")</f>
        <v/>
      </c>
      <c r="P51">
        <f ca="1">IF($K51="Yes",COUNTIFS($K$4:$K51,"Yes"),"")</f>
        <v>1</v>
      </c>
      <c r="Q51">
        <f t="shared" ca="1" si="3"/>
        <v>1</v>
      </c>
      <c r="R51">
        <f ca="1">IF($Q51=1,SUM($Q$4:$Q51),"")</f>
        <v>1</v>
      </c>
    </row>
    <row r="52" spans="1:18" ht="33.75" customHeight="1" x14ac:dyDescent="0.3">
      <c r="A52" s="2" t="s">
        <v>465</v>
      </c>
      <c r="B52" s="2" t="s">
        <v>21</v>
      </c>
      <c r="C52" s="3" t="s">
        <v>481</v>
      </c>
      <c r="D52" s="3" t="s">
        <v>58</v>
      </c>
      <c r="E52" s="2" t="s">
        <v>395</v>
      </c>
      <c r="F52" s="2"/>
      <c r="G52" s="5">
        <v>46018</v>
      </c>
      <c r="H52" s="5">
        <v>46210</v>
      </c>
      <c r="I52" s="4" t="s">
        <v>17</v>
      </c>
      <c r="J52" s="6">
        <f t="shared" si="1"/>
        <v>192</v>
      </c>
      <c r="K52" s="4" t="str">
        <f t="shared" ca="1" si="2"/>
        <v>No</v>
      </c>
      <c r="L52" s="7">
        <f>IF(I52="Completed","0",IF($H52="","",$H52-'[2]Read Me'!$B$4))</f>
        <v>23</v>
      </c>
      <c r="M52" s="4" t="str">
        <f>IF($I52="Complete","Green",IF($H52="","Amber",IF($H52&lt;'[2]Read Me'!$B$4,"Red",IF($H52-'[2]Read Me'!$B$4&lt;=21,"Amber","Green"))))</f>
        <v>Green</v>
      </c>
      <c r="N52" s="3"/>
      <c r="O52" t="str">
        <f>IF($I52&lt;&gt;"Complete",IF(COUNTIFS($A$4:$A51,$A52,$B$4:$B51,$B52,$I$4:$I51,"&lt;&gt;Complete")=0,$A52&amp;"|"&amp;$B52,""),"")</f>
        <v/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 t="s">
        <v>483</v>
      </c>
      <c r="B53" s="2" t="s">
        <v>21</v>
      </c>
      <c r="C53" s="3"/>
      <c r="D53" s="3"/>
      <c r="E53" s="2"/>
      <c r="F53" s="2"/>
      <c r="G53" s="5">
        <v>46034</v>
      </c>
      <c r="H53" s="5">
        <v>46078</v>
      </c>
      <c r="I53" s="4"/>
      <c r="J53" s="6">
        <f t="shared" si="1"/>
        <v>44</v>
      </c>
      <c r="K53" s="4" t="str">
        <f t="shared" ca="1" si="2"/>
        <v/>
      </c>
      <c r="L53" s="7">
        <f>IF(I53="Completed","0",IF($H53="","",$H53-'[2]Read Me'!$B$4))</f>
        <v>-109</v>
      </c>
      <c r="M53" s="4" t="str">
        <f>IF($I53="Complete","Green",IF($H53="","Amber",IF($H53&lt;'[2]Read Me'!$B$4,"Red",IF($H53-'[2]Read Me'!$B$4&lt;=21,"Amber","Green"))))</f>
        <v>Red</v>
      </c>
      <c r="N53" s="3"/>
      <c r="O53" t="str">
        <f>IF($I53&lt;&gt;"Complete",IF(COUNTIFS($A$4:$A52,$A53,$B$4:$B52,$B53,$I$4:$I52,"&lt;&gt;Complete")=0,$A53&amp;"|"&amp;$B53,""),"")</f>
        <v>Linear Park|Landscape</v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 t="s">
        <v>483</v>
      </c>
      <c r="B54" s="2" t="s">
        <v>21</v>
      </c>
      <c r="C54" s="3" t="s">
        <v>484</v>
      </c>
      <c r="D54" s="3" t="s">
        <v>437</v>
      </c>
      <c r="E54" s="2"/>
      <c r="F54" s="2"/>
      <c r="G54" s="5">
        <v>45770</v>
      </c>
      <c r="H54" s="5"/>
      <c r="I54" s="4" t="s">
        <v>17</v>
      </c>
      <c r="J54" s="6" t="str">
        <f t="shared" si="1"/>
        <v/>
      </c>
      <c r="K54" s="4" t="str">
        <f t="shared" ca="1" si="2"/>
        <v/>
      </c>
      <c r="L54" s="7" t="str">
        <f>IF(I54="Completed","0",IF($H54="","",$H54-'[2]Read Me'!$B$4))</f>
        <v/>
      </c>
      <c r="M54" s="4" t="str">
        <f>IF($I54="Complete","Green",IF($H54="","Amber",IF($H54&lt;'[2]Read Me'!$B$4,"Red",IF($H54-'[2]Read Me'!$B$4&lt;=21,"Amber","Green"))))</f>
        <v>Amber</v>
      </c>
      <c r="N54" s="3"/>
      <c r="O54" t="str">
        <f>IF($I54&lt;&gt;"Complete",IF(COUNTIFS($A$4:$A53,$A54,$B$4:$B53,$B54,$I$4:$I53,"&lt;&gt;Complete")=0,$A54&amp;"|"&amp;$B54,""),"")</f>
        <v/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 t="s">
        <v>483</v>
      </c>
      <c r="B55" s="2" t="s">
        <v>21</v>
      </c>
      <c r="C55" s="3" t="s">
        <v>484</v>
      </c>
      <c r="D55" s="3" t="s">
        <v>482</v>
      </c>
      <c r="E55" s="2"/>
      <c r="F55" s="2"/>
      <c r="G55" s="5">
        <v>45784</v>
      </c>
      <c r="H55" s="5">
        <v>45784</v>
      </c>
      <c r="I55" s="4" t="s">
        <v>31</v>
      </c>
      <c r="J55" s="6">
        <f t="shared" si="1"/>
        <v>0</v>
      </c>
      <c r="K55" s="4" t="str">
        <f t="shared" ca="1" si="2"/>
        <v>-</v>
      </c>
      <c r="L55" s="7" t="str">
        <f>IF(I55="Completed","0",IF($H55="","",$H55-'[2]Read Me'!$B$4))</f>
        <v>0</v>
      </c>
      <c r="M55" s="4" t="str">
        <f>IF($I55="Complete","Green",IF($H55="","Amber",IF($H55&lt;'[2]Read Me'!$B$4,"Red",IF($H55-'[2]Read Me'!$B$4&lt;=21,"Amber","Green"))))</f>
        <v>Red</v>
      </c>
      <c r="N55" s="3"/>
      <c r="O55" t="str">
        <f>IF($I55&lt;&gt;"Complete",IF(COUNTIFS($A$4:$A54,$A55,$B$4:$B54,$B55,$I$4:$I54,"&lt;&gt;Complete")=0,$A55&amp;"|"&amp;$B55,""),"")</f>
        <v/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 t="s">
        <v>483</v>
      </c>
      <c r="B56" s="2" t="s">
        <v>21</v>
      </c>
      <c r="C56" s="3" t="s">
        <v>484</v>
      </c>
      <c r="D56" s="3" t="s">
        <v>47</v>
      </c>
      <c r="E56" s="2"/>
      <c r="F56" s="2"/>
      <c r="G56" s="5">
        <v>45798</v>
      </c>
      <c r="H56" s="5">
        <v>45798</v>
      </c>
      <c r="I56" s="4" t="s">
        <v>31</v>
      </c>
      <c r="J56" s="6">
        <f t="shared" si="1"/>
        <v>0</v>
      </c>
      <c r="K56" s="4" t="str">
        <f t="shared" ca="1" si="2"/>
        <v>-</v>
      </c>
      <c r="L56" s="7" t="str">
        <f>IF(I56="Completed","0",IF($H56="","",$H56-'[2]Read Me'!$B$4))</f>
        <v>0</v>
      </c>
      <c r="M56" s="4" t="str">
        <f>IF($I56="Complete","Green",IF($H56="","Amber",IF($H56&lt;'[2]Read Me'!$B$4,"Red",IF($H56-'[2]Read Me'!$B$4&lt;=21,"Amber","Green"))))</f>
        <v>Red</v>
      </c>
      <c r="N56" s="3"/>
      <c r="O56" t="str">
        <f>IF($I56&lt;&gt;"Complete",IF(COUNTIFS($A$4:$A55,$A56,$B$4:$B55,$B56,$I$4:$I55,"&lt;&gt;Complete")=0,$A56&amp;"|"&amp;$B56,""),"")</f>
        <v/>
      </c>
      <c r="P56" t="str">
        <f ca="1">IF($K56="Yes",COUNTIFS($K$4:$K56,"Yes"),"")</f>
        <v/>
      </c>
      <c r="Q56">
        <f t="shared" ca="1" si="3"/>
        <v>0</v>
      </c>
      <c r="R56" t="str">
        <f ca="1">IF($Q56=1,SUM($Q$4:$Q56),"")</f>
        <v/>
      </c>
    </row>
    <row r="57" spans="1:18" ht="14.25" customHeight="1" x14ac:dyDescent="0.3">
      <c r="A57" s="2" t="s">
        <v>483</v>
      </c>
      <c r="B57" s="2" t="s">
        <v>21</v>
      </c>
      <c r="C57" s="3" t="s">
        <v>484</v>
      </c>
      <c r="D57" s="3" t="s">
        <v>132</v>
      </c>
      <c r="E57" s="2"/>
      <c r="F57" s="2"/>
      <c r="G57" s="5">
        <v>45798</v>
      </c>
      <c r="H57" s="5">
        <v>45798</v>
      </c>
      <c r="I57" s="4" t="s">
        <v>31</v>
      </c>
      <c r="J57" s="6">
        <f t="shared" si="1"/>
        <v>0</v>
      </c>
      <c r="K57" s="4" t="str">
        <f t="shared" ca="1" si="2"/>
        <v>-</v>
      </c>
      <c r="L57" s="7" t="str">
        <f>IF(I57="Completed","0",IF($H57="","",$H57-'[2]Read Me'!$B$4))</f>
        <v>0</v>
      </c>
      <c r="M57" s="4" t="str">
        <f>IF($I57="Complete","Green",IF($H57="","Amber",IF($H57&lt;'[2]Read Me'!$B$4,"Red",IF($H57-'[2]Read Me'!$B$4&lt;=21,"Amber","Green"))))</f>
        <v>Red</v>
      </c>
      <c r="N57" s="3"/>
      <c r="O57" t="str">
        <f>IF($I57&lt;&gt;"Complete",IF(COUNTIFS($A$4:$A56,$A57,$B$4:$B56,$B57,$I$4:$I56,"&lt;&gt;Complete")=0,$A57&amp;"|"&amp;$B57,""),"")</f>
        <v/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 t="s">
        <v>483</v>
      </c>
      <c r="B58" s="2" t="s">
        <v>21</v>
      </c>
      <c r="C58" s="3" t="s">
        <v>484</v>
      </c>
      <c r="D58" s="3" t="s">
        <v>281</v>
      </c>
      <c r="E58" s="2"/>
      <c r="F58" s="2" t="s">
        <v>189</v>
      </c>
      <c r="G58" s="5">
        <v>45812</v>
      </c>
      <c r="H58" s="5">
        <v>45812</v>
      </c>
      <c r="I58" s="4" t="s">
        <v>31</v>
      </c>
      <c r="J58" s="6">
        <f t="shared" si="1"/>
        <v>0</v>
      </c>
      <c r="K58" s="4" t="str">
        <f t="shared" ca="1" si="2"/>
        <v>-</v>
      </c>
      <c r="L58" s="7" t="str">
        <f>IF(I58="Completed","0",IF($H58="","",$H58-'[2]Read Me'!$B$4))</f>
        <v>0</v>
      </c>
      <c r="M58" s="4" t="str">
        <f>IF($I58="Complete","Green",IF($H58="","Amber",IF($H58&lt;'[2]Read Me'!$B$4,"Red",IF($H58-'[2]Read Me'!$B$4&lt;=21,"Amber","Green"))))</f>
        <v>Red</v>
      </c>
      <c r="N58" s="3"/>
      <c r="O58" t="str">
        <f>IF($I58&lt;&gt;"Complete",IF(COUNTIFS($A$4:$A57,$A58,$B$4:$B57,$B58,$I$4:$I57,"&lt;&gt;Complete")=0,$A58&amp;"|"&amp;$B58,""),"")</f>
        <v/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 t="s">
        <v>483</v>
      </c>
      <c r="B59" s="2" t="s">
        <v>21</v>
      </c>
      <c r="C59" s="3" t="s">
        <v>484</v>
      </c>
      <c r="D59" s="3" t="s">
        <v>32</v>
      </c>
      <c r="E59" s="2"/>
      <c r="F59" s="2"/>
      <c r="G59" s="5">
        <v>45826</v>
      </c>
      <c r="H59" s="5">
        <v>45826</v>
      </c>
      <c r="I59" s="4" t="s">
        <v>31</v>
      </c>
      <c r="J59" s="6">
        <f t="shared" si="1"/>
        <v>0</v>
      </c>
      <c r="K59" s="4" t="str">
        <f t="shared" ca="1" si="2"/>
        <v>-</v>
      </c>
      <c r="L59" s="7" t="str">
        <f>IF(I59="Completed","0",IF($H59="","",$H59-'[2]Read Me'!$B$4))</f>
        <v>0</v>
      </c>
      <c r="M59" s="4" t="str">
        <f>IF($I59="Complete","Green",IF($H59="","Amber",IF($H59&lt;'[2]Read Me'!$B$4,"Red",IF($H59-'[2]Read Me'!$B$4&lt;=21,"Amber","Green"))))</f>
        <v>Red</v>
      </c>
      <c r="N59" s="3"/>
      <c r="O59" t="str">
        <f>IF($I59&lt;&gt;"Complete",IF(COUNTIFS($A$4:$A58,$A59,$B$4:$B58,$B59,$I$4:$I58,"&lt;&gt;Complete")=0,$A59&amp;"|"&amp;$B59,""),"")</f>
        <v/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 t="s">
        <v>483</v>
      </c>
      <c r="B60" s="2" t="s">
        <v>21</v>
      </c>
      <c r="C60" s="3" t="s">
        <v>484</v>
      </c>
      <c r="D60" s="3" t="s">
        <v>19</v>
      </c>
      <c r="E60" s="2"/>
      <c r="F60" s="2"/>
      <c r="G60" s="5">
        <v>45833</v>
      </c>
      <c r="H60" s="5">
        <v>45833</v>
      </c>
      <c r="I60" s="4" t="s">
        <v>31</v>
      </c>
      <c r="J60" s="6">
        <f t="shared" si="1"/>
        <v>0</v>
      </c>
      <c r="K60" s="4" t="str">
        <f t="shared" ca="1" si="2"/>
        <v>-</v>
      </c>
      <c r="L60" s="7" t="str">
        <f>IF(I60="Completed","0",IF($H60="","",$H60-'[2]Read Me'!$B$4))</f>
        <v>0</v>
      </c>
      <c r="M60" s="4" t="str">
        <f>IF($I60="Complete","Green",IF($H60="","Amber",IF($H60&lt;'[2]Read Me'!$B$4,"Red",IF($H60-'[2]Read Me'!$B$4&lt;=21,"Amber","Green"))))</f>
        <v>Red</v>
      </c>
      <c r="N60" s="3"/>
      <c r="O60" t="str">
        <f>IF($I60&lt;&gt;"Complete",IF(COUNTIFS($A$4:$A59,$A60,$B$4:$B59,$B60,$I$4:$I59,"&lt;&gt;Complete")=0,$A60&amp;"|"&amp;$B60,""),"")</f>
        <v/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 t="s">
        <v>483</v>
      </c>
      <c r="B61" s="2" t="s">
        <v>21</v>
      </c>
      <c r="C61" s="3" t="s">
        <v>484</v>
      </c>
      <c r="D61" s="3" t="s">
        <v>14</v>
      </c>
      <c r="E61" s="2"/>
      <c r="F61" s="2" t="s">
        <v>189</v>
      </c>
      <c r="G61" s="5">
        <v>45861</v>
      </c>
      <c r="H61" s="5">
        <v>45861</v>
      </c>
      <c r="I61" s="4" t="s">
        <v>31</v>
      </c>
      <c r="J61" s="6">
        <f t="shared" si="1"/>
        <v>0</v>
      </c>
      <c r="K61" s="4" t="str">
        <f t="shared" ca="1" si="2"/>
        <v>-</v>
      </c>
      <c r="L61" s="7" t="str">
        <f>IF(I61="Completed","0",IF($H61="","",$H61-'[2]Read Me'!$B$4))</f>
        <v>0</v>
      </c>
      <c r="M61" s="4" t="str">
        <f>IF($I61="Complete","Green",IF($H61="","Amber",IF($H61&lt;'[2]Read Me'!$B$4,"Red",IF($H61-'[2]Read Me'!$B$4&lt;=21,"Amber","Green"))))</f>
        <v>Red</v>
      </c>
      <c r="N61" s="3"/>
      <c r="O61" t="str">
        <f>IF($I61&lt;&gt;"Complete",IF(COUNTIFS($A$4:$A60,$A61,$B$4:$B60,$B61,$I$4:$I60,"&lt;&gt;Complete")=0,$A61&amp;"|"&amp;$B61,""),"")</f>
        <v/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 t="s">
        <v>483</v>
      </c>
      <c r="B62" s="2" t="s">
        <v>21</v>
      </c>
      <c r="C62" s="3" t="s">
        <v>484</v>
      </c>
      <c r="D62" s="3" t="s">
        <v>34</v>
      </c>
      <c r="E62" s="2"/>
      <c r="F62" s="2"/>
      <c r="G62" s="5">
        <v>45875</v>
      </c>
      <c r="H62" s="5">
        <v>45875</v>
      </c>
      <c r="I62" s="4" t="s">
        <v>31</v>
      </c>
      <c r="J62" s="6">
        <f t="shared" si="1"/>
        <v>0</v>
      </c>
      <c r="K62" s="4" t="str">
        <f t="shared" ca="1" si="2"/>
        <v>-</v>
      </c>
      <c r="L62" s="7" t="str">
        <f>IF(I62="Completed","0",IF($H62="","",$H62-'[2]Read Me'!$B$4))</f>
        <v>0</v>
      </c>
      <c r="M62" s="4" t="str">
        <f>IF($I62="Complete","Green",IF($H62="","Amber",IF($H62&lt;'[2]Read Me'!$B$4,"Red",IF($H62-'[2]Read Me'!$B$4&lt;=21,"Amber","Green"))))</f>
        <v>Red</v>
      </c>
      <c r="N62" s="3"/>
      <c r="O62" t="str">
        <f>IF($I62&lt;&gt;"Complete",IF(COUNTIFS($A$4:$A61,$A62,$B$4:$B61,$B62,$I$4:$I61,"&lt;&gt;Complete")=0,$A62&amp;"|"&amp;$B62,""),"")</f>
        <v/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 t="s">
        <v>483</v>
      </c>
      <c r="B63" s="2" t="s">
        <v>21</v>
      </c>
      <c r="C63" s="3" t="s">
        <v>484</v>
      </c>
      <c r="D63" s="3" t="s">
        <v>15</v>
      </c>
      <c r="E63" s="2"/>
      <c r="F63" s="2" t="s">
        <v>189</v>
      </c>
      <c r="G63" s="5">
        <v>45942</v>
      </c>
      <c r="H63" s="5">
        <v>45942</v>
      </c>
      <c r="I63" s="4" t="s">
        <v>31</v>
      </c>
      <c r="J63" s="6">
        <f t="shared" si="1"/>
        <v>0</v>
      </c>
      <c r="K63" s="4" t="str">
        <f t="shared" ca="1" si="2"/>
        <v>-</v>
      </c>
      <c r="L63" s="7" t="str">
        <f>IF(I63="Completed","0",IF($H63="","",$H63-'[2]Read Me'!$B$4))</f>
        <v>0</v>
      </c>
      <c r="M63" s="4" t="str">
        <f>IF($I63="Complete","Green",IF($H63="","Amber",IF($H63&lt;'[2]Read Me'!$B$4,"Red",IF($H63-'[2]Read Me'!$B$4&lt;=21,"Amber","Green"))))</f>
        <v>Red</v>
      </c>
      <c r="N63" s="3"/>
      <c r="O63" t="str">
        <f>IF($I63&lt;&gt;"Complete",IF(COUNTIFS($A$4:$A62,$A63,$B$4:$B62,$B63,$I$4:$I62,"&lt;&gt;Complete")=0,$A63&amp;"|"&amp;$B63,""),"")</f>
        <v/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 t="s">
        <v>483</v>
      </c>
      <c r="B64" s="2" t="s">
        <v>21</v>
      </c>
      <c r="C64" s="3" t="s">
        <v>484</v>
      </c>
      <c r="D64" s="3" t="s">
        <v>35</v>
      </c>
      <c r="E64" s="2"/>
      <c r="F64" s="2"/>
      <c r="G64" s="5">
        <v>45957</v>
      </c>
      <c r="H64" s="5">
        <v>45957</v>
      </c>
      <c r="I64" s="4" t="s">
        <v>31</v>
      </c>
      <c r="J64" s="6">
        <f t="shared" si="1"/>
        <v>0</v>
      </c>
      <c r="K64" s="4" t="str">
        <f t="shared" ca="1" si="2"/>
        <v>-</v>
      </c>
      <c r="L64" s="7" t="str">
        <f>IF(I64="Completed","0",IF($H64="","",$H64-'[2]Read Me'!$B$4))</f>
        <v>0</v>
      </c>
      <c r="M64" s="4" t="str">
        <f>IF($I64="Complete","Green",IF($H64="","Amber",IF($H64&lt;'[2]Read Me'!$B$4,"Red",IF($H64-'[2]Read Me'!$B$4&lt;=21,"Amber","Green"))))</f>
        <v>Red</v>
      </c>
      <c r="N64" s="3"/>
      <c r="O64" t="str">
        <f>IF($I64&lt;&gt;"Complete",IF(COUNTIFS($A$4:$A63,$A64,$B$4:$B63,$B64,$I$4:$I63,"&lt;&gt;Complete")=0,$A64&amp;"|"&amp;$B64,""),"")</f>
        <v/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 t="s">
        <v>483</v>
      </c>
      <c r="B65" s="2" t="s">
        <v>21</v>
      </c>
      <c r="C65" s="3" t="s">
        <v>484</v>
      </c>
      <c r="D65" s="3" t="s">
        <v>485</v>
      </c>
      <c r="E65" s="2"/>
      <c r="F65" s="2" t="s">
        <v>189</v>
      </c>
      <c r="G65" s="5">
        <v>45984</v>
      </c>
      <c r="H65" s="5">
        <v>45991</v>
      </c>
      <c r="I65" s="4" t="s">
        <v>31</v>
      </c>
      <c r="J65" s="6">
        <f t="shared" si="1"/>
        <v>7</v>
      </c>
      <c r="K65" s="4" t="str">
        <f t="shared" ca="1" si="2"/>
        <v>-</v>
      </c>
      <c r="L65" s="7" t="str">
        <f>IF(I65="Completed","0",IF($H65="","",$H65-'[2]Read Me'!$B$4))</f>
        <v>0</v>
      </c>
      <c r="M65" s="4" t="str">
        <f>IF($I65="Complete","Green",IF($H65="","Amber",IF($H65&lt;'[2]Read Me'!$B$4,"Red",IF($H65-'[2]Read Me'!$B$4&lt;=21,"Amber","Green"))))</f>
        <v>Red</v>
      </c>
      <c r="N65" s="3"/>
      <c r="O65" t="str">
        <f>IF($I65&lt;&gt;"Complete",IF(COUNTIFS($A$4:$A64,$A65,$B$4:$B64,$B65,$I$4:$I64,"&lt;&gt;Complete")=0,$A65&amp;"|"&amp;$B65,""),"")</f>
        <v/>
      </c>
      <c r="P65" t="str">
        <f ca="1">IF($K65="Yes",COUNTIFS($K$4:$K65,"Yes"),"")</f>
        <v/>
      </c>
      <c r="Q65">
        <f t="shared" ca="1" si="3"/>
        <v>0</v>
      </c>
      <c r="R65" t="str">
        <f ca="1">IF($Q65=1,SUM($Q$4:$Q65),"")</f>
        <v/>
      </c>
    </row>
    <row r="66" spans="1:18" ht="22.5" customHeight="1" x14ac:dyDescent="0.3">
      <c r="A66" s="2" t="s">
        <v>483</v>
      </c>
      <c r="B66" s="2" t="s">
        <v>21</v>
      </c>
      <c r="C66" s="3" t="s">
        <v>484</v>
      </c>
      <c r="D66" s="3" t="s">
        <v>486</v>
      </c>
      <c r="E66" s="2"/>
      <c r="F66" s="2"/>
      <c r="G66" s="5">
        <v>45999</v>
      </c>
      <c r="H66" s="5">
        <v>46001</v>
      </c>
      <c r="I66" s="4" t="s">
        <v>31</v>
      </c>
      <c r="J66" s="6">
        <f t="shared" si="1"/>
        <v>2</v>
      </c>
      <c r="K66" s="4" t="str">
        <f t="shared" ca="1" si="2"/>
        <v>-</v>
      </c>
      <c r="L66" s="7" t="str">
        <f>IF(I66="Completed","0",IF($H66="","",$H66-'[2]Read Me'!$B$4))</f>
        <v>0</v>
      </c>
      <c r="M66" s="4" t="str">
        <f>IF($I66="Complete","Green",IF($H66="","Amber",IF($H66&lt;'[2]Read Me'!$B$4,"Red",IF($H66-'[2]Read Me'!$B$4&lt;=21,"Amber","Green"))))</f>
        <v>Red</v>
      </c>
      <c r="N66" s="3"/>
      <c r="O66" t="str">
        <f>IF($I66&lt;&gt;"Complete",IF(COUNTIFS($A$4:$A65,$A66,$B$4:$B65,$B66,$I$4:$I65,"&lt;&gt;Complete")=0,$A66&amp;"|"&amp;$B66,""),"")</f>
        <v/>
      </c>
      <c r="P66" t="str">
        <f ca="1">IF($K66="Yes",COUNTIFS($K$4:$K66,"Yes"),"")</f>
        <v/>
      </c>
      <c r="Q66">
        <f t="shared" ca="1" si="3"/>
        <v>0</v>
      </c>
      <c r="R66" t="str">
        <f ca="1">IF($Q66=1,SUM($Q$4:$Q66),"")</f>
        <v/>
      </c>
    </row>
    <row r="67" spans="1:18" ht="22.5" customHeight="1" x14ac:dyDescent="0.3">
      <c r="A67" s="2" t="s">
        <v>483</v>
      </c>
      <c r="B67" s="2" t="s">
        <v>21</v>
      </c>
      <c r="C67" s="3" t="s">
        <v>484</v>
      </c>
      <c r="D67" s="3" t="s">
        <v>487</v>
      </c>
      <c r="E67" s="2"/>
      <c r="F67" s="2" t="s">
        <v>189</v>
      </c>
      <c r="G67" s="5">
        <v>46026</v>
      </c>
      <c r="H67" s="5">
        <v>46071</v>
      </c>
      <c r="I67" s="4" t="s">
        <v>31</v>
      </c>
      <c r="J67" s="6">
        <f t="shared" si="1"/>
        <v>45</v>
      </c>
      <c r="K67" s="4" t="str">
        <f t="shared" ca="1" si="2"/>
        <v>-</v>
      </c>
      <c r="L67" s="7" t="str">
        <f>IF(I67="Completed","0",IF($H67="","",$H67-'[2]Read Me'!$B$4))</f>
        <v>0</v>
      </c>
      <c r="M67" s="4" t="str">
        <f>IF($I67="Complete","Green",IF($H67="","Amber",IF($H67&lt;'[2]Read Me'!$B$4,"Red",IF($H67-'[2]Read Me'!$B$4&lt;=21,"Amber","Green"))))</f>
        <v>Red</v>
      </c>
      <c r="N67" s="3"/>
      <c r="O67" t="str">
        <f>IF($I67&lt;&gt;"Complete",IF(COUNTIFS($A$4:$A66,$A67,$B$4:$B66,$B67,$I$4:$I66,"&lt;&gt;Complete")=0,$A67&amp;"|"&amp;$B67,""),"")</f>
        <v/>
      </c>
      <c r="P67" t="str">
        <f ca="1">IF($K67="Yes",COUNTIFS($K$4:$K67,"Yes"),"")</f>
        <v/>
      </c>
      <c r="Q67">
        <f t="shared" ca="1" si="3"/>
        <v>0</v>
      </c>
      <c r="R67" t="str">
        <f ca="1">IF($Q67=1,SUM($Q$4:$Q67),"")</f>
        <v/>
      </c>
    </row>
    <row r="68" spans="1:18" ht="22.5" customHeight="1" x14ac:dyDescent="0.3">
      <c r="A68" s="2" t="s">
        <v>483</v>
      </c>
      <c r="B68" s="2" t="s">
        <v>21</v>
      </c>
      <c r="C68" s="3" t="s">
        <v>484</v>
      </c>
      <c r="D68" s="3" t="s">
        <v>488</v>
      </c>
      <c r="E68" s="2"/>
      <c r="F68" s="2"/>
      <c r="G68" s="5">
        <v>46034</v>
      </c>
      <c r="H68" s="5">
        <v>46078</v>
      </c>
      <c r="I68" s="4" t="s">
        <v>31</v>
      </c>
      <c r="J68" s="6">
        <f t="shared" ref="J68:J131" si="4">IF(OR($G68="",$H68=""),"",$H68-$G68)</f>
        <v>44</v>
      </c>
      <c r="K68" s="4" t="str">
        <f t="shared" ref="K68:K131" ca="1" si="5">IF(C68="","",IF(H68="","",IF($I68="completed","-",IF($H68&gt;TODAY(),"No","Yes"))))</f>
        <v>-</v>
      </c>
      <c r="L68" s="7" t="str">
        <f>IF(I68="Completed","0",IF($H68="","",$H68-'[2]Read Me'!$B$4))</f>
        <v>0</v>
      </c>
      <c r="M68" s="4" t="str">
        <f>IF($I68="Complete","Green",IF($H68="","Amber",IF($H68&lt;'[2]Read Me'!$B$4,"Red",IF($H68-'[2]Read Me'!$B$4&lt;=21,"Amber","Green"))))</f>
        <v>Red</v>
      </c>
      <c r="N68" s="3"/>
      <c r="O68" t="str">
        <f>IF($I68&lt;&gt;"Complete",IF(COUNTIFS($A$4:$A67,$A68,$B$4:$B67,$B68,$I$4:$I67,"&lt;&gt;Complete")=0,$A68&amp;"|"&amp;$B68,""),"")</f>
        <v/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 t="s">
        <v>489</v>
      </c>
      <c r="B69" s="2" t="s">
        <v>148</v>
      </c>
      <c r="C69" s="3"/>
      <c r="D69" s="3"/>
      <c r="E69" s="2"/>
      <c r="F69" s="2"/>
      <c r="G69" s="5">
        <v>46352</v>
      </c>
      <c r="H69" s="5">
        <v>46390</v>
      </c>
      <c r="I69" s="4"/>
      <c r="J69" s="6">
        <f t="shared" si="4"/>
        <v>38</v>
      </c>
      <c r="K69" s="4" t="str">
        <f t="shared" ca="1" si="5"/>
        <v/>
      </c>
      <c r="L69" s="7">
        <f>IF(I69="Completed","0",IF($H69="","",$H69-'[2]Read Me'!$B$4))</f>
        <v>203</v>
      </c>
      <c r="M69" s="4" t="str">
        <f>IF($I69="Complete","Green",IF($H69="","Amber",IF($H69&lt;'[2]Read Me'!$B$4,"Red",IF($H69-'[2]Read Me'!$B$4&lt;=21,"Amber","Green"))))</f>
        <v>Green</v>
      </c>
      <c r="N69" s="3"/>
      <c r="O69" t="str">
        <f>IF($I69&lt;&gt;"Complete",IF(COUNTIFS($A$4:$A68,$A69,$B$4:$B68,$B69,$I$4:$I68,"&lt;&gt;Complete")=0,$A69&amp;"|"&amp;$B69,""),"")</f>
        <v>Community Club|General</v>
      </c>
      <c r="P69" t="str">
        <f ca="1">IF($K69="Yes",COUNTIFS($K$4:$K69,"Yes"),"")</f>
        <v/>
      </c>
      <c r="Q69">
        <f t="shared" ca="1" si="6"/>
        <v>0</v>
      </c>
      <c r="R69" t="str">
        <f ca="1">IF($Q69=1,SUM($Q$4:$Q69),"")</f>
        <v/>
      </c>
    </row>
    <row r="70" spans="1:18" ht="22.5" customHeight="1" x14ac:dyDescent="0.3">
      <c r="A70" s="2" t="s">
        <v>489</v>
      </c>
      <c r="B70" s="2" t="s">
        <v>148</v>
      </c>
      <c r="C70" s="3" t="s">
        <v>490</v>
      </c>
      <c r="D70" s="3" t="s">
        <v>98</v>
      </c>
      <c r="E70" s="2"/>
      <c r="F70" s="2"/>
      <c r="G70" s="5">
        <v>45854</v>
      </c>
      <c r="H70" s="5">
        <v>45854</v>
      </c>
      <c r="I70" s="4" t="s">
        <v>31</v>
      </c>
      <c r="J70" s="6">
        <f t="shared" si="4"/>
        <v>0</v>
      </c>
      <c r="K70" s="4" t="str">
        <f t="shared" ca="1" si="5"/>
        <v>-</v>
      </c>
      <c r="L70" s="7" t="str">
        <f>IF(I70="Completed","0",IF($H70="","",$H70-'[2]Read Me'!$B$4))</f>
        <v>0</v>
      </c>
      <c r="M70" s="4" t="str">
        <f>IF($I70="Complete","Green",IF($H70="","Amber",IF($H70&lt;'[2]Read Me'!$B$4,"Red",IF($H70-'[2]Read Me'!$B$4&lt;=21,"Amber","Green"))))</f>
        <v>Red</v>
      </c>
      <c r="N70" s="3"/>
      <c r="O70" t="str">
        <f>IF($I70&lt;&gt;"Complete",IF(COUNTIFS($A$4:$A69,$A70,$B$4:$B69,$B70,$I$4:$I69,"&lt;&gt;Complete")=0,$A70&amp;"|"&amp;$B70,""),"")</f>
        <v/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 t="s">
        <v>489</v>
      </c>
      <c r="B71" s="2" t="s">
        <v>148</v>
      </c>
      <c r="C71" s="3" t="s">
        <v>490</v>
      </c>
      <c r="D71" s="3" t="s">
        <v>47</v>
      </c>
      <c r="E71" s="2"/>
      <c r="F71" s="2"/>
      <c r="G71" s="5">
        <v>45861</v>
      </c>
      <c r="H71" s="5">
        <v>45861</v>
      </c>
      <c r="I71" s="4" t="s">
        <v>31</v>
      </c>
      <c r="J71" s="6">
        <f t="shared" si="4"/>
        <v>0</v>
      </c>
      <c r="K71" s="4" t="str">
        <f t="shared" ca="1" si="5"/>
        <v>-</v>
      </c>
      <c r="L71" s="7" t="str">
        <f>IF(I71="Completed","0",IF($H71="","",$H71-'[2]Read Me'!$B$4))</f>
        <v>0</v>
      </c>
      <c r="M71" s="4" t="str">
        <f>IF($I71="Complete","Green",IF($H71="","Amber",IF($H71&lt;'[2]Read Me'!$B$4,"Red",IF($H71-'[2]Read Me'!$B$4&lt;=21,"Amber","Green"))))</f>
        <v>Red</v>
      </c>
      <c r="N71" s="3"/>
      <c r="O71" t="str">
        <f>IF($I71&lt;&gt;"Complete",IF(COUNTIFS($A$4:$A70,$A71,$B$4:$B70,$B71,$I$4:$I70,"&lt;&gt;Complete")=0,$A71&amp;"|"&amp;$B71,""),"")</f>
        <v/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 t="s">
        <v>489</v>
      </c>
      <c r="B72" s="2" t="s">
        <v>148</v>
      </c>
      <c r="C72" s="3" t="s">
        <v>490</v>
      </c>
      <c r="D72" s="3" t="s">
        <v>18</v>
      </c>
      <c r="E72" s="2"/>
      <c r="F72" s="2"/>
      <c r="G72" s="5">
        <v>45938</v>
      </c>
      <c r="H72" s="5">
        <v>45938</v>
      </c>
      <c r="I72" s="4" t="s">
        <v>31</v>
      </c>
      <c r="J72" s="6">
        <f t="shared" si="4"/>
        <v>0</v>
      </c>
      <c r="K72" s="4" t="str">
        <f t="shared" ca="1" si="5"/>
        <v>-</v>
      </c>
      <c r="L72" s="7" t="str">
        <f>IF(I72="Completed","0",IF($H72="","",$H72-'[2]Read Me'!$B$4))</f>
        <v>0</v>
      </c>
      <c r="M72" s="4" t="str">
        <f>IF($I72="Complete","Green",IF($H72="","Amber",IF($H72&lt;'[2]Read Me'!$B$4,"Red",IF($H72-'[2]Read Me'!$B$4&lt;=21,"Amber","Green"))))</f>
        <v>Red</v>
      </c>
      <c r="N72" s="3"/>
      <c r="O72" t="str">
        <f>IF($I72&lt;&gt;"Complete",IF(COUNTIFS($A$4:$A71,$A72,$B$4:$B71,$B72,$I$4:$I71,"&lt;&gt;Complete")=0,$A72&amp;"|"&amp;$B72,""),"")</f>
        <v/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 t="s">
        <v>489</v>
      </c>
      <c r="B73" s="2" t="s">
        <v>148</v>
      </c>
      <c r="C73" s="3" t="s">
        <v>490</v>
      </c>
      <c r="D73" s="3" t="s">
        <v>32</v>
      </c>
      <c r="E73" s="2"/>
      <c r="F73" s="2"/>
      <c r="G73" s="5">
        <v>45945</v>
      </c>
      <c r="H73" s="5">
        <v>45951</v>
      </c>
      <c r="I73" s="4" t="s">
        <v>31</v>
      </c>
      <c r="J73" s="6">
        <f t="shared" si="4"/>
        <v>6</v>
      </c>
      <c r="K73" s="4" t="str">
        <f t="shared" ca="1" si="5"/>
        <v>-</v>
      </c>
      <c r="L73" s="7" t="str">
        <f>IF(I73="Completed","0",IF($H73="","",$H73-'[2]Read Me'!$B$4))</f>
        <v>0</v>
      </c>
      <c r="M73" s="4" t="str">
        <f>IF($I73="Complete","Green",IF($H73="","Amber",IF($H73&lt;'[2]Read Me'!$B$4,"Red",IF($H73-'[2]Read Me'!$B$4&lt;=21,"Amber","Green"))))</f>
        <v>Red</v>
      </c>
      <c r="N73" s="3"/>
      <c r="O73" t="str">
        <f>IF($I73&lt;&gt;"Complete",IF(COUNTIFS($A$4:$A72,$A73,$B$4:$B72,$B73,$I$4:$I72,"&lt;&gt;Complete")=0,$A73&amp;"|"&amp;$B73,""),"")</f>
        <v/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 t="s">
        <v>489</v>
      </c>
      <c r="B74" s="2" t="s">
        <v>148</v>
      </c>
      <c r="C74" s="3" t="s">
        <v>490</v>
      </c>
      <c r="D74" s="3" t="s">
        <v>19</v>
      </c>
      <c r="E74" s="2"/>
      <c r="F74" s="2"/>
      <c r="G74" s="5">
        <v>45952</v>
      </c>
      <c r="H74" s="5">
        <v>45985</v>
      </c>
      <c r="I74" s="4" t="s">
        <v>31</v>
      </c>
      <c r="J74" s="6">
        <f t="shared" si="4"/>
        <v>33</v>
      </c>
      <c r="K74" s="4" t="str">
        <f t="shared" ca="1" si="5"/>
        <v>-</v>
      </c>
      <c r="L74" s="7" t="str">
        <f>IF(I74="Completed","0",IF($H74="","",$H74-'[2]Read Me'!$B$4))</f>
        <v>0</v>
      </c>
      <c r="M74" s="4" t="str">
        <f>IF($I74="Complete","Green",IF($H74="","Amber",IF($H74&lt;'[2]Read Me'!$B$4,"Red",IF($H74-'[2]Read Me'!$B$4&lt;=21,"Amber","Green"))))</f>
        <v>Red</v>
      </c>
      <c r="N74" s="3"/>
      <c r="O74" t="str">
        <f>IF($I74&lt;&gt;"Complete",IF(COUNTIFS($A$4:$A73,$A74,$B$4:$B73,$B74,$I$4:$I73,"&lt;&gt;Complete")=0,$A74&amp;"|"&amp;$B74,""),"")</f>
        <v/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 t="s">
        <v>491</v>
      </c>
      <c r="B75" s="2" t="s">
        <v>148</v>
      </c>
      <c r="C75" s="3"/>
      <c r="D75" s="3"/>
      <c r="E75" s="2"/>
      <c r="F75" s="2"/>
      <c r="G75" s="5">
        <v>46022</v>
      </c>
      <c r="H75" s="5">
        <v>46215</v>
      </c>
      <c r="I75" s="4"/>
      <c r="J75" s="6">
        <f t="shared" si="4"/>
        <v>193</v>
      </c>
      <c r="K75" s="4" t="str">
        <f t="shared" ca="1" si="5"/>
        <v/>
      </c>
      <c r="L75" s="7">
        <f>IF(I75="Completed","0",IF($H75="","",$H75-'[2]Read Me'!$B$4))</f>
        <v>28</v>
      </c>
      <c r="M75" s="4" t="str">
        <f>IF($I75="Complete","Green",IF($H75="","Amber",IF($H75&lt;'[2]Read Me'!$B$4,"Red",IF($H75-'[2]Read Me'!$B$4&lt;=21,"Amber","Green"))))</f>
        <v>Green</v>
      </c>
      <c r="N75" s="3"/>
      <c r="O75" t="str">
        <f>IF($I75&lt;&gt;"Complete",IF(COUNTIFS($A$4:$A74,$A75,$B$4:$B74,$B75,$I$4:$I74,"&lt;&gt;Complete")=0,$A75&amp;"|"&amp;$B75,""),"")</f>
        <v>Ph.01 Community Club|General</v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 t="s">
        <v>491</v>
      </c>
      <c r="B76" s="2" t="s">
        <v>148</v>
      </c>
      <c r="C76" s="3" t="s">
        <v>492</v>
      </c>
      <c r="D76" s="3" t="s">
        <v>493</v>
      </c>
      <c r="E76" s="2"/>
      <c r="F76" s="2" t="s">
        <v>30</v>
      </c>
      <c r="G76" s="5">
        <v>45966</v>
      </c>
      <c r="H76" s="5">
        <v>45986</v>
      </c>
      <c r="I76" s="4" t="s">
        <v>31</v>
      </c>
      <c r="J76" s="6">
        <f t="shared" si="4"/>
        <v>20</v>
      </c>
      <c r="K76" s="4" t="str">
        <f t="shared" ca="1" si="5"/>
        <v>-</v>
      </c>
      <c r="L76" s="7" t="str">
        <f>IF(I76="Completed","0",IF($H76="","",$H76-'[2]Read Me'!$B$4))</f>
        <v>0</v>
      </c>
      <c r="M76" s="4" t="str">
        <f>IF($I76="Complete","Green",IF($H76="","Amber",IF($H76&lt;'[2]Read Me'!$B$4,"Red",IF($H76-'[2]Read Me'!$B$4&lt;=21,"Amber","Green"))))</f>
        <v>Red</v>
      </c>
      <c r="N76" s="3"/>
      <c r="O76" t="str">
        <f>IF($I76&lt;&gt;"Complete",IF(COUNTIFS($A$4:$A75,$A76,$B$4:$B75,$B76,$I$4:$I75,"&lt;&gt;Complete")=0,$A76&amp;"|"&amp;$B76,""),"")</f>
        <v/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 t="s">
        <v>491</v>
      </c>
      <c r="B77" s="2" t="s">
        <v>148</v>
      </c>
      <c r="C77" s="3" t="s">
        <v>492</v>
      </c>
      <c r="D77" s="3" t="s">
        <v>14</v>
      </c>
      <c r="E77" s="2"/>
      <c r="F77" s="2" t="s">
        <v>30</v>
      </c>
      <c r="G77" s="5">
        <v>45980</v>
      </c>
      <c r="H77" s="5">
        <v>45971</v>
      </c>
      <c r="I77" s="4" t="s">
        <v>31</v>
      </c>
      <c r="J77" s="6">
        <f t="shared" si="4"/>
        <v>-9</v>
      </c>
      <c r="K77" s="4" t="str">
        <f t="shared" ca="1" si="5"/>
        <v>-</v>
      </c>
      <c r="L77" s="7" t="str">
        <f>IF(I77="Completed","0",IF($H77="","",$H77-'[2]Read Me'!$B$4))</f>
        <v>0</v>
      </c>
      <c r="M77" s="4" t="str">
        <f>IF($I77="Complete","Green",IF($H77="","Amber",IF($H77&lt;'[2]Read Me'!$B$4,"Red",IF($H77-'[2]Read Me'!$B$4&lt;=21,"Amber","Green"))))</f>
        <v>Red</v>
      </c>
      <c r="N77" s="3"/>
      <c r="O77" t="str">
        <f>IF($I77&lt;&gt;"Complete",IF(COUNTIFS($A$4:$A76,$A77,$B$4:$B76,$B77,$I$4:$I76,"&lt;&gt;Complete")=0,$A77&amp;"|"&amp;$B77,""),"")</f>
        <v/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 t="s">
        <v>491</v>
      </c>
      <c r="B78" s="2" t="s">
        <v>148</v>
      </c>
      <c r="C78" s="3" t="s">
        <v>492</v>
      </c>
      <c r="D78" s="3" t="s">
        <v>34</v>
      </c>
      <c r="E78" s="2"/>
      <c r="F78" s="2"/>
      <c r="G78" s="5">
        <v>45987</v>
      </c>
      <c r="H78" s="5">
        <v>45971</v>
      </c>
      <c r="I78" s="4" t="s">
        <v>31</v>
      </c>
      <c r="J78" s="6">
        <f t="shared" si="4"/>
        <v>-16</v>
      </c>
      <c r="K78" s="4" t="str">
        <f t="shared" ca="1" si="5"/>
        <v>-</v>
      </c>
      <c r="L78" s="7" t="str">
        <f>IF(I78="Completed","0",IF($H78="","",$H78-'[2]Read Me'!$B$4))</f>
        <v>0</v>
      </c>
      <c r="M78" s="4" t="str">
        <f>IF($I78="Complete","Green",IF($H78="","Amber",IF($H78&lt;'[2]Read Me'!$B$4,"Red",IF($H78-'[2]Read Me'!$B$4&lt;=21,"Amber","Green"))))</f>
        <v>Red</v>
      </c>
      <c r="N78" s="3"/>
      <c r="O78" t="str">
        <f>IF($I78&lt;&gt;"Complete",IF(COUNTIFS($A$4:$A77,$A78,$B$4:$B77,$B78,$I$4:$I77,"&lt;&gt;Complete")=0,$A78&amp;"|"&amp;$B78,""),"")</f>
        <v/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 t="s">
        <v>491</v>
      </c>
      <c r="B79" s="2" t="s">
        <v>148</v>
      </c>
      <c r="C79" s="3" t="s">
        <v>492</v>
      </c>
      <c r="D79" s="3" t="s">
        <v>15</v>
      </c>
      <c r="E79" s="2"/>
      <c r="F79" s="2" t="s">
        <v>30</v>
      </c>
      <c r="G79" s="5">
        <v>46001</v>
      </c>
      <c r="H79" s="5">
        <v>46043</v>
      </c>
      <c r="I79" s="4" t="s">
        <v>31</v>
      </c>
      <c r="J79" s="6">
        <f t="shared" si="4"/>
        <v>42</v>
      </c>
      <c r="K79" s="4" t="str">
        <f t="shared" ca="1" si="5"/>
        <v>-</v>
      </c>
      <c r="L79" s="7" t="str">
        <f>IF(I79="Completed","0",IF($H79="","",$H79-'[2]Read Me'!$B$4))</f>
        <v>0</v>
      </c>
      <c r="M79" s="4" t="str">
        <f>IF($I79="Complete","Green",IF($H79="","Amber",IF($H79&lt;'[2]Read Me'!$B$4,"Red",IF($H79-'[2]Read Me'!$B$4&lt;=21,"Amber","Green"))))</f>
        <v>Red</v>
      </c>
      <c r="N79" s="3"/>
      <c r="O79" t="str">
        <f>IF($I79&lt;&gt;"Complete",IF(COUNTIFS($A$4:$A78,$A79,$B$4:$B78,$B79,$I$4:$I78,"&lt;&gt;Complete")=0,$A79&amp;"|"&amp;$B79,""),"")</f>
        <v/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 t="s">
        <v>491</v>
      </c>
      <c r="B80" s="2" t="s">
        <v>148</v>
      </c>
      <c r="C80" s="3" t="s">
        <v>492</v>
      </c>
      <c r="D80" s="3" t="s">
        <v>83</v>
      </c>
      <c r="E80" s="2"/>
      <c r="F80" s="2" t="s">
        <v>30</v>
      </c>
      <c r="G80" s="5">
        <v>46001</v>
      </c>
      <c r="H80" s="5">
        <v>46028</v>
      </c>
      <c r="I80" s="4" t="s">
        <v>31</v>
      </c>
      <c r="J80" s="6">
        <f t="shared" si="4"/>
        <v>27</v>
      </c>
      <c r="K80" s="4" t="str">
        <f t="shared" ca="1" si="5"/>
        <v>-</v>
      </c>
      <c r="L80" s="7" t="str">
        <f>IF(I80="Completed","0",IF($H80="","",$H80-'[2]Read Me'!$B$4))</f>
        <v>0</v>
      </c>
      <c r="M80" s="4" t="str">
        <f>IF($I80="Complete","Green",IF($H80="","Amber",IF($H80&lt;'[2]Read Me'!$B$4,"Red",IF($H80-'[2]Read Me'!$B$4&lt;=21,"Amber","Green"))))</f>
        <v>Red</v>
      </c>
      <c r="N80" s="3"/>
      <c r="O80" t="str">
        <f>IF($I80&lt;&gt;"Complete",IF(COUNTIFS($A$4:$A79,$A80,$B$4:$B79,$B80,$I$4:$I79,"&lt;&gt;Complete")=0,$A80&amp;"|"&amp;$B80,""),"")</f>
        <v/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 t="s">
        <v>491</v>
      </c>
      <c r="B81" s="2" t="s">
        <v>148</v>
      </c>
      <c r="C81" s="3" t="s">
        <v>492</v>
      </c>
      <c r="D81" s="3" t="s">
        <v>35</v>
      </c>
      <c r="E81" s="2"/>
      <c r="F81" s="2"/>
      <c r="G81" s="5">
        <v>46008</v>
      </c>
      <c r="H81" s="5">
        <v>46054</v>
      </c>
      <c r="I81" s="4" t="s">
        <v>31</v>
      </c>
      <c r="J81" s="6">
        <f t="shared" si="4"/>
        <v>46</v>
      </c>
      <c r="K81" s="4" t="str">
        <f t="shared" ca="1" si="5"/>
        <v>-</v>
      </c>
      <c r="L81" s="7" t="str">
        <f>IF(I81="Completed","0",IF($H81="","",$H81-'[2]Read Me'!$B$4))</f>
        <v>0</v>
      </c>
      <c r="M81" s="4" t="str">
        <f>IF($I81="Complete","Green",IF($H81="","Amber",IF($H81&lt;'[2]Read Me'!$B$4,"Red",IF($H81-'[2]Read Me'!$B$4&lt;=21,"Amber","Green"))))</f>
        <v>Red</v>
      </c>
      <c r="N81" s="3"/>
      <c r="O81" t="str">
        <f>IF($I81&lt;&gt;"Complete",IF(COUNTIFS($A$4:$A80,$A81,$B$4:$B80,$B81,$I$4:$I80,"&lt;&gt;Complete")=0,$A81&amp;"|"&amp;$B81,""),"")</f>
        <v/>
      </c>
      <c r="P81" t="str">
        <f ca="1">IF($K81="Yes",COUNTIFS($K$4:$K81,"Yes"),"")</f>
        <v/>
      </c>
      <c r="Q81">
        <f t="shared" ca="1" si="6"/>
        <v>0</v>
      </c>
      <c r="R81" t="str">
        <f ca="1">IF($Q81=1,SUM($Q$4:$Q81),"")</f>
        <v/>
      </c>
    </row>
    <row r="82" spans="1:18" ht="33.75" customHeight="1" x14ac:dyDescent="0.3">
      <c r="A82" s="2" t="s">
        <v>491</v>
      </c>
      <c r="B82" s="2" t="s">
        <v>148</v>
      </c>
      <c r="C82" s="3" t="s">
        <v>492</v>
      </c>
      <c r="D82" s="3" t="s">
        <v>20</v>
      </c>
      <c r="E82" s="2" t="s">
        <v>184</v>
      </c>
      <c r="F82" s="2"/>
      <c r="G82" s="5">
        <v>46015</v>
      </c>
      <c r="H82" s="5">
        <v>46215</v>
      </c>
      <c r="I82" s="4" t="s">
        <v>46</v>
      </c>
      <c r="J82" s="6">
        <f t="shared" si="4"/>
        <v>200</v>
      </c>
      <c r="K82" s="4" t="str">
        <f t="shared" ca="1" si="5"/>
        <v>No</v>
      </c>
      <c r="L82" s="7">
        <f>IF(I82="Completed","0",IF($H82="","",$H82-'[2]Read Me'!$B$4))</f>
        <v>28</v>
      </c>
      <c r="M82" s="4" t="str">
        <f>IF($I82="Complete","Green",IF($H82="","Amber",IF($H82&lt;'[2]Read Me'!$B$4,"Red",IF($H82-'[2]Read Me'!$B$4&lt;=21,"Amber","Green"))))</f>
        <v>Green</v>
      </c>
      <c r="N82" s="3"/>
      <c r="O82" t="str">
        <f>IF($I82&lt;&gt;"Complete",IF(COUNTIFS($A$4:$A81,$A82,$B$4:$B81,$B82,$I$4:$I81,"&lt;&gt;Complete")=0,$A82&amp;"|"&amp;$B82,""),"")</f>
        <v/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 t="s">
        <v>491</v>
      </c>
      <c r="B83" s="2" t="s">
        <v>148</v>
      </c>
      <c r="C83" s="3" t="s">
        <v>492</v>
      </c>
      <c r="D83" s="3" t="s">
        <v>16</v>
      </c>
      <c r="E83" s="2"/>
      <c r="F83" s="2" t="s">
        <v>30</v>
      </c>
      <c r="G83" s="5">
        <v>46015</v>
      </c>
      <c r="H83" s="5">
        <v>46099</v>
      </c>
      <c r="I83" s="4" t="s">
        <v>31</v>
      </c>
      <c r="J83" s="6">
        <f t="shared" si="4"/>
        <v>84</v>
      </c>
      <c r="K83" s="4" t="str">
        <f t="shared" ca="1" si="5"/>
        <v>-</v>
      </c>
      <c r="L83" s="7" t="str">
        <f>IF(I83="Completed","0",IF($H83="","",$H83-'[2]Read Me'!$B$4))</f>
        <v>0</v>
      </c>
      <c r="M83" s="4" t="str">
        <f>IF($I83="Complete","Green",IF($H83="","Amber",IF($H83&lt;'[2]Read Me'!$B$4,"Red",IF($H83-'[2]Read Me'!$B$4&lt;=21,"Amber","Green"))))</f>
        <v>Red</v>
      </c>
      <c r="N83" s="3"/>
      <c r="O83" t="str">
        <f>IF($I83&lt;&gt;"Complete",IF(COUNTIFS($A$4:$A82,$A83,$B$4:$B82,$B83,$I$4:$I82,"&lt;&gt;Complete")=0,$A83&amp;"|"&amp;$B83,""),"")</f>
        <v/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 t="s">
        <v>491</v>
      </c>
      <c r="B84" s="2" t="s">
        <v>148</v>
      </c>
      <c r="C84" s="3" t="s">
        <v>492</v>
      </c>
      <c r="D84" s="3" t="s">
        <v>37</v>
      </c>
      <c r="E84" s="2"/>
      <c r="F84" s="2"/>
      <c r="G84" s="5">
        <v>46022</v>
      </c>
      <c r="H84" s="5">
        <v>46120</v>
      </c>
      <c r="I84" s="4" t="s">
        <v>31</v>
      </c>
      <c r="J84" s="6">
        <f t="shared" si="4"/>
        <v>98</v>
      </c>
      <c r="K84" s="4" t="str">
        <f t="shared" ca="1" si="5"/>
        <v>-</v>
      </c>
      <c r="L84" s="7" t="str">
        <f>IF(I84="Completed","0",IF($H84="","",$H84-'[2]Read Me'!$B$4))</f>
        <v>0</v>
      </c>
      <c r="M84" s="4" t="str">
        <f>IF($I84="Complete","Green",IF($H84="","Amber",IF($H84&lt;'[2]Read Me'!$B$4,"Red",IF($H84-'[2]Read Me'!$B$4&lt;=21,"Amber","Green"))))</f>
        <v>Red</v>
      </c>
      <c r="N84" s="3"/>
      <c r="O84" t="str">
        <f>IF($I84&lt;&gt;"Complete",IF(COUNTIFS($A$4:$A83,$A84,$B$4:$B83,$B84,$I$4:$I83,"&lt;&gt;Complete")=0,$A84&amp;"|"&amp;$B84,""),"")</f>
        <v/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 t="s">
        <v>491</v>
      </c>
      <c r="B85" s="2" t="s">
        <v>49</v>
      </c>
      <c r="C85" s="3"/>
      <c r="D85" s="3"/>
      <c r="E85" s="2"/>
      <c r="F85" s="2"/>
      <c r="G85" s="5">
        <v>46113</v>
      </c>
      <c r="H85" s="5">
        <v>46225</v>
      </c>
      <c r="I85" s="4"/>
      <c r="J85" s="6">
        <f t="shared" si="4"/>
        <v>112</v>
      </c>
      <c r="K85" s="4" t="str">
        <f t="shared" ca="1" si="5"/>
        <v/>
      </c>
      <c r="L85" s="7">
        <f>IF(I85="Completed","0",IF($H85="","",$H85-'[2]Read Me'!$B$4))</f>
        <v>38</v>
      </c>
      <c r="M85" s="4" t="str">
        <f>IF($I85="Complete","Green",IF($H85="","Amber",IF($H85&lt;'[2]Read Me'!$B$4,"Red",IF($H85-'[2]Read Me'!$B$4&lt;=21,"Amber","Green"))))</f>
        <v>Green</v>
      </c>
      <c r="N85" s="3"/>
      <c r="O85" t="str">
        <f>IF($I85&lt;&gt;"Complete",IF(COUNTIFS($A$4:$A84,$A85,$B$4:$B84,$B85,$I$4:$I84,"&lt;&gt;Complete")=0,$A85&amp;"|"&amp;$B85,""),"")</f>
        <v>Ph.01 Community Club|Authorities</v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 t="s">
        <v>491</v>
      </c>
      <c r="B86" s="2" t="s">
        <v>49</v>
      </c>
      <c r="C86" s="3" t="s">
        <v>494</v>
      </c>
      <c r="D86" s="3" t="s">
        <v>495</v>
      </c>
      <c r="E86" s="2" t="s">
        <v>104</v>
      </c>
      <c r="F86" s="2"/>
      <c r="G86" s="5"/>
      <c r="H86" s="5">
        <v>46111</v>
      </c>
      <c r="I86" s="4" t="s">
        <v>31</v>
      </c>
      <c r="J86" s="6" t="str">
        <f t="shared" si="4"/>
        <v/>
      </c>
      <c r="K86" s="4" t="str">
        <f t="shared" ca="1" si="5"/>
        <v>-</v>
      </c>
      <c r="L86" s="7" t="str">
        <f>IF(I86="Completed","0",IF($H86="","",$H86-'[2]Read Me'!$B$4))</f>
        <v>0</v>
      </c>
      <c r="M86" s="4" t="str">
        <f>IF($I86="Complete","Green",IF($H86="","Amber",IF($H86&lt;'[2]Read Me'!$B$4,"Red",IF($H86-'[2]Read Me'!$B$4&lt;=21,"Amber","Green"))))</f>
        <v>Red</v>
      </c>
      <c r="N86" s="3"/>
      <c r="O86" t="str">
        <f>IF($I86&lt;&gt;"Complete",IF(COUNTIFS($A$4:$A85,$A86,$B$4:$B85,$B86,$I$4:$I85,"&lt;&gt;Complete")=0,$A86&amp;"|"&amp;$B86,""),"")</f>
        <v/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 t="s">
        <v>491</v>
      </c>
      <c r="B87" s="2" t="s">
        <v>49</v>
      </c>
      <c r="C87" s="3" t="s">
        <v>494</v>
      </c>
      <c r="D87" s="3" t="s">
        <v>51</v>
      </c>
      <c r="E87" s="2" t="s">
        <v>104</v>
      </c>
      <c r="F87" s="2"/>
      <c r="G87" s="5">
        <v>46029</v>
      </c>
      <c r="H87" s="5">
        <v>46141</v>
      </c>
      <c r="I87" s="4" t="s">
        <v>31</v>
      </c>
      <c r="J87" s="6">
        <f t="shared" si="4"/>
        <v>112</v>
      </c>
      <c r="K87" s="4" t="str">
        <f t="shared" ca="1" si="5"/>
        <v>-</v>
      </c>
      <c r="L87" s="7" t="str">
        <f>IF(I87="Completed","0",IF($H87="","",$H87-'[2]Read Me'!$B$4))</f>
        <v>0</v>
      </c>
      <c r="M87" s="4" t="str">
        <f>IF($I87="Complete","Green",IF($H87="","Amber",IF($H87&lt;'[2]Read Me'!$B$4,"Red",IF($H87-'[2]Read Me'!$B$4&lt;=21,"Amber","Green"))))</f>
        <v>Red</v>
      </c>
      <c r="N87" s="3"/>
      <c r="O87" t="str">
        <f>IF($I87&lt;&gt;"Complete",IF(COUNTIFS($A$4:$A86,$A87,$B$4:$B86,$B87,$I$4:$I86,"&lt;&gt;Complete")=0,$A87&amp;"|"&amp;$B87,""),"")</f>
        <v/>
      </c>
      <c r="P87" t="str">
        <f ca="1">IF($K87="Yes",COUNTIFS($K$4:$K87,"Yes"),"")</f>
        <v/>
      </c>
      <c r="Q87">
        <f t="shared" ca="1" si="6"/>
        <v>0</v>
      </c>
      <c r="R87" t="str">
        <f ca="1">IF($Q87=1,SUM($Q$4:$Q87),"")</f>
        <v/>
      </c>
    </row>
    <row r="88" spans="1:18" ht="33.75" customHeight="1" x14ac:dyDescent="0.3">
      <c r="A88" s="2" t="s">
        <v>496</v>
      </c>
      <c r="B88" s="2" t="s">
        <v>148</v>
      </c>
      <c r="C88" s="3" t="s">
        <v>494</v>
      </c>
      <c r="D88" s="3" t="s">
        <v>413</v>
      </c>
      <c r="E88" s="2" t="s">
        <v>104</v>
      </c>
      <c r="F88" s="2"/>
      <c r="G88" s="5">
        <v>46113</v>
      </c>
      <c r="H88" s="5">
        <v>46225</v>
      </c>
      <c r="I88" s="4" t="s">
        <v>46</v>
      </c>
      <c r="J88" s="6">
        <f t="shared" si="4"/>
        <v>112</v>
      </c>
      <c r="K88" s="4" t="str">
        <f t="shared" ca="1" si="5"/>
        <v>No</v>
      </c>
      <c r="L88" s="7">
        <f>IF(I88="Completed","0",IF($H88="","",$H88-'[2]Read Me'!$B$4))</f>
        <v>38</v>
      </c>
      <c r="M88" s="4" t="str">
        <f>IF($I88="Complete","Green",IF($H88="","Amber",IF($H88&lt;'[2]Read Me'!$B$4,"Red",IF($H88-'[2]Read Me'!$B$4&lt;=21,"Amber","Green"))))</f>
        <v>Green</v>
      </c>
      <c r="N88" s="3"/>
      <c r="O88" t="str">
        <f>IF($I88&lt;&gt;"Complete",IF(COUNTIFS($A$4:$A87,$A88,$B$4:$B87,$B88,$I$4:$I87,"&lt;&gt;Complete")=0,$A88&amp;"|"&amp;$B88,""),"")</f>
        <v>Ph.02 Community Club|General</v>
      </c>
      <c r="P88" t="str">
        <f ca="1">IF($K88="Yes",COUNTIFS($K$4:$K88,"Yes"),"")</f>
        <v/>
      </c>
      <c r="Q88">
        <f t="shared" ca="1" si="6"/>
        <v>0</v>
      </c>
      <c r="R88" t="str">
        <f ca="1">IF($Q88=1,SUM($Q$4:$Q88),"")</f>
        <v/>
      </c>
    </row>
    <row r="89" spans="1:18" ht="33.75" customHeight="1" x14ac:dyDescent="0.3">
      <c r="A89" s="2" t="s">
        <v>496</v>
      </c>
      <c r="B89" s="2" t="s">
        <v>148</v>
      </c>
      <c r="C89" s="3"/>
      <c r="D89" s="3"/>
      <c r="E89" s="2"/>
      <c r="F89" s="2"/>
      <c r="G89" s="5">
        <v>46121</v>
      </c>
      <c r="H89" s="5">
        <v>46250</v>
      </c>
      <c r="I89" s="4"/>
      <c r="J89" s="6">
        <f t="shared" si="4"/>
        <v>129</v>
      </c>
      <c r="K89" s="4" t="str">
        <f t="shared" ca="1" si="5"/>
        <v/>
      </c>
      <c r="L89" s="7">
        <f>IF(I89="Completed","0",IF($H89="","",$H89-'[2]Read Me'!$B$4))</f>
        <v>63</v>
      </c>
      <c r="M89" s="4" t="str">
        <f>IF($I89="Complete","Green",IF($H89="","Amber",IF($H89&lt;'[2]Read Me'!$B$4,"Red",IF($H89-'[2]Read Me'!$B$4&lt;=21,"Amber","Green"))))</f>
        <v>Green</v>
      </c>
      <c r="N89" s="3"/>
      <c r="O89" t="str">
        <f>IF($I89&lt;&gt;"Complete",IF(COUNTIFS($A$4:$A88,$A89,$B$4:$B88,$B89,$I$4:$I88,"&lt;&gt;Complete")=0,$A89&amp;"|"&amp;$B89,""),"")</f>
        <v/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 t="s">
        <v>496</v>
      </c>
      <c r="B90" s="2" t="s">
        <v>148</v>
      </c>
      <c r="C90" s="3" t="s">
        <v>497</v>
      </c>
      <c r="D90" s="3" t="s">
        <v>498</v>
      </c>
      <c r="E90" s="2" t="s">
        <v>499</v>
      </c>
      <c r="F90" s="2" t="s">
        <v>453</v>
      </c>
      <c r="G90" s="5">
        <v>46051</v>
      </c>
      <c r="H90" s="5">
        <v>46033</v>
      </c>
      <c r="I90" s="4" t="s">
        <v>31</v>
      </c>
      <c r="J90" s="6">
        <f t="shared" si="4"/>
        <v>-18</v>
      </c>
      <c r="K90" s="4" t="str">
        <f t="shared" ca="1" si="5"/>
        <v>-</v>
      </c>
      <c r="L90" s="7" t="str">
        <f>IF(I90="Completed","0",IF($H90="","",$H90-'[2]Read Me'!$B$4))</f>
        <v>0</v>
      </c>
      <c r="M90" s="4" t="str">
        <f>IF($I90="Complete","Green",IF($H90="","Amber",IF($H90&lt;'[2]Read Me'!$B$4,"Red",IF($H90-'[2]Read Me'!$B$4&lt;=21,"Amber","Green"))))</f>
        <v>Red</v>
      </c>
      <c r="N90" s="3"/>
      <c r="O90" t="str">
        <f>IF($I90&lt;&gt;"Complete",IF(COUNTIFS($A$4:$A89,$A90,$B$4:$B89,$B90,$I$4:$I89,"&lt;&gt;Complete")=0,$A90&amp;"|"&amp;$B90,""),"")</f>
        <v/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 t="s">
        <v>496</v>
      </c>
      <c r="B91" s="2" t="s">
        <v>148</v>
      </c>
      <c r="C91" s="3" t="s">
        <v>497</v>
      </c>
      <c r="D91" s="3" t="s">
        <v>500</v>
      </c>
      <c r="E91" s="2" t="s">
        <v>499</v>
      </c>
      <c r="F91" s="2"/>
      <c r="G91" s="5">
        <v>46058</v>
      </c>
      <c r="H91" s="5">
        <v>46049</v>
      </c>
      <c r="I91" s="4" t="s">
        <v>31</v>
      </c>
      <c r="J91" s="6">
        <f t="shared" si="4"/>
        <v>-9</v>
      </c>
      <c r="K91" s="4" t="str">
        <f t="shared" ca="1" si="5"/>
        <v>-</v>
      </c>
      <c r="L91" s="7" t="str">
        <f>IF(I91="Completed","0",IF($H91="","",$H91-'[2]Read Me'!$B$4))</f>
        <v>0</v>
      </c>
      <c r="M91" s="4" t="str">
        <f>IF($I91="Complete","Green",IF($H91="","Amber",IF($H91&lt;'[2]Read Me'!$B$4,"Red",IF($H91-'[2]Read Me'!$B$4&lt;=21,"Amber","Green"))))</f>
        <v>Red</v>
      </c>
      <c r="N91" s="3"/>
      <c r="O91" t="str">
        <f>IF($I91&lt;&gt;"Complete",IF(COUNTIFS($A$4:$A90,$A91,$B$4:$B90,$B91,$I$4:$I90,"&lt;&gt;Complete")=0,$A91&amp;"|"&amp;$B91,""),"")</f>
        <v/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 t="s">
        <v>496</v>
      </c>
      <c r="B92" s="2" t="s">
        <v>148</v>
      </c>
      <c r="C92" s="3" t="s">
        <v>497</v>
      </c>
      <c r="D92" s="3" t="s">
        <v>501</v>
      </c>
      <c r="E92" s="2" t="s">
        <v>499</v>
      </c>
      <c r="F92" s="2" t="s">
        <v>453</v>
      </c>
      <c r="G92" s="5">
        <v>46051</v>
      </c>
      <c r="H92" s="5">
        <v>46166</v>
      </c>
      <c r="I92" s="4" t="s">
        <v>31</v>
      </c>
      <c r="J92" s="6">
        <f t="shared" si="4"/>
        <v>115</v>
      </c>
      <c r="K92" s="4" t="str">
        <f t="shared" ca="1" si="5"/>
        <v>-</v>
      </c>
      <c r="L92" s="7" t="str">
        <f>IF(I92="Completed","0",IF($H92="","",$H92-'[2]Read Me'!$B$4))</f>
        <v>0</v>
      </c>
      <c r="M92" s="4" t="str">
        <f>IF($I92="Complete","Green",IF($H92="","Amber",IF($H92&lt;'[2]Read Me'!$B$4,"Red",IF($H92-'[2]Read Me'!$B$4&lt;=21,"Amber","Green"))))</f>
        <v>Red</v>
      </c>
      <c r="N92" s="3"/>
      <c r="O92" t="str">
        <f>IF($I92&lt;&gt;"Complete",IF(COUNTIFS($A$4:$A91,$A92,$B$4:$B91,$B92,$I$4:$I91,"&lt;&gt;Complete")=0,$A92&amp;"|"&amp;$B92,""),"")</f>
        <v/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 t="s">
        <v>496</v>
      </c>
      <c r="B93" s="2" t="s">
        <v>148</v>
      </c>
      <c r="C93" s="3" t="s">
        <v>497</v>
      </c>
      <c r="D93" s="3" t="s">
        <v>502</v>
      </c>
      <c r="E93" s="2" t="s">
        <v>499</v>
      </c>
      <c r="F93" s="2"/>
      <c r="G93" s="5">
        <v>46058</v>
      </c>
      <c r="H93" s="5">
        <v>46167</v>
      </c>
      <c r="I93" s="4" t="s">
        <v>31</v>
      </c>
      <c r="J93" s="6">
        <f t="shared" si="4"/>
        <v>109</v>
      </c>
      <c r="K93" s="4" t="str">
        <f t="shared" ca="1" si="5"/>
        <v>-</v>
      </c>
      <c r="L93" s="7" t="str">
        <f>IF(I93="Completed","0",IF($H93="","",$H93-'[2]Read Me'!$B$4))</f>
        <v>0</v>
      </c>
      <c r="M93" s="4" t="str">
        <f>IF($I93="Complete","Green",IF($H93="","Amber",IF($H93&lt;'[2]Read Me'!$B$4,"Red",IF($H93-'[2]Read Me'!$B$4&lt;=21,"Amber","Green"))))</f>
        <v>Red</v>
      </c>
      <c r="N93" s="3"/>
      <c r="O93" t="str">
        <f>IF($I93&lt;&gt;"Complete",IF(COUNTIFS($A$4:$A92,$A93,$B$4:$B92,$B93,$I$4:$I92,"&lt;&gt;Complete")=0,$A93&amp;"|"&amp;$B93,""),"")</f>
        <v/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 t="s">
        <v>496</v>
      </c>
      <c r="B94" s="2" t="s">
        <v>148</v>
      </c>
      <c r="C94" s="3" t="s">
        <v>497</v>
      </c>
      <c r="D94" s="3" t="s">
        <v>14</v>
      </c>
      <c r="E94" s="2" t="s">
        <v>499</v>
      </c>
      <c r="F94" s="2" t="s">
        <v>30</v>
      </c>
      <c r="G94" s="5">
        <v>46051</v>
      </c>
      <c r="H94" s="5">
        <v>46142</v>
      </c>
      <c r="I94" s="4" t="s">
        <v>31</v>
      </c>
      <c r="J94" s="6">
        <f t="shared" si="4"/>
        <v>91</v>
      </c>
      <c r="K94" s="4" t="str">
        <f t="shared" ca="1" si="5"/>
        <v>-</v>
      </c>
      <c r="L94" s="7" t="str">
        <f>IF(I94="Completed","0",IF($H94="","",$H94-'[2]Read Me'!$B$4))</f>
        <v>0</v>
      </c>
      <c r="M94" s="4" t="str">
        <f>IF($I94="Complete","Green",IF($H94="","Amber",IF($H94&lt;'[2]Read Me'!$B$4,"Red",IF($H94-'[2]Read Me'!$B$4&lt;=21,"Amber","Green"))))</f>
        <v>Red</v>
      </c>
      <c r="N94" s="3"/>
      <c r="O94" t="str">
        <f>IF($I94&lt;&gt;"Complete",IF(COUNTIFS($A$4:$A93,$A94,$B$4:$B93,$B94,$I$4:$I93,"&lt;&gt;Complete")=0,$A94&amp;"|"&amp;$B94,""),"")</f>
        <v/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 t="s">
        <v>496</v>
      </c>
      <c r="B95" s="2" t="s">
        <v>148</v>
      </c>
      <c r="C95" s="3" t="s">
        <v>497</v>
      </c>
      <c r="D95" s="3" t="s">
        <v>34</v>
      </c>
      <c r="E95" s="2" t="s">
        <v>499</v>
      </c>
      <c r="F95" s="2"/>
      <c r="G95" s="5">
        <v>46058</v>
      </c>
      <c r="H95" s="5">
        <v>46161</v>
      </c>
      <c r="I95" s="4" t="s">
        <v>31</v>
      </c>
      <c r="J95" s="6">
        <f t="shared" si="4"/>
        <v>103</v>
      </c>
      <c r="K95" s="4" t="str">
        <f t="shared" ca="1" si="5"/>
        <v>-</v>
      </c>
      <c r="L95" s="7" t="str">
        <f>IF(I95="Completed","0",IF($H95="","",$H95-'[2]Read Me'!$B$4))</f>
        <v>0</v>
      </c>
      <c r="M95" s="4" t="str">
        <f>IF($I95="Complete","Green",IF($H95="","Amber",IF($H95&lt;'[2]Read Me'!$B$4,"Red",IF($H95-'[2]Read Me'!$B$4&lt;=21,"Amber","Green"))))</f>
        <v>Red</v>
      </c>
      <c r="N95" s="3"/>
      <c r="O95" t="str">
        <f>IF($I95&lt;&gt;"Complete",IF(COUNTIFS($A$4:$A94,$A95,$B$4:$B94,$B95,$I$4:$I94,"&lt;&gt;Complete")=0,$A95&amp;"|"&amp;$B95,""),"")</f>
        <v/>
      </c>
      <c r="P95" t="str">
        <f ca="1">IF($K95="Yes",COUNTIFS($K$4:$K95,"Yes"),"")</f>
        <v/>
      </c>
      <c r="Q95">
        <f t="shared" ca="1" si="6"/>
        <v>0</v>
      </c>
      <c r="R95" t="str">
        <f ca="1">IF($Q95=1,SUM($Q$4:$Q95),"")</f>
        <v/>
      </c>
    </row>
    <row r="96" spans="1:18" ht="33.75" customHeight="1" x14ac:dyDescent="0.3">
      <c r="A96" s="2" t="s">
        <v>496</v>
      </c>
      <c r="B96" s="2" t="s">
        <v>148</v>
      </c>
      <c r="C96" s="3" t="s">
        <v>497</v>
      </c>
      <c r="D96" s="3" t="s">
        <v>15</v>
      </c>
      <c r="E96" s="2" t="s">
        <v>499</v>
      </c>
      <c r="F96" s="2" t="s">
        <v>30</v>
      </c>
      <c r="G96" s="5">
        <v>46079</v>
      </c>
      <c r="H96" s="5">
        <v>46208</v>
      </c>
      <c r="I96" s="4" t="s">
        <v>46</v>
      </c>
      <c r="J96" s="6">
        <f t="shared" si="4"/>
        <v>129</v>
      </c>
      <c r="K96" s="4" t="str">
        <f t="shared" ca="1" si="5"/>
        <v>No</v>
      </c>
      <c r="L96" s="7">
        <f>IF(I96="Completed","0",IF($H96="","",$H96-'[2]Read Me'!$B$4))</f>
        <v>21</v>
      </c>
      <c r="M96" s="4" t="str">
        <f>IF($I96="Complete","Green",IF($H96="","Amber",IF($H96&lt;'[2]Read Me'!$B$4,"Red",IF($H96-'[2]Read Me'!$B$4&lt;=21,"Amber","Green"))))</f>
        <v>Amber</v>
      </c>
      <c r="N96" s="3"/>
      <c r="O96" t="str">
        <f>IF($I96&lt;&gt;"Complete",IF(COUNTIFS($A$4:$A95,$A96,$B$4:$B95,$B96,$I$4:$I95,"&lt;&gt;Complete")=0,$A96&amp;"|"&amp;$B96,""),"")</f>
        <v/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 t="s">
        <v>496</v>
      </c>
      <c r="B97" s="2" t="s">
        <v>148</v>
      </c>
      <c r="C97" s="3" t="s">
        <v>497</v>
      </c>
      <c r="D97" s="3" t="s">
        <v>35</v>
      </c>
      <c r="E97" s="2" t="s">
        <v>499</v>
      </c>
      <c r="F97" s="2"/>
      <c r="G97" s="5">
        <v>46086</v>
      </c>
      <c r="H97" s="5">
        <v>46222</v>
      </c>
      <c r="I97" s="4" t="s">
        <v>17</v>
      </c>
      <c r="J97" s="6">
        <f t="shared" si="4"/>
        <v>136</v>
      </c>
      <c r="K97" s="4" t="str">
        <f t="shared" ca="1" si="5"/>
        <v>No</v>
      </c>
      <c r="L97" s="7">
        <f>IF(I97="Completed","0",IF($H97="","",$H97-'[2]Read Me'!$B$4))</f>
        <v>35</v>
      </c>
      <c r="M97" s="4" t="str">
        <f>IF($I97="Complete","Green",IF($H97="","Amber",IF($H97&lt;'[2]Read Me'!$B$4,"Red",IF($H97-'[2]Read Me'!$B$4&lt;=21,"Amber","Green"))))</f>
        <v>Green</v>
      </c>
      <c r="N97" s="3"/>
      <c r="O97" t="str">
        <f>IF($I97&lt;&gt;"Complete",IF(COUNTIFS($A$4:$A96,$A97,$B$4:$B96,$B97,$I$4:$I96,"&lt;&gt;Complete")=0,$A97&amp;"|"&amp;$B97,""),"")</f>
        <v/>
      </c>
      <c r="P97" t="str">
        <f ca="1">IF($K97="Yes",COUNTIFS($K$4:$K97,"Yes"),"")</f>
        <v/>
      </c>
      <c r="Q97">
        <f t="shared" ca="1" si="6"/>
        <v>0</v>
      </c>
      <c r="R97" t="str">
        <f ca="1">IF($Q97=1,SUM($Q$4:$Q97),"")</f>
        <v/>
      </c>
    </row>
    <row r="98" spans="1:18" ht="33.75" customHeight="1" x14ac:dyDescent="0.3">
      <c r="A98" s="2" t="s">
        <v>496</v>
      </c>
      <c r="B98" s="2" t="s">
        <v>148</v>
      </c>
      <c r="C98" s="3" t="s">
        <v>497</v>
      </c>
      <c r="D98" s="3" t="s">
        <v>20</v>
      </c>
      <c r="E98" s="2" t="s">
        <v>499</v>
      </c>
      <c r="F98" s="2"/>
      <c r="G98" s="5">
        <v>46093</v>
      </c>
      <c r="H98" s="5">
        <v>46229</v>
      </c>
      <c r="I98" s="4" t="s">
        <v>17</v>
      </c>
      <c r="J98" s="6">
        <f t="shared" si="4"/>
        <v>136</v>
      </c>
      <c r="K98" s="4" t="str">
        <f t="shared" ca="1" si="5"/>
        <v>No</v>
      </c>
      <c r="L98" s="7">
        <f>IF(I98="Completed","0",IF($H98="","",$H98-'[2]Read Me'!$B$4))</f>
        <v>42</v>
      </c>
      <c r="M98" s="4" t="str">
        <f>IF($I98="Complete","Green",IF($H98="","Amber",IF($H98&lt;'[2]Read Me'!$B$4,"Red",IF($H98-'[2]Read Me'!$B$4&lt;=21,"Amber","Green"))))</f>
        <v>Green</v>
      </c>
      <c r="N98" s="3"/>
      <c r="O98" t="str">
        <f>IF($I98&lt;&gt;"Complete",IF(COUNTIFS($A$4:$A97,$A98,$B$4:$B97,$B98,$I$4:$I97,"&lt;&gt;Complete")=0,$A98&amp;"|"&amp;$B98,""),"")</f>
        <v/>
      </c>
      <c r="P98" t="str">
        <f ca="1">IF($K98="Yes",COUNTIFS($K$4:$K98,"Yes"),"")</f>
        <v/>
      </c>
      <c r="Q98">
        <f t="shared" ca="1" si="6"/>
        <v>0</v>
      </c>
      <c r="R98" t="str">
        <f ca="1">IF($Q98=1,SUM($Q$4:$Q98),"")</f>
        <v/>
      </c>
    </row>
    <row r="99" spans="1:18" ht="33.75" customHeight="1" x14ac:dyDescent="0.3">
      <c r="A99" s="2" t="s">
        <v>496</v>
      </c>
      <c r="B99" s="2" t="s">
        <v>148</v>
      </c>
      <c r="C99" s="3" t="s">
        <v>497</v>
      </c>
      <c r="D99" s="3" t="s">
        <v>83</v>
      </c>
      <c r="E99" s="2" t="s">
        <v>499</v>
      </c>
      <c r="F99" s="2" t="s">
        <v>30</v>
      </c>
      <c r="G99" s="5">
        <v>46100</v>
      </c>
      <c r="H99" s="5">
        <v>46236</v>
      </c>
      <c r="I99" s="4" t="s">
        <v>17</v>
      </c>
      <c r="J99" s="6">
        <f t="shared" si="4"/>
        <v>136</v>
      </c>
      <c r="K99" s="4" t="str">
        <f t="shared" ca="1" si="5"/>
        <v>No</v>
      </c>
      <c r="L99" s="7">
        <f>IF(I99="Completed","0",IF($H99="","",$H99-'[2]Read Me'!$B$4))</f>
        <v>49</v>
      </c>
      <c r="M99" s="4" t="str">
        <f>IF($I99="Complete","Green",IF($H99="","Amber",IF($H99&lt;'[2]Read Me'!$B$4,"Red",IF($H99-'[2]Read Me'!$B$4&lt;=21,"Amber","Green"))))</f>
        <v>Green</v>
      </c>
      <c r="N99" s="3"/>
      <c r="O99" t="str">
        <f>IF($I99&lt;&gt;"Complete",IF(COUNTIFS($A$4:$A98,$A99,$B$4:$B98,$B99,$I$4:$I98,"&lt;&gt;Complete")=0,$A99&amp;"|"&amp;$B99,""),"")</f>
        <v/>
      </c>
      <c r="P99" t="str">
        <f ca="1">IF($K99="Yes",COUNTIFS($K$4:$K99,"Yes"),"")</f>
        <v/>
      </c>
      <c r="Q99">
        <f t="shared" ca="1" si="6"/>
        <v>0</v>
      </c>
      <c r="R99" t="str">
        <f ca="1">IF($Q99=1,SUM($Q$4:$Q99),"")</f>
        <v/>
      </c>
    </row>
    <row r="100" spans="1:18" ht="33.75" customHeight="1" x14ac:dyDescent="0.3">
      <c r="A100" s="2" t="s">
        <v>496</v>
      </c>
      <c r="B100" s="2" t="s">
        <v>148</v>
      </c>
      <c r="C100" s="3" t="s">
        <v>497</v>
      </c>
      <c r="D100" s="3" t="s">
        <v>16</v>
      </c>
      <c r="E100" s="2" t="s">
        <v>499</v>
      </c>
      <c r="F100" s="2" t="s">
        <v>30</v>
      </c>
      <c r="G100" s="5">
        <v>46100</v>
      </c>
      <c r="H100" s="5">
        <v>46236</v>
      </c>
      <c r="I100" s="4" t="s">
        <v>17</v>
      </c>
      <c r="J100" s="6">
        <f t="shared" si="4"/>
        <v>136</v>
      </c>
      <c r="K100" s="4" t="str">
        <f t="shared" ca="1" si="5"/>
        <v>No</v>
      </c>
      <c r="L100" s="7">
        <f>IF(I100="Completed","0",IF($H100="","",$H100-'[2]Read Me'!$B$4))</f>
        <v>49</v>
      </c>
      <c r="M100" s="4" t="str">
        <f>IF($I100="Complete","Green",IF($H100="","Amber",IF($H100&lt;'[2]Read Me'!$B$4,"Red",IF($H100-'[2]Read Me'!$B$4&lt;=21,"Amber","Green"))))</f>
        <v>Green</v>
      </c>
      <c r="N100" s="3"/>
      <c r="O100" t="str">
        <f>IF($I100&lt;&gt;"Complete",IF(COUNTIFS($A$4:$A99,$A100,$B$4:$B99,$B100,$I$4:$I99,"&lt;&gt;Complete")=0,$A100&amp;"|"&amp;$B100,""),"")</f>
        <v/>
      </c>
      <c r="P100" t="str">
        <f ca="1">IF($K100="Yes",COUNTIFS($K$4:$K100,"Yes"),"")</f>
        <v/>
      </c>
      <c r="Q100">
        <f t="shared" ca="1" si="6"/>
        <v>0</v>
      </c>
      <c r="R100" t="str">
        <f ca="1">IF($Q100=1,SUM($Q$4:$Q100),"")</f>
        <v/>
      </c>
    </row>
    <row r="101" spans="1:18" ht="33.75" customHeight="1" x14ac:dyDescent="0.3">
      <c r="A101" s="2" t="s">
        <v>496</v>
      </c>
      <c r="B101" s="2" t="s">
        <v>148</v>
      </c>
      <c r="C101" s="3" t="s">
        <v>497</v>
      </c>
      <c r="D101" s="3" t="s">
        <v>37</v>
      </c>
      <c r="E101" s="2" t="s">
        <v>499</v>
      </c>
      <c r="F101" s="2"/>
      <c r="G101" s="5">
        <v>46107</v>
      </c>
      <c r="H101" s="5">
        <v>46250</v>
      </c>
      <c r="I101" s="4" t="s">
        <v>17</v>
      </c>
      <c r="J101" s="6">
        <f t="shared" si="4"/>
        <v>143</v>
      </c>
      <c r="K101" s="4" t="str">
        <f t="shared" ca="1" si="5"/>
        <v>No</v>
      </c>
      <c r="L101" s="7">
        <f>IF(I101="Completed","0",IF($H101="","",$H101-'[2]Read Me'!$B$4))</f>
        <v>63</v>
      </c>
      <c r="M101" s="4" t="str">
        <f>IF($I101="Complete","Green",IF($H101="","Amber",IF($H101&lt;'[2]Read Me'!$B$4,"Red",IF($H101-'[2]Read Me'!$B$4&lt;=21,"Amber","Green"))))</f>
        <v>Green</v>
      </c>
      <c r="N101" s="3"/>
      <c r="O101" t="str">
        <f>IF($I101&lt;&gt;"Complete",IF(COUNTIFS($A$4:$A100,$A101,$B$4:$B100,$B101,$I$4:$I100,"&lt;&gt;Complete")=0,$A101&amp;"|"&amp;$B101,""),"")</f>
        <v/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 t="s">
        <v>496</v>
      </c>
      <c r="B102" s="2" t="s">
        <v>49</v>
      </c>
      <c r="C102" s="3"/>
      <c r="D102" s="3"/>
      <c r="E102" s="2"/>
      <c r="F102" s="2"/>
      <c r="G102" s="5">
        <v>46352</v>
      </c>
      <c r="H102" s="5">
        <v>46390</v>
      </c>
      <c r="I102" s="4"/>
      <c r="J102" s="6">
        <f t="shared" si="4"/>
        <v>38</v>
      </c>
      <c r="K102" s="4" t="str">
        <f t="shared" ca="1" si="5"/>
        <v/>
      </c>
      <c r="L102" s="7">
        <f>IF(I102="Completed","0",IF($H102="","",$H102-'[2]Read Me'!$B$4))</f>
        <v>203</v>
      </c>
      <c r="M102" s="4" t="str">
        <f>IF($I102="Complete","Green",IF($H102="","Amber",IF($H102&lt;'[2]Read Me'!$B$4,"Red",IF($H102-'[2]Read Me'!$B$4&lt;=21,"Amber","Green"))))</f>
        <v>Green</v>
      </c>
      <c r="N102" s="3"/>
      <c r="O102" t="str">
        <f>IF($I102&lt;&gt;"Complete",IF(COUNTIFS($A$4:$A101,$A102,$B$4:$B101,$B102,$I$4:$I101,"&lt;&gt;Complete")=0,$A102&amp;"|"&amp;$B102,""),"")</f>
        <v>Ph.02 Community Club|Authorities</v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 t="s">
        <v>496</v>
      </c>
      <c r="B103" s="2" t="s">
        <v>49</v>
      </c>
      <c r="C103" s="3" t="s">
        <v>503</v>
      </c>
      <c r="D103" s="3" t="s">
        <v>504</v>
      </c>
      <c r="E103" s="2" t="s">
        <v>104</v>
      </c>
      <c r="F103" s="2"/>
      <c r="G103" s="5">
        <v>46212</v>
      </c>
      <c r="H103" s="5">
        <v>46111</v>
      </c>
      <c r="I103" s="4" t="s">
        <v>31</v>
      </c>
      <c r="J103" s="6">
        <f t="shared" si="4"/>
        <v>-101</v>
      </c>
      <c r="K103" s="4" t="str">
        <f t="shared" ca="1" si="5"/>
        <v>-</v>
      </c>
      <c r="L103" s="7" t="str">
        <f>IF(I103="Completed","0",IF($H103="","",$H103-'[2]Read Me'!$B$4))</f>
        <v>0</v>
      </c>
      <c r="M103" s="4" t="str">
        <f>IF($I103="Complete","Green",IF($H103="","Amber",IF($H103&lt;'[2]Read Me'!$B$4,"Red",IF($H103-'[2]Read Me'!$B$4&lt;=21,"Amber","Green"))))</f>
        <v>Red</v>
      </c>
      <c r="N103" s="3"/>
      <c r="O103" t="str">
        <f>IF($I103&lt;&gt;"Complete",IF(COUNTIFS($A$4:$A102,$A103,$B$4:$B102,$B103,$I$4:$I102,"&lt;&gt;Complete")=0,$A103&amp;"|"&amp;$B103,""),"")</f>
        <v/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 t="s">
        <v>496</v>
      </c>
      <c r="B104" s="2" t="s">
        <v>49</v>
      </c>
      <c r="C104" s="3" t="s">
        <v>503</v>
      </c>
      <c r="D104" s="3" t="s">
        <v>288</v>
      </c>
      <c r="E104" s="2" t="s">
        <v>104</v>
      </c>
      <c r="F104" s="2"/>
      <c r="G104" s="5">
        <v>46240</v>
      </c>
      <c r="H104" s="5">
        <v>46278</v>
      </c>
      <c r="I104" s="4" t="s">
        <v>17</v>
      </c>
      <c r="J104" s="6">
        <f t="shared" si="4"/>
        <v>38</v>
      </c>
      <c r="K104" s="4" t="str">
        <f t="shared" ca="1" si="5"/>
        <v>No</v>
      </c>
      <c r="L104" s="7">
        <f>IF(I104="Completed","0",IF($H104="","",$H104-'[2]Read Me'!$B$4))</f>
        <v>91</v>
      </c>
      <c r="M104" s="4" t="str">
        <f>IF($I104="Complete","Green",IF($H104="","Amber",IF($H104&lt;'[2]Read Me'!$B$4,"Red",IF($H104-'[2]Read Me'!$B$4&lt;=21,"Amber","Green"))))</f>
        <v>Green</v>
      </c>
      <c r="N104" s="3"/>
      <c r="O104" t="str">
        <f>IF($I104&lt;&gt;"Complete",IF(COUNTIFS($A$4:$A103,$A104,$B$4:$B103,$B104,$I$4:$I103,"&lt;&gt;Complete")=0,$A104&amp;"|"&amp;$B104,""),"")</f>
        <v/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 t="s">
        <v>496</v>
      </c>
      <c r="B105" s="2" t="s">
        <v>49</v>
      </c>
      <c r="C105" s="3" t="s">
        <v>503</v>
      </c>
      <c r="D105" s="3" t="s">
        <v>51</v>
      </c>
      <c r="E105" s="2" t="s">
        <v>104</v>
      </c>
      <c r="F105" s="2"/>
      <c r="G105" s="5">
        <v>46268</v>
      </c>
      <c r="H105" s="5">
        <v>46306</v>
      </c>
      <c r="I105" s="4" t="s">
        <v>17</v>
      </c>
      <c r="J105" s="6">
        <f t="shared" si="4"/>
        <v>38</v>
      </c>
      <c r="K105" s="4" t="str">
        <f t="shared" ca="1" si="5"/>
        <v>No</v>
      </c>
      <c r="L105" s="7">
        <f>IF(I105="Completed","0",IF($H105="","",$H105-'[2]Read Me'!$B$4))</f>
        <v>119</v>
      </c>
      <c r="M105" s="4" t="str">
        <f>IF($I105="Complete","Green",IF($H105="","Amber",IF($H105&lt;'[2]Read Me'!$B$4,"Red",IF($H105-'[2]Read Me'!$B$4&lt;=21,"Amber","Green"))))</f>
        <v>Green</v>
      </c>
      <c r="N105" s="3"/>
      <c r="O105" t="str">
        <f>IF($I105&lt;&gt;"Complete",IF(COUNTIFS($A$4:$A104,$A105,$B$4:$B104,$B105,$I$4:$I104,"&lt;&gt;Complete")=0,$A105&amp;"|"&amp;$B105,""),"")</f>
        <v/>
      </c>
      <c r="P105" t="str">
        <f ca="1">IF($K105="Yes",COUNTIFS($K$4:$K105,"Yes"),"")</f>
        <v/>
      </c>
      <c r="Q105">
        <f t="shared" ca="1" si="6"/>
        <v>0</v>
      </c>
      <c r="R105" t="str">
        <f ca="1">IF($Q105=1,SUM($Q$4:$Q105),"")</f>
        <v/>
      </c>
    </row>
    <row r="106" spans="1:18" ht="22.5" customHeight="1" x14ac:dyDescent="0.3">
      <c r="A106" s="2" t="s">
        <v>496</v>
      </c>
      <c r="B106" s="2" t="s">
        <v>49</v>
      </c>
      <c r="C106" s="3" t="s">
        <v>503</v>
      </c>
      <c r="D106" s="3" t="s">
        <v>413</v>
      </c>
      <c r="E106" s="2" t="s">
        <v>104</v>
      </c>
      <c r="F106" s="2"/>
      <c r="G106" s="5">
        <v>46352</v>
      </c>
      <c r="H106" s="5">
        <v>46390</v>
      </c>
      <c r="I106" s="4" t="s">
        <v>17</v>
      </c>
      <c r="J106" s="6">
        <f t="shared" si="4"/>
        <v>38</v>
      </c>
      <c r="K106" s="4" t="str">
        <f t="shared" ca="1" si="5"/>
        <v>No</v>
      </c>
      <c r="L106" s="7">
        <f>IF(I106="Completed","0",IF($H106="","",$H106-'[2]Read Me'!$B$4))</f>
        <v>203</v>
      </c>
      <c r="M106" s="4" t="str">
        <f>IF($I106="Complete","Green",IF($H106="","Amber",IF($H106&lt;'[2]Read Me'!$B$4,"Red",IF($H106-'[2]Read Me'!$B$4&lt;=21,"Amber","Green"))))</f>
        <v>Green</v>
      </c>
      <c r="N106" s="3"/>
      <c r="O106" t="str">
        <f>IF($I106&lt;&gt;"Complete",IF(COUNTIFS($A$4:$A105,$A106,$B$4:$B105,$B106,$I$4:$I105,"&lt;&gt;Complete")=0,$A106&amp;"|"&amp;$B106,""),"")</f>
        <v/>
      </c>
      <c r="P106" t="str">
        <f ca="1">IF($K106="Yes",COUNTIFS($K$4:$K106,"Yes"),"")</f>
        <v/>
      </c>
      <c r="Q106">
        <f t="shared" ca="1" si="6"/>
        <v>0</v>
      </c>
      <c r="R106" t="str">
        <f ca="1">IF($Q106=1,SUM($Q$4:$Q106),"")</f>
        <v/>
      </c>
    </row>
    <row r="107" spans="1:18" ht="22.5" customHeight="1" x14ac:dyDescent="0.3">
      <c r="A107" s="2" t="s">
        <v>505</v>
      </c>
      <c r="B107" s="2" t="s">
        <v>62</v>
      </c>
      <c r="C107" s="3"/>
      <c r="D107" s="3"/>
      <c r="E107" s="2"/>
      <c r="F107" s="2"/>
      <c r="G107" s="5">
        <v>46302.1</v>
      </c>
      <c r="H107" s="5">
        <v>46398</v>
      </c>
      <c r="I107" s="4"/>
      <c r="J107" s="6">
        <f t="shared" si="4"/>
        <v>95.900000000001455</v>
      </c>
      <c r="K107" s="4" t="str">
        <f t="shared" ca="1" si="5"/>
        <v/>
      </c>
      <c r="L107" s="7">
        <f>IF(I107="Completed","0",IF($H107="","",$H107-'[2]Read Me'!$B$4))</f>
        <v>211</v>
      </c>
      <c r="M107" s="4" t="str">
        <f>IF($I107="Complete","Green",IF($H107="","Amber",IF($H107&lt;'[2]Read Me'!$B$4,"Red",IF($H107-'[2]Read Me'!$B$4&lt;=21,"Amber","Green"))))</f>
        <v>Green</v>
      </c>
      <c r="N107" s="3"/>
      <c r="O107" t="str">
        <f>IF($I107&lt;&gt;"Complete",IF(COUNTIFS($A$4:$A106,$A107,$B$4:$B106,$B107,$I$4:$I106,"&lt;&gt;Complete")=0,$A107&amp;"|"&amp;$B107,""),"")</f>
        <v>Commercial|Buildings</v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 t="s">
        <v>505</v>
      </c>
      <c r="B108" s="2" t="s">
        <v>62</v>
      </c>
      <c r="C108" s="3" t="s">
        <v>506</v>
      </c>
      <c r="D108" s="3" t="s">
        <v>151</v>
      </c>
      <c r="E108" s="2" t="s">
        <v>507</v>
      </c>
      <c r="F108" s="2"/>
      <c r="G108" s="5">
        <v>45978</v>
      </c>
      <c r="H108" s="5">
        <v>45978</v>
      </c>
      <c r="I108" s="4" t="s">
        <v>31</v>
      </c>
      <c r="J108" s="6">
        <f t="shared" si="4"/>
        <v>0</v>
      </c>
      <c r="K108" s="4" t="str">
        <f t="shared" ca="1" si="5"/>
        <v>-</v>
      </c>
      <c r="L108" s="7" t="str">
        <f>IF(I108="Completed","0",IF($H108="","",$H108-'[2]Read Me'!$B$4))</f>
        <v>0</v>
      </c>
      <c r="M108" s="4" t="str">
        <f>IF($I108="Complete","Green",IF($H108="","Amber",IF($H108&lt;'[2]Read Me'!$B$4,"Red",IF($H108-'[2]Read Me'!$B$4&lt;=21,"Amber","Green"))))</f>
        <v>Red</v>
      </c>
      <c r="N108" s="3"/>
      <c r="O108" t="str">
        <f>IF($I108&lt;&gt;"Complete",IF(COUNTIFS($A$4:$A107,$A108,$B$4:$B107,$B108,$I$4:$I107,"&lt;&gt;Complete")=0,$A108&amp;"|"&amp;$B108,""),"")</f>
        <v/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 t="s">
        <v>505</v>
      </c>
      <c r="B109" s="2" t="s">
        <v>62</v>
      </c>
      <c r="C109" s="3" t="s">
        <v>506</v>
      </c>
      <c r="D109" s="3" t="s">
        <v>508</v>
      </c>
      <c r="E109" s="2" t="s">
        <v>507</v>
      </c>
      <c r="F109" s="2"/>
      <c r="G109" s="5">
        <v>46015.1</v>
      </c>
      <c r="H109" s="5">
        <v>46015.1</v>
      </c>
      <c r="I109" s="4" t="s">
        <v>31</v>
      </c>
      <c r="J109" s="6">
        <f t="shared" si="4"/>
        <v>0</v>
      </c>
      <c r="K109" s="4" t="str">
        <f t="shared" ca="1" si="5"/>
        <v>-</v>
      </c>
      <c r="L109" s="7" t="str">
        <f>IF(I109="Completed","0",IF($H109="","",$H109-'[2]Read Me'!$B$4))</f>
        <v>0</v>
      </c>
      <c r="M109" s="4" t="str">
        <f>IF($I109="Complete","Green",IF($H109="","Amber",IF($H109&lt;'[2]Read Me'!$B$4,"Red",IF($H109-'[2]Read Me'!$B$4&lt;=21,"Amber","Green"))))</f>
        <v>Red</v>
      </c>
      <c r="N109" s="3"/>
      <c r="O109" t="str">
        <f>IF($I109&lt;&gt;"Complete",IF(COUNTIFS($A$4:$A108,$A109,$B$4:$B108,$B109,$I$4:$I108,"&lt;&gt;Complete")=0,$A109&amp;"|"&amp;$B109,""),"")</f>
        <v/>
      </c>
      <c r="P109" t="str">
        <f ca="1">IF($K109="Yes",COUNTIFS($K$4:$K109,"Yes"),"")</f>
        <v/>
      </c>
      <c r="Q109">
        <f t="shared" ca="1" si="6"/>
        <v>0</v>
      </c>
      <c r="R109" t="str">
        <f ca="1">IF($Q109=1,SUM($Q$4:$Q109),"")</f>
        <v/>
      </c>
    </row>
    <row r="110" spans="1:18" ht="22.5" customHeight="1" x14ac:dyDescent="0.3">
      <c r="A110" s="2" t="s">
        <v>505</v>
      </c>
      <c r="B110" s="2" t="s">
        <v>62</v>
      </c>
      <c r="C110" s="3" t="s">
        <v>506</v>
      </c>
      <c r="D110" s="3" t="s">
        <v>509</v>
      </c>
      <c r="E110" s="2" t="s">
        <v>507</v>
      </c>
      <c r="F110" s="2"/>
      <c r="G110" s="5">
        <v>46015.1</v>
      </c>
      <c r="H110" s="5">
        <v>46015.1</v>
      </c>
      <c r="I110" s="4" t="s">
        <v>31</v>
      </c>
      <c r="J110" s="6">
        <f t="shared" si="4"/>
        <v>0</v>
      </c>
      <c r="K110" s="4" t="str">
        <f t="shared" ca="1" si="5"/>
        <v>-</v>
      </c>
      <c r="L110" s="7" t="str">
        <f>IF(I110="Completed","0",IF($H110="","",$H110-'[2]Read Me'!$B$4))</f>
        <v>0</v>
      </c>
      <c r="M110" s="4" t="str">
        <f>IF($I110="Complete","Green",IF($H110="","Amber",IF($H110&lt;'[2]Read Me'!$B$4,"Red",IF($H110-'[2]Read Me'!$B$4&lt;=21,"Amber","Green"))))</f>
        <v>Red</v>
      </c>
      <c r="N110" s="3"/>
      <c r="O110" t="str">
        <f>IF($I110&lt;&gt;"Complete",IF(COUNTIFS($A$4:$A109,$A110,$B$4:$B109,$B110,$I$4:$I109,"&lt;&gt;Complete")=0,$A110&amp;"|"&amp;$B110,""),"")</f>
        <v/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 t="s">
        <v>505</v>
      </c>
      <c r="B111" s="2" t="s">
        <v>62</v>
      </c>
      <c r="C111" s="3" t="s">
        <v>506</v>
      </c>
      <c r="D111" s="3" t="s">
        <v>510</v>
      </c>
      <c r="E111" s="2" t="s">
        <v>507</v>
      </c>
      <c r="F111" s="2" t="s">
        <v>511</v>
      </c>
      <c r="G111" s="5">
        <v>46036.1</v>
      </c>
      <c r="H111" s="5">
        <v>46036.1</v>
      </c>
      <c r="I111" s="4" t="s">
        <v>31</v>
      </c>
      <c r="J111" s="6">
        <f t="shared" si="4"/>
        <v>0</v>
      </c>
      <c r="K111" s="4" t="str">
        <f t="shared" ca="1" si="5"/>
        <v>-</v>
      </c>
      <c r="L111" s="7" t="str">
        <f>IF(I111="Completed","0",IF($H111="","",$H111-'[2]Read Me'!$B$4))</f>
        <v>0</v>
      </c>
      <c r="M111" s="4" t="str">
        <f>IF($I111="Complete","Green",IF($H111="","Amber",IF($H111&lt;'[2]Read Me'!$B$4,"Red",IF($H111-'[2]Read Me'!$B$4&lt;=21,"Amber","Green"))))</f>
        <v>Red</v>
      </c>
      <c r="N111" s="3"/>
      <c r="O111" t="str">
        <f>IF($I111&lt;&gt;"Complete",IF(COUNTIFS($A$4:$A110,$A111,$B$4:$B110,$B111,$I$4:$I110,"&lt;&gt;Complete")=0,$A111&amp;"|"&amp;$B111,""),"")</f>
        <v/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 t="s">
        <v>505</v>
      </c>
      <c r="B112" s="2" t="s">
        <v>62</v>
      </c>
      <c r="C112" s="3" t="s">
        <v>506</v>
      </c>
      <c r="D112" s="3" t="s">
        <v>235</v>
      </c>
      <c r="E112" s="2" t="s">
        <v>507</v>
      </c>
      <c r="F112" s="2"/>
      <c r="G112" s="5">
        <v>46050.1</v>
      </c>
      <c r="H112" s="5">
        <v>46068</v>
      </c>
      <c r="I112" s="4" t="s">
        <v>31</v>
      </c>
      <c r="J112" s="6">
        <f t="shared" si="4"/>
        <v>17.900000000001455</v>
      </c>
      <c r="K112" s="4" t="str">
        <f t="shared" ca="1" si="5"/>
        <v>-</v>
      </c>
      <c r="L112" s="7" t="str">
        <f>IF(I112="Completed","0",IF($H112="","",$H112-'[2]Read Me'!$B$4))</f>
        <v>0</v>
      </c>
      <c r="M112" s="4" t="str">
        <f>IF($I112="Complete","Green",IF($H112="","Amber",IF($H112&lt;'[2]Read Me'!$B$4,"Red",IF($H112-'[2]Read Me'!$B$4&lt;=21,"Amber","Green"))))</f>
        <v>Red</v>
      </c>
      <c r="N112" s="3"/>
      <c r="O112" t="str">
        <f>IF($I112&lt;&gt;"Complete",IF(COUNTIFS($A$4:$A111,$A112,$B$4:$B111,$B112,$I$4:$I111,"&lt;&gt;Complete")=0,$A112&amp;"|"&amp;$B112,""),"")</f>
        <v/>
      </c>
      <c r="P112" t="str">
        <f ca="1">IF($K112="Yes",COUNTIFS($K$4:$K112,"Yes"),"")</f>
        <v/>
      </c>
      <c r="Q112">
        <f t="shared" ca="1" si="6"/>
        <v>0</v>
      </c>
      <c r="R112" t="str">
        <f ca="1">IF($Q112=1,SUM($Q$4:$Q112),"")</f>
        <v/>
      </c>
    </row>
    <row r="113" spans="1:18" ht="22.5" customHeight="1" x14ac:dyDescent="0.3">
      <c r="A113" s="2" t="s">
        <v>505</v>
      </c>
      <c r="B113" s="2" t="s">
        <v>62</v>
      </c>
      <c r="C113" s="3" t="s">
        <v>506</v>
      </c>
      <c r="D113" s="3" t="s">
        <v>97</v>
      </c>
      <c r="E113" s="2" t="s">
        <v>507</v>
      </c>
      <c r="F113" s="2" t="s">
        <v>511</v>
      </c>
      <c r="G113" s="5">
        <v>46071.1</v>
      </c>
      <c r="H113" s="5">
        <v>46119</v>
      </c>
      <c r="I113" s="4" t="s">
        <v>31</v>
      </c>
      <c r="J113" s="6">
        <f t="shared" si="4"/>
        <v>47.900000000001455</v>
      </c>
      <c r="K113" s="4" t="str">
        <f t="shared" ca="1" si="5"/>
        <v>-</v>
      </c>
      <c r="L113" s="7" t="str">
        <f>IF(I113="Completed","0",IF($H113="","",$H113-'[2]Read Me'!$B$4))</f>
        <v>0</v>
      </c>
      <c r="M113" s="4" t="str">
        <f>IF($I113="Complete","Green",IF($H113="","Amber",IF($H113&lt;'[2]Read Me'!$B$4,"Red",IF($H113-'[2]Read Me'!$B$4&lt;=21,"Amber","Green"))))</f>
        <v>Red</v>
      </c>
      <c r="N113" s="3"/>
      <c r="O113" t="str">
        <f>IF($I113&lt;&gt;"Complete",IF(COUNTIFS($A$4:$A112,$A113,$B$4:$B112,$B113,$I$4:$I112,"&lt;&gt;Complete")=0,$A113&amp;"|"&amp;$B113,""),"")</f>
        <v/>
      </c>
      <c r="P113" t="str">
        <f ca="1">IF($K113="Yes",COUNTIFS($K$4:$K113,"Yes"),"")</f>
        <v/>
      </c>
      <c r="Q113">
        <f t="shared" ca="1" si="6"/>
        <v>0</v>
      </c>
      <c r="R113" t="str">
        <f ca="1">IF($Q113=1,SUM($Q$4:$Q113),"")</f>
        <v/>
      </c>
    </row>
    <row r="114" spans="1:18" ht="22.5" customHeight="1" x14ac:dyDescent="0.3">
      <c r="A114" s="2" t="s">
        <v>505</v>
      </c>
      <c r="B114" s="2" t="s">
        <v>62</v>
      </c>
      <c r="C114" s="3" t="s">
        <v>506</v>
      </c>
      <c r="D114" s="3" t="s">
        <v>70</v>
      </c>
      <c r="E114" s="2" t="s">
        <v>507</v>
      </c>
      <c r="F114" s="2"/>
      <c r="G114" s="5">
        <v>46085.1</v>
      </c>
      <c r="H114" s="5">
        <v>46126</v>
      </c>
      <c r="I114" s="4" t="s">
        <v>31</v>
      </c>
      <c r="J114" s="6">
        <f t="shared" si="4"/>
        <v>40.900000000001455</v>
      </c>
      <c r="K114" s="4" t="str">
        <f t="shared" ca="1" si="5"/>
        <v>-</v>
      </c>
      <c r="L114" s="7" t="str">
        <f>IF(I114="Completed","0",IF($H114="","",$H114-'[2]Read Me'!$B$4))</f>
        <v>0</v>
      </c>
      <c r="M114" s="4" t="str">
        <f>IF($I114="Complete","Green",IF($H114="","Amber",IF($H114&lt;'[2]Read Me'!$B$4,"Red",IF($H114-'[2]Read Me'!$B$4&lt;=21,"Amber","Green"))))</f>
        <v>Red</v>
      </c>
      <c r="N114" s="3"/>
      <c r="O114" t="str">
        <f>IF($I114&lt;&gt;"Complete",IF(COUNTIFS($A$4:$A113,$A114,$B$4:$B113,$B114,$I$4:$I113,"&lt;&gt;Complete")=0,$A114&amp;"|"&amp;$B114,""),"")</f>
        <v/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 t="s">
        <v>505</v>
      </c>
      <c r="B115" s="2" t="s">
        <v>62</v>
      </c>
      <c r="C115" s="3" t="s">
        <v>506</v>
      </c>
      <c r="D115" s="3" t="s">
        <v>98</v>
      </c>
      <c r="E115" s="2" t="s">
        <v>507</v>
      </c>
      <c r="F115" s="2" t="s">
        <v>511</v>
      </c>
      <c r="G115" s="5">
        <v>46099.1</v>
      </c>
      <c r="H115" s="5">
        <v>46208</v>
      </c>
      <c r="I115" s="4" t="s">
        <v>46</v>
      </c>
      <c r="J115" s="6">
        <f t="shared" si="4"/>
        <v>108.90000000000146</v>
      </c>
      <c r="K115" s="4" t="str">
        <f t="shared" ca="1" si="5"/>
        <v>No</v>
      </c>
      <c r="L115" s="7">
        <f>IF(I115="Completed","0",IF($H115="","",$H115-'[2]Read Me'!$B$4))</f>
        <v>21</v>
      </c>
      <c r="M115" s="4" t="str">
        <f>IF($I115="Complete","Green",IF($H115="","Amber",IF($H115&lt;'[2]Read Me'!$B$4,"Red",IF($H115-'[2]Read Me'!$B$4&lt;=21,"Amber","Green"))))</f>
        <v>Amber</v>
      </c>
      <c r="N115" s="3"/>
      <c r="O115" t="str">
        <f>IF($I115&lt;&gt;"Complete",IF(COUNTIFS($A$4:$A114,$A115,$B$4:$B114,$B115,$I$4:$I114,"&lt;&gt;Complete")=0,$A115&amp;"|"&amp;$B115,""),"")</f>
        <v/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 t="s">
        <v>505</v>
      </c>
      <c r="B116" s="2" t="s">
        <v>62</v>
      </c>
      <c r="C116" s="3" t="s">
        <v>506</v>
      </c>
      <c r="D116" s="3" t="s">
        <v>47</v>
      </c>
      <c r="E116" s="2" t="s">
        <v>507</v>
      </c>
      <c r="F116" s="2"/>
      <c r="G116" s="5">
        <v>46113.1</v>
      </c>
      <c r="H116" s="5">
        <v>46215</v>
      </c>
      <c r="I116" s="4" t="s">
        <v>17</v>
      </c>
      <c r="J116" s="6">
        <f t="shared" si="4"/>
        <v>101.90000000000146</v>
      </c>
      <c r="K116" s="4" t="str">
        <f t="shared" ca="1" si="5"/>
        <v>No</v>
      </c>
      <c r="L116" s="7">
        <f>IF(I116="Completed","0",IF($H116="","",$H116-'[2]Read Me'!$B$4))</f>
        <v>28</v>
      </c>
      <c r="M116" s="4" t="str">
        <f>IF($I116="Complete","Green",IF($H116="","Amber",IF($H116&lt;'[2]Read Me'!$B$4,"Red",IF($H116-'[2]Read Me'!$B$4&lt;=21,"Amber","Green"))))</f>
        <v>Green</v>
      </c>
      <c r="N116" s="3"/>
      <c r="O116" t="str">
        <f>IF($I116&lt;&gt;"Complete",IF(COUNTIFS($A$4:$A115,$A116,$B$4:$B115,$B116,$I$4:$I115,"&lt;&gt;Complete")=0,$A116&amp;"|"&amp;$B116,""),"")</f>
        <v/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 t="s">
        <v>505</v>
      </c>
      <c r="B117" s="2" t="s">
        <v>62</v>
      </c>
      <c r="C117" s="3" t="s">
        <v>506</v>
      </c>
      <c r="D117" s="3" t="s">
        <v>512</v>
      </c>
      <c r="E117" s="2" t="s">
        <v>507</v>
      </c>
      <c r="F117" s="2"/>
      <c r="G117" s="5">
        <v>46127.1</v>
      </c>
      <c r="H117" s="5">
        <v>46181</v>
      </c>
      <c r="I117" s="4" t="s">
        <v>31</v>
      </c>
      <c r="J117" s="6">
        <f t="shared" si="4"/>
        <v>53.900000000001455</v>
      </c>
      <c r="K117" s="4" t="str">
        <f t="shared" ca="1" si="5"/>
        <v>-</v>
      </c>
      <c r="L117" s="7" t="str">
        <f>IF(I117="Completed","0",IF($H117="","",$H117-'[2]Read Me'!$B$4))</f>
        <v>0</v>
      </c>
      <c r="M117" s="4" t="str">
        <f>IF($I117="Complete","Green",IF($H117="","Amber",IF($H117&lt;'[2]Read Me'!$B$4,"Red",IF($H117-'[2]Read Me'!$B$4&lt;=21,"Amber","Green"))))</f>
        <v>Red</v>
      </c>
      <c r="N117" s="3"/>
      <c r="O117" t="str">
        <f>IF($I117&lt;&gt;"Complete",IF(COUNTIFS($A$4:$A116,$A117,$B$4:$B116,$B117,$I$4:$I116,"&lt;&gt;Complete")=0,$A117&amp;"|"&amp;$B117,""),"")</f>
        <v/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 t="s">
        <v>505</v>
      </c>
      <c r="B118" s="2" t="s">
        <v>62</v>
      </c>
      <c r="C118" s="3" t="s">
        <v>506</v>
      </c>
      <c r="D118" s="3" t="s">
        <v>513</v>
      </c>
      <c r="E118" s="2" t="s">
        <v>507</v>
      </c>
      <c r="F118" s="2"/>
      <c r="G118" s="5">
        <v>46127.1</v>
      </c>
      <c r="H118" s="5">
        <v>46181</v>
      </c>
      <c r="I118" s="4" t="s">
        <v>31</v>
      </c>
      <c r="J118" s="6">
        <f t="shared" si="4"/>
        <v>53.900000000001455</v>
      </c>
      <c r="K118" s="4" t="str">
        <f t="shared" ca="1" si="5"/>
        <v>-</v>
      </c>
      <c r="L118" s="7" t="str">
        <f>IF(I118="Completed","0",IF($H118="","",$H118-'[2]Read Me'!$B$4))</f>
        <v>0</v>
      </c>
      <c r="M118" s="4" t="str">
        <f>IF($I118="Complete","Green",IF($H118="","Amber",IF($H118&lt;'[2]Read Me'!$B$4,"Red",IF($H118-'[2]Read Me'!$B$4&lt;=21,"Amber","Green"))))</f>
        <v>Red</v>
      </c>
      <c r="N118" s="3"/>
      <c r="O118" t="str">
        <f>IF($I118&lt;&gt;"Complete",IF(COUNTIFS($A$4:$A117,$A118,$B$4:$B117,$B118,$I$4:$I117,"&lt;&gt;Complete")=0,$A118&amp;"|"&amp;$B118,""),"")</f>
        <v/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 t="s">
        <v>505</v>
      </c>
      <c r="B119" s="2" t="s">
        <v>62</v>
      </c>
      <c r="C119" s="3" t="s">
        <v>506</v>
      </c>
      <c r="D119" s="3" t="s">
        <v>133</v>
      </c>
      <c r="E119" s="2"/>
      <c r="F119" s="2" t="s">
        <v>511</v>
      </c>
      <c r="G119" s="5">
        <v>46134.1</v>
      </c>
      <c r="H119" s="5">
        <v>46237</v>
      </c>
      <c r="I119" s="4" t="s">
        <v>17</v>
      </c>
      <c r="J119" s="6">
        <f t="shared" si="4"/>
        <v>102.90000000000146</v>
      </c>
      <c r="K119" s="4" t="str">
        <f t="shared" ca="1" si="5"/>
        <v>No</v>
      </c>
      <c r="L119" s="7">
        <f>IF(I119="Completed","0",IF($H119="","",$H119-'[2]Read Me'!$B$4))</f>
        <v>50</v>
      </c>
      <c r="M119" s="4" t="str">
        <f>IF($I119="Complete","Green",IF($H119="","Amber",IF($H119&lt;'[2]Read Me'!$B$4,"Red",IF($H119-'[2]Read Me'!$B$4&lt;=21,"Amber","Green"))))</f>
        <v>Green</v>
      </c>
      <c r="N119" s="3"/>
      <c r="O119" t="str">
        <f>IF($I119&lt;&gt;"Complete",IF(COUNTIFS($A$4:$A118,$A119,$B$4:$B118,$B119,$I$4:$I118,"&lt;&gt;Complete")=0,$A119&amp;"|"&amp;$B119,""),"")</f>
        <v/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 t="s">
        <v>505</v>
      </c>
      <c r="B120" s="2" t="s">
        <v>62</v>
      </c>
      <c r="C120" s="3" t="s">
        <v>506</v>
      </c>
      <c r="D120" s="3" t="s">
        <v>134</v>
      </c>
      <c r="E120" s="2"/>
      <c r="F120" s="2"/>
      <c r="G120" s="5">
        <v>46148.1</v>
      </c>
      <c r="H120" s="5">
        <v>46251</v>
      </c>
      <c r="I120" s="4" t="s">
        <v>17</v>
      </c>
      <c r="J120" s="6">
        <f t="shared" si="4"/>
        <v>102.90000000000146</v>
      </c>
      <c r="K120" s="4" t="str">
        <f t="shared" ca="1" si="5"/>
        <v>No</v>
      </c>
      <c r="L120" s="7">
        <f>IF(I120="Completed","0",IF($H120="","",$H120-'[2]Read Me'!$B$4))</f>
        <v>64</v>
      </c>
      <c r="M120" s="4" t="str">
        <f>IF($I120="Complete","Green",IF($H120="","Amber",IF($H120&lt;'[2]Read Me'!$B$4,"Red",IF($H120-'[2]Read Me'!$B$4&lt;=21,"Amber","Green"))))</f>
        <v>Green</v>
      </c>
      <c r="N120" s="3"/>
      <c r="O120" t="str">
        <f>IF($I120&lt;&gt;"Complete",IF(COUNTIFS($A$4:$A119,$A120,$B$4:$B119,$B120,$I$4:$I119,"&lt;&gt;Complete")=0,$A120&amp;"|"&amp;$B120,""),"")</f>
        <v/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 t="s">
        <v>505</v>
      </c>
      <c r="B121" s="2" t="s">
        <v>62</v>
      </c>
      <c r="C121" s="3" t="s">
        <v>506</v>
      </c>
      <c r="D121" s="3" t="s">
        <v>18</v>
      </c>
      <c r="E121" s="2"/>
      <c r="F121" s="2" t="s">
        <v>511</v>
      </c>
      <c r="G121" s="5">
        <v>46169.1</v>
      </c>
      <c r="H121" s="5">
        <v>46272</v>
      </c>
      <c r="I121" s="4" t="s">
        <v>17</v>
      </c>
      <c r="J121" s="6">
        <f t="shared" si="4"/>
        <v>102.90000000000146</v>
      </c>
      <c r="K121" s="4" t="str">
        <f t="shared" ca="1" si="5"/>
        <v>No</v>
      </c>
      <c r="L121" s="7">
        <f>IF(I121="Completed","0",IF($H121="","",$H121-'[2]Read Me'!$B$4))</f>
        <v>85</v>
      </c>
      <c r="M121" s="4" t="str">
        <f>IF($I121="Complete","Green",IF($H121="","Amber",IF($H121&lt;'[2]Read Me'!$B$4,"Red",IF($H121-'[2]Read Me'!$B$4&lt;=21,"Amber","Green"))))</f>
        <v>Green</v>
      </c>
      <c r="N121" s="3"/>
      <c r="O121" t="str">
        <f>IF($I121&lt;&gt;"Complete",IF(COUNTIFS($A$4:$A120,$A121,$B$4:$B120,$B121,$I$4:$I120,"&lt;&gt;Complete")=0,$A121&amp;"|"&amp;$B121,""),"")</f>
        <v/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 t="s">
        <v>505</v>
      </c>
      <c r="B122" s="2" t="s">
        <v>62</v>
      </c>
      <c r="C122" s="3" t="s">
        <v>506</v>
      </c>
      <c r="D122" s="3" t="s">
        <v>32</v>
      </c>
      <c r="E122" s="2"/>
      <c r="F122" s="2"/>
      <c r="G122" s="5">
        <v>46183.1</v>
      </c>
      <c r="H122" s="5">
        <v>46286</v>
      </c>
      <c r="I122" s="4" t="s">
        <v>17</v>
      </c>
      <c r="J122" s="6">
        <f t="shared" si="4"/>
        <v>102.90000000000146</v>
      </c>
      <c r="K122" s="4" t="str">
        <f t="shared" ca="1" si="5"/>
        <v>No</v>
      </c>
      <c r="L122" s="7">
        <f>IF(I122="Completed","0",IF($H122="","",$H122-'[2]Read Me'!$B$4))</f>
        <v>99</v>
      </c>
      <c r="M122" s="4" t="str">
        <f>IF($I122="Complete","Green",IF($H122="","Amber",IF($H122&lt;'[2]Read Me'!$B$4,"Red",IF($H122-'[2]Read Me'!$B$4&lt;=21,"Amber","Green"))))</f>
        <v>Green</v>
      </c>
      <c r="N122" s="3"/>
      <c r="O122" t="str">
        <f>IF($I122&lt;&gt;"Complete",IF(COUNTIFS($A$4:$A121,$A122,$B$4:$B121,$B122,$I$4:$I121,"&lt;&gt;Complete")=0,$A122&amp;"|"&amp;$B122,""),"")</f>
        <v/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 t="s">
        <v>505</v>
      </c>
      <c r="B123" s="2" t="s">
        <v>62</v>
      </c>
      <c r="C123" s="3" t="s">
        <v>506</v>
      </c>
      <c r="D123" s="3" t="s">
        <v>19</v>
      </c>
      <c r="E123" s="2"/>
      <c r="F123" s="2"/>
      <c r="G123" s="5">
        <v>46190.1</v>
      </c>
      <c r="H123" s="5">
        <v>46293</v>
      </c>
      <c r="I123" s="4" t="s">
        <v>17</v>
      </c>
      <c r="J123" s="6">
        <f t="shared" si="4"/>
        <v>102.90000000000146</v>
      </c>
      <c r="K123" s="4" t="str">
        <f t="shared" ca="1" si="5"/>
        <v>No</v>
      </c>
      <c r="L123" s="7">
        <f>IF(I123="Completed","0",IF($H123="","",$H123-'[2]Read Me'!$B$4))</f>
        <v>106</v>
      </c>
      <c r="M123" s="4" t="str">
        <f>IF($I123="Complete","Green",IF($H123="","Amber",IF($H123&lt;'[2]Read Me'!$B$4,"Red",IF($H123-'[2]Read Me'!$B$4&lt;=21,"Amber","Green"))))</f>
        <v>Green</v>
      </c>
      <c r="N123" s="3"/>
      <c r="O123" t="str">
        <f>IF($I123&lt;&gt;"Complete",IF(COUNTIFS($A$4:$A122,$A123,$B$4:$B122,$B123,$I$4:$I122,"&lt;&gt;Complete")=0,$A123&amp;"|"&amp;$B123,""),"")</f>
        <v/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 t="s">
        <v>505</v>
      </c>
      <c r="B124" s="2" t="s">
        <v>62</v>
      </c>
      <c r="C124" s="3" t="s">
        <v>506</v>
      </c>
      <c r="D124" s="3" t="s">
        <v>14</v>
      </c>
      <c r="E124" s="2"/>
      <c r="F124" s="2" t="s">
        <v>511</v>
      </c>
      <c r="G124" s="5">
        <v>46218.1</v>
      </c>
      <c r="H124" s="5">
        <v>46321</v>
      </c>
      <c r="I124" s="4" t="s">
        <v>17</v>
      </c>
      <c r="J124" s="6">
        <f t="shared" si="4"/>
        <v>102.90000000000146</v>
      </c>
      <c r="K124" s="4" t="str">
        <f t="shared" ca="1" si="5"/>
        <v>No</v>
      </c>
      <c r="L124" s="7">
        <f>IF(I124="Completed","0",IF($H124="","",$H124-'[2]Read Me'!$B$4))</f>
        <v>134</v>
      </c>
      <c r="M124" s="4" t="str">
        <f>IF($I124="Complete","Green",IF($H124="","Amber",IF($H124&lt;'[2]Read Me'!$B$4,"Red",IF($H124-'[2]Read Me'!$B$4&lt;=21,"Amber","Green"))))</f>
        <v>Green</v>
      </c>
      <c r="N124" s="3"/>
      <c r="O124" t="str">
        <f>IF($I124&lt;&gt;"Complete",IF(COUNTIFS($A$4:$A123,$A124,$B$4:$B123,$B124,$I$4:$I123,"&lt;&gt;Complete")=0,$A124&amp;"|"&amp;$B124,""),"")</f>
        <v/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 t="s">
        <v>505</v>
      </c>
      <c r="B125" s="2" t="s">
        <v>62</v>
      </c>
      <c r="C125" s="3" t="s">
        <v>506</v>
      </c>
      <c r="D125" s="3" t="s">
        <v>34</v>
      </c>
      <c r="E125" s="2"/>
      <c r="F125" s="2"/>
      <c r="G125" s="5">
        <v>46232.1</v>
      </c>
      <c r="H125" s="5">
        <v>46335</v>
      </c>
      <c r="I125" s="4" t="s">
        <v>17</v>
      </c>
      <c r="J125" s="6">
        <f t="shared" si="4"/>
        <v>102.90000000000146</v>
      </c>
      <c r="K125" s="4" t="str">
        <f t="shared" ca="1" si="5"/>
        <v>No</v>
      </c>
      <c r="L125" s="7">
        <f>IF(I125="Completed","0",IF($H125="","",$H125-'[2]Read Me'!$B$4))</f>
        <v>148</v>
      </c>
      <c r="M125" s="4" t="str">
        <f>IF($I125="Complete","Green",IF($H125="","Amber",IF($H125&lt;'[2]Read Me'!$B$4,"Red",IF($H125-'[2]Read Me'!$B$4&lt;=21,"Amber","Green"))))</f>
        <v>Green</v>
      </c>
      <c r="N125" s="3"/>
      <c r="O125" t="str">
        <f>IF($I125&lt;&gt;"Complete",IF(COUNTIFS($A$4:$A124,$A125,$B$4:$B124,$B125,$I$4:$I124,"&lt;&gt;Complete")=0,$A125&amp;"|"&amp;$B125,""),"")</f>
        <v/>
      </c>
      <c r="P125" t="str">
        <f ca="1">IF($K125="Yes",COUNTIFS($K$4:$K125,"Yes"),"")</f>
        <v/>
      </c>
      <c r="Q125">
        <f t="shared" ca="1" si="6"/>
        <v>0</v>
      </c>
      <c r="R125" t="str">
        <f ca="1">IF($Q125=1,SUM($Q$4:$Q125),"")</f>
        <v/>
      </c>
    </row>
    <row r="126" spans="1:18" ht="22.5" customHeight="1" x14ac:dyDescent="0.3">
      <c r="A126" s="2" t="s">
        <v>505</v>
      </c>
      <c r="B126" s="2" t="s">
        <v>62</v>
      </c>
      <c r="C126" s="3" t="s">
        <v>506</v>
      </c>
      <c r="D126" s="3" t="s">
        <v>15</v>
      </c>
      <c r="E126" s="2"/>
      <c r="F126" s="2" t="s">
        <v>511</v>
      </c>
      <c r="G126" s="5">
        <v>46253.1</v>
      </c>
      <c r="H126" s="5">
        <v>46349</v>
      </c>
      <c r="I126" s="4" t="s">
        <v>17</v>
      </c>
      <c r="J126" s="6">
        <f t="shared" si="4"/>
        <v>95.900000000001455</v>
      </c>
      <c r="K126" s="4" t="str">
        <f t="shared" ca="1" si="5"/>
        <v>No</v>
      </c>
      <c r="L126" s="7">
        <f>IF(I126="Completed","0",IF($H126="","",$H126-'[2]Read Me'!$B$4))</f>
        <v>162</v>
      </c>
      <c r="M126" s="4" t="str">
        <f>IF($I126="Complete","Green",IF($H126="","Amber",IF($H126&lt;'[2]Read Me'!$B$4,"Red",IF($H126-'[2]Read Me'!$B$4&lt;=21,"Amber","Green"))))</f>
        <v>Green</v>
      </c>
      <c r="N126" s="3"/>
      <c r="O126" t="str">
        <f>IF($I126&lt;&gt;"Complete",IF(COUNTIFS($A$4:$A125,$A126,$B$4:$B125,$B126,$I$4:$I125,"&lt;&gt;Complete")=0,$A126&amp;"|"&amp;$B126,""),"")</f>
        <v/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 t="s">
        <v>505</v>
      </c>
      <c r="B127" s="2" t="s">
        <v>62</v>
      </c>
      <c r="C127" s="3" t="s">
        <v>506</v>
      </c>
      <c r="D127" s="3" t="s">
        <v>35</v>
      </c>
      <c r="E127" s="2"/>
      <c r="F127" s="2"/>
      <c r="G127" s="5">
        <v>46267.1</v>
      </c>
      <c r="H127" s="5">
        <v>46363</v>
      </c>
      <c r="I127" s="4" t="s">
        <v>17</v>
      </c>
      <c r="J127" s="6">
        <f t="shared" si="4"/>
        <v>95.900000000001455</v>
      </c>
      <c r="K127" s="4" t="str">
        <f t="shared" ca="1" si="5"/>
        <v>No</v>
      </c>
      <c r="L127" s="7">
        <f>IF(I127="Completed","0",IF($H127="","",$H127-'[2]Read Me'!$B$4))</f>
        <v>176</v>
      </c>
      <c r="M127" s="4" t="str">
        <f>IF($I127="Complete","Green",IF($H127="","Amber",IF($H127&lt;'[2]Read Me'!$B$4,"Red",IF($H127-'[2]Read Me'!$B$4&lt;=21,"Amber","Green"))))</f>
        <v>Green</v>
      </c>
      <c r="N127" s="3"/>
      <c r="O127" t="str">
        <f>IF($I127&lt;&gt;"Complete",IF(COUNTIFS($A$4:$A126,$A127,$B$4:$B126,$B127,$I$4:$I126,"&lt;&gt;Complete")=0,$A127&amp;"|"&amp;$B127,""),"")</f>
        <v/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 t="s">
        <v>505</v>
      </c>
      <c r="B128" s="2" t="s">
        <v>62</v>
      </c>
      <c r="C128" s="3" t="s">
        <v>506</v>
      </c>
      <c r="D128" s="3" t="s">
        <v>20</v>
      </c>
      <c r="E128" s="2"/>
      <c r="F128" s="2"/>
      <c r="G128" s="5">
        <v>46274.1</v>
      </c>
      <c r="H128" s="5">
        <v>46370</v>
      </c>
      <c r="I128" s="4" t="s">
        <v>17</v>
      </c>
      <c r="J128" s="6">
        <f t="shared" si="4"/>
        <v>95.900000000001455</v>
      </c>
      <c r="K128" s="4" t="str">
        <f t="shared" ca="1" si="5"/>
        <v>No</v>
      </c>
      <c r="L128" s="7">
        <f>IF(I128="Completed","0",IF($H128="","",$H128-'[2]Read Me'!$B$4))</f>
        <v>183</v>
      </c>
      <c r="M128" s="4" t="str">
        <f>IF($I128="Complete","Green",IF($H128="","Amber",IF($H128&lt;'[2]Read Me'!$B$4,"Red",IF($H128-'[2]Read Me'!$B$4&lt;=21,"Amber","Green"))))</f>
        <v>Green</v>
      </c>
      <c r="N128" s="3"/>
      <c r="O128" t="str">
        <f>IF($I128&lt;&gt;"Complete",IF(COUNTIFS($A$4:$A127,$A128,$B$4:$B127,$B128,$I$4:$I127,"&lt;&gt;Complete")=0,$A128&amp;"|"&amp;$B128,""),"")</f>
        <v/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 t="s">
        <v>505</v>
      </c>
      <c r="B129" s="2" t="s">
        <v>62</v>
      </c>
      <c r="C129" s="3" t="s">
        <v>506</v>
      </c>
      <c r="D129" s="3" t="s">
        <v>83</v>
      </c>
      <c r="E129" s="2"/>
      <c r="F129" s="2" t="s">
        <v>511</v>
      </c>
      <c r="G129" s="5">
        <v>46253.1</v>
      </c>
      <c r="H129" s="5">
        <v>46349</v>
      </c>
      <c r="I129" s="4" t="s">
        <v>17</v>
      </c>
      <c r="J129" s="6">
        <f t="shared" si="4"/>
        <v>95.900000000001455</v>
      </c>
      <c r="K129" s="4" t="str">
        <f t="shared" ca="1" si="5"/>
        <v>No</v>
      </c>
      <c r="L129" s="7">
        <f>IF(I129="Completed","0",IF($H129="","",$H129-'[2]Read Me'!$B$4))</f>
        <v>162</v>
      </c>
      <c r="M129" s="4" t="str">
        <f>IF($I129="Complete","Green",IF($H129="","Amber",IF($H129&lt;'[2]Read Me'!$B$4,"Red",IF($H129-'[2]Read Me'!$B$4&lt;=21,"Amber","Green"))))</f>
        <v>Green</v>
      </c>
      <c r="N129" s="3"/>
      <c r="O129" t="str">
        <f>IF($I129&lt;&gt;"Complete",IF(COUNTIFS($A$4:$A128,$A129,$B$4:$B128,$B129,$I$4:$I128,"&lt;&gt;Complete")=0,$A129&amp;"|"&amp;$B129,""),"")</f>
        <v/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 t="s">
        <v>505</v>
      </c>
      <c r="B130" s="2" t="s">
        <v>62</v>
      </c>
      <c r="C130" s="3" t="s">
        <v>506</v>
      </c>
      <c r="D130" s="3" t="s">
        <v>84</v>
      </c>
      <c r="E130" s="2"/>
      <c r="F130" s="2"/>
      <c r="G130" s="5">
        <v>46267.1</v>
      </c>
      <c r="H130" s="5">
        <v>46363</v>
      </c>
      <c r="I130" s="4" t="s">
        <v>17</v>
      </c>
      <c r="J130" s="6">
        <f t="shared" si="4"/>
        <v>95.900000000001455</v>
      </c>
      <c r="K130" s="4" t="str">
        <f t="shared" ca="1" si="5"/>
        <v>No</v>
      </c>
      <c r="L130" s="7">
        <f>IF(I130="Completed","0",IF($H130="","",$H130-'[2]Read Me'!$B$4))</f>
        <v>176</v>
      </c>
      <c r="M130" s="4" t="str">
        <f>IF($I130="Complete","Green",IF($H130="","Amber",IF($H130&lt;'[2]Read Me'!$B$4,"Red",IF($H130-'[2]Read Me'!$B$4&lt;=21,"Amber","Green"))))</f>
        <v>Green</v>
      </c>
      <c r="N130" s="3"/>
      <c r="O130" t="str">
        <f>IF($I130&lt;&gt;"Complete",IF(COUNTIFS($A$4:$A129,$A130,$B$4:$B129,$B130,$I$4:$I129,"&lt;&gt;Complete")=0,$A130&amp;"|"&amp;$B130,""),"")</f>
        <v/>
      </c>
      <c r="P130" t="str">
        <f ca="1">IF($K130="Yes",COUNTIFS($K$4:$K130,"Yes"),"")</f>
        <v/>
      </c>
      <c r="Q130">
        <f t="shared" ca="1" si="6"/>
        <v>0</v>
      </c>
      <c r="R130" t="str">
        <f ca="1">IF($Q130=1,SUM($Q$4:$Q130),"")</f>
        <v/>
      </c>
    </row>
    <row r="131" spans="1:18" ht="22.5" customHeight="1" x14ac:dyDescent="0.3">
      <c r="A131" s="2" t="s">
        <v>505</v>
      </c>
      <c r="B131" s="2" t="s">
        <v>62</v>
      </c>
      <c r="C131" s="3" t="s">
        <v>506</v>
      </c>
      <c r="D131" s="3" t="s">
        <v>16</v>
      </c>
      <c r="E131" s="2"/>
      <c r="F131" s="2" t="s">
        <v>511</v>
      </c>
      <c r="G131" s="5">
        <v>46288.1</v>
      </c>
      <c r="H131" s="5">
        <v>46384</v>
      </c>
      <c r="I131" s="4" t="s">
        <v>17</v>
      </c>
      <c r="J131" s="6">
        <f t="shared" si="4"/>
        <v>95.900000000001455</v>
      </c>
      <c r="K131" s="4" t="str">
        <f t="shared" ca="1" si="5"/>
        <v>No</v>
      </c>
      <c r="L131" s="7">
        <f>IF(I131="Completed","0",IF($H131="","",$H131-'[2]Read Me'!$B$4))</f>
        <v>197</v>
      </c>
      <c r="M131" s="4" t="str">
        <f>IF($I131="Complete","Green",IF($H131="","Amber",IF($H131&lt;'[2]Read Me'!$B$4,"Red",IF($H131-'[2]Read Me'!$B$4&lt;=21,"Amber","Green"))))</f>
        <v>Green</v>
      </c>
      <c r="N131" s="3"/>
      <c r="O131" t="str">
        <f>IF($I131&lt;&gt;"Complete",IF(COUNTIFS($A$4:$A130,$A131,$B$4:$B130,$B131,$I$4:$I130,"&lt;&gt;Complete")=0,$A131&amp;"|"&amp;$B131,""),"")</f>
        <v/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 t="s">
        <v>505</v>
      </c>
      <c r="B132" s="2" t="s">
        <v>62</v>
      </c>
      <c r="C132" s="3" t="s">
        <v>506</v>
      </c>
      <c r="D132" s="3" t="s">
        <v>37</v>
      </c>
      <c r="E132" s="2"/>
      <c r="F132" s="2"/>
      <c r="G132" s="5">
        <v>46302.1</v>
      </c>
      <c r="H132" s="5">
        <v>46398</v>
      </c>
      <c r="I132" s="4" t="s">
        <v>17</v>
      </c>
      <c r="J132" s="6">
        <f t="shared" ref="J132:J195" si="7">IF(OR($G132="",$H132=""),"",$H132-$G132)</f>
        <v>95.900000000001455</v>
      </c>
      <c r="K132" s="4" t="str">
        <f t="shared" ref="K132:K195" ca="1" si="8">IF(C132="","",IF(H132="","",IF($I132="completed","-",IF($H132&gt;TODAY(),"No","Yes"))))</f>
        <v>No</v>
      </c>
      <c r="L132" s="7">
        <f>IF(I132="Completed","0",IF($H132="","",$H132-'[2]Read Me'!$B$4))</f>
        <v>211</v>
      </c>
      <c r="M132" s="4" t="str">
        <f>IF($I132="Complete","Green",IF($H132="","Amber",IF($H132&lt;'[2]Read Me'!$B$4,"Red",IF($H132-'[2]Read Me'!$B$4&lt;=21,"Amber","Green"))))</f>
        <v>Green</v>
      </c>
      <c r="N132" s="3"/>
      <c r="O132" t="str">
        <f>IF($I132&lt;&gt;"Complete",IF(COUNTIFS($A$4:$A131,$A132,$B$4:$B131,$B132,$I$4:$I131,"&lt;&gt;Complete")=0,$A132&amp;"|"&amp;$B132,""),"")</f>
        <v/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 t="s">
        <v>505</v>
      </c>
      <c r="B133" s="2" t="s">
        <v>140</v>
      </c>
      <c r="C133" s="3"/>
      <c r="D133" s="3"/>
      <c r="E133" s="2"/>
      <c r="F133" s="2"/>
      <c r="G133" s="5">
        <v>46274.1</v>
      </c>
      <c r="H133" s="5">
        <v>46377</v>
      </c>
      <c r="I133" s="4"/>
      <c r="J133" s="6">
        <f t="shared" si="7"/>
        <v>102.90000000000146</v>
      </c>
      <c r="K133" s="4" t="str">
        <f t="shared" ca="1" si="8"/>
        <v/>
      </c>
      <c r="L133" s="7">
        <f>IF(I133="Completed","0",IF($H133="","",$H133-'[2]Read Me'!$B$4))</f>
        <v>190</v>
      </c>
      <c r="M133" s="4" t="str">
        <f>IF($I133="Complete","Green",IF($H133="","Amber",IF($H133&lt;'[2]Read Me'!$B$4,"Red",IF($H133-'[2]Read Me'!$B$4&lt;=21,"Amber","Green"))))</f>
        <v>Green</v>
      </c>
      <c r="N133" s="3"/>
      <c r="O133" t="str">
        <f>IF($I133&lt;&gt;"Complete",IF(COUNTIFS($A$4:$A132,$A133,$B$4:$B132,$B133,$I$4:$I132,"&lt;&gt;Complete")=0,$A133&amp;"|"&amp;$B133,""),"")</f>
        <v>Commercial|Masterplan</v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 t="s">
        <v>505</v>
      </c>
      <c r="B134" s="2" t="s">
        <v>140</v>
      </c>
      <c r="C134" s="3" t="s">
        <v>514</v>
      </c>
      <c r="D134" s="3" t="s">
        <v>510</v>
      </c>
      <c r="E134" s="2" t="s">
        <v>507</v>
      </c>
      <c r="F134" s="2" t="s">
        <v>511</v>
      </c>
      <c r="G134" s="5">
        <v>46036.1</v>
      </c>
      <c r="H134" s="5">
        <v>46036.1</v>
      </c>
      <c r="I134" s="4" t="s">
        <v>31</v>
      </c>
      <c r="J134" s="6">
        <f t="shared" si="7"/>
        <v>0</v>
      </c>
      <c r="K134" s="4" t="str">
        <f t="shared" ca="1" si="8"/>
        <v>-</v>
      </c>
      <c r="L134" s="7" t="str">
        <f>IF(I134="Completed","0",IF($H134="","",$H134-'[2]Read Me'!$B$4))</f>
        <v>0</v>
      </c>
      <c r="M134" s="4" t="str">
        <f>IF($I134="Complete","Green",IF($H134="","Amber",IF($H134&lt;'[2]Read Me'!$B$4,"Red",IF($H134-'[2]Read Me'!$B$4&lt;=21,"Amber","Green"))))</f>
        <v>Red</v>
      </c>
      <c r="N134" s="3"/>
      <c r="O134" t="str">
        <f>IF($I134&lt;&gt;"Complete",IF(COUNTIFS($A$4:$A133,$A134,$B$4:$B133,$B134,$I$4:$I133,"&lt;&gt;Complete")=0,$A134&amp;"|"&amp;$B134,""),"")</f>
        <v/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 t="s">
        <v>505</v>
      </c>
      <c r="B135" s="2" t="s">
        <v>140</v>
      </c>
      <c r="C135" s="3" t="s">
        <v>514</v>
      </c>
      <c r="D135" s="3" t="s">
        <v>235</v>
      </c>
      <c r="E135" s="2" t="s">
        <v>507</v>
      </c>
      <c r="F135" s="2"/>
      <c r="G135" s="5">
        <v>46050.1</v>
      </c>
      <c r="H135" s="5">
        <v>46068</v>
      </c>
      <c r="I135" s="4" t="s">
        <v>31</v>
      </c>
      <c r="J135" s="6">
        <f t="shared" si="7"/>
        <v>17.900000000001455</v>
      </c>
      <c r="K135" s="4" t="str">
        <f t="shared" ca="1" si="8"/>
        <v>-</v>
      </c>
      <c r="L135" s="7" t="str">
        <f>IF(I135="Completed","0",IF($H135="","",$H135-'[2]Read Me'!$B$4))</f>
        <v>0</v>
      </c>
      <c r="M135" s="4" t="str">
        <f>IF($I135="Complete","Green",IF($H135="","Amber",IF($H135&lt;'[2]Read Me'!$B$4,"Red",IF($H135-'[2]Read Me'!$B$4&lt;=21,"Amber","Green"))))</f>
        <v>Red</v>
      </c>
      <c r="N135" s="3"/>
      <c r="O135" t="str">
        <f>IF($I135&lt;&gt;"Complete",IF(COUNTIFS($A$4:$A134,$A135,$B$4:$B134,$B135,$I$4:$I134,"&lt;&gt;Complete")=0,$A135&amp;"|"&amp;$B135,""),"")</f>
        <v/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 t="s">
        <v>505</v>
      </c>
      <c r="B136" s="2" t="s">
        <v>140</v>
      </c>
      <c r="C136" s="3" t="s">
        <v>514</v>
      </c>
      <c r="D136" s="3" t="s">
        <v>97</v>
      </c>
      <c r="E136" s="2" t="s">
        <v>507</v>
      </c>
      <c r="F136" s="2" t="s">
        <v>511</v>
      </c>
      <c r="G136" s="5">
        <v>46071.1</v>
      </c>
      <c r="H136" s="5"/>
      <c r="I136" s="4" t="s">
        <v>46</v>
      </c>
      <c r="J136" s="6" t="str">
        <f t="shared" si="7"/>
        <v/>
      </c>
      <c r="K136" s="4" t="str">
        <f t="shared" ca="1" si="8"/>
        <v/>
      </c>
      <c r="L136" s="7" t="str">
        <f>IF(I136="Completed","0",IF($H136="","",$H136-'[2]Read Me'!$B$4))</f>
        <v/>
      </c>
      <c r="M136" s="4" t="str">
        <f>IF($I136="Complete","Green",IF($H136="","Amber",IF($H136&lt;'[2]Read Me'!$B$4,"Red",IF($H136-'[2]Read Me'!$B$4&lt;=21,"Amber","Green"))))</f>
        <v>Amber</v>
      </c>
      <c r="N136" s="3"/>
      <c r="O136" t="str">
        <f>IF($I136&lt;&gt;"Complete",IF(COUNTIFS($A$4:$A135,$A136,$B$4:$B135,$B136,$I$4:$I135,"&lt;&gt;Complete")=0,$A136&amp;"|"&amp;$B136,""),"")</f>
        <v/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 t="s">
        <v>505</v>
      </c>
      <c r="B137" s="2" t="s">
        <v>140</v>
      </c>
      <c r="C137" s="3" t="s">
        <v>514</v>
      </c>
      <c r="D137" s="3" t="s">
        <v>70</v>
      </c>
      <c r="E137" s="2" t="s">
        <v>507</v>
      </c>
      <c r="F137" s="2"/>
      <c r="G137" s="5">
        <v>46085.1</v>
      </c>
      <c r="H137" s="5"/>
      <c r="I137" s="4" t="s">
        <v>17</v>
      </c>
      <c r="J137" s="6" t="str">
        <f t="shared" si="7"/>
        <v/>
      </c>
      <c r="K137" s="4" t="str">
        <f t="shared" ca="1" si="8"/>
        <v/>
      </c>
      <c r="L137" s="7" t="str">
        <f>IF(I137="Completed","0",IF($H137="","",$H137-'[2]Read Me'!$B$4))</f>
        <v/>
      </c>
      <c r="M137" s="4" t="str">
        <f>IF($I137="Complete","Green",IF($H137="","Amber",IF($H137&lt;'[2]Read Me'!$B$4,"Red",IF($H137-'[2]Read Me'!$B$4&lt;=21,"Amber","Green"))))</f>
        <v>Amber</v>
      </c>
      <c r="N137" s="3"/>
      <c r="O137" t="str">
        <f>IF($I137&lt;&gt;"Complete",IF(COUNTIFS($A$4:$A136,$A137,$B$4:$B136,$B137,$I$4:$I136,"&lt;&gt;Complete")=0,$A137&amp;"|"&amp;$B137,""),"")</f>
        <v/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 t="s">
        <v>505</v>
      </c>
      <c r="B138" s="2" t="s">
        <v>140</v>
      </c>
      <c r="C138" s="3" t="s">
        <v>514</v>
      </c>
      <c r="D138" s="3" t="s">
        <v>98</v>
      </c>
      <c r="E138" s="2" t="s">
        <v>507</v>
      </c>
      <c r="F138" s="2" t="s">
        <v>511</v>
      </c>
      <c r="G138" s="5">
        <v>46099.1</v>
      </c>
      <c r="H138" s="5">
        <v>46208</v>
      </c>
      <c r="I138" s="4" t="s">
        <v>46</v>
      </c>
      <c r="J138" s="6">
        <f t="shared" si="7"/>
        <v>108.90000000000146</v>
      </c>
      <c r="K138" s="4" t="str">
        <f t="shared" ca="1" si="8"/>
        <v>No</v>
      </c>
      <c r="L138" s="7">
        <f>IF(I138="Completed","0",IF($H138="","",$H138-'[2]Read Me'!$B$4))</f>
        <v>21</v>
      </c>
      <c r="M138" s="4" t="str">
        <f>IF($I138="Complete","Green",IF($H138="","Amber",IF($H138&lt;'[2]Read Me'!$B$4,"Red",IF($H138-'[2]Read Me'!$B$4&lt;=21,"Amber","Green"))))</f>
        <v>Amber</v>
      </c>
      <c r="N138" s="3"/>
      <c r="O138" t="str">
        <f>IF($I138&lt;&gt;"Complete",IF(COUNTIFS($A$4:$A137,$A138,$B$4:$B137,$B138,$I$4:$I137,"&lt;&gt;Complete")=0,$A138&amp;"|"&amp;$B138,""),"")</f>
        <v/>
      </c>
      <c r="P138" t="str">
        <f ca="1">IF($K138="Yes",COUNTIFS($K$4:$K138,"Yes"),"")</f>
        <v/>
      </c>
      <c r="Q138">
        <f t="shared" ca="1" si="9"/>
        <v>0</v>
      </c>
      <c r="R138" t="str">
        <f ca="1">IF($Q138=1,SUM($Q$4:$Q138),"")</f>
        <v/>
      </c>
    </row>
    <row r="139" spans="1:18" ht="22.5" customHeight="1" x14ac:dyDescent="0.3">
      <c r="A139" s="2" t="s">
        <v>505</v>
      </c>
      <c r="B139" s="2" t="s">
        <v>140</v>
      </c>
      <c r="C139" s="3" t="s">
        <v>514</v>
      </c>
      <c r="D139" s="3" t="s">
        <v>47</v>
      </c>
      <c r="E139" s="2" t="s">
        <v>507</v>
      </c>
      <c r="F139" s="2"/>
      <c r="G139" s="5">
        <v>46113.1</v>
      </c>
      <c r="H139" s="5">
        <v>46215</v>
      </c>
      <c r="I139" s="4" t="s">
        <v>17</v>
      </c>
      <c r="J139" s="6">
        <f t="shared" si="7"/>
        <v>101.90000000000146</v>
      </c>
      <c r="K139" s="4" t="str">
        <f t="shared" ca="1" si="8"/>
        <v>No</v>
      </c>
      <c r="L139" s="7">
        <f>IF(I139="Completed","0",IF($H139="","",$H139-'[2]Read Me'!$B$4))</f>
        <v>28</v>
      </c>
      <c r="M139" s="4" t="str">
        <f>IF($I139="Complete","Green",IF($H139="","Amber",IF($H139&lt;'[2]Read Me'!$B$4,"Red",IF($H139-'[2]Read Me'!$B$4&lt;=21,"Amber","Green"))))</f>
        <v>Green</v>
      </c>
      <c r="N139" s="3"/>
      <c r="O139" t="str">
        <f>IF($I139&lt;&gt;"Complete",IF(COUNTIFS($A$4:$A138,$A139,$B$4:$B138,$B139,$I$4:$I138,"&lt;&gt;Complete")=0,$A139&amp;"|"&amp;$B139,""),"")</f>
        <v/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 t="s">
        <v>505</v>
      </c>
      <c r="B140" s="2" t="s">
        <v>140</v>
      </c>
      <c r="C140" s="3" t="s">
        <v>514</v>
      </c>
      <c r="D140" s="3" t="s">
        <v>515</v>
      </c>
      <c r="E140" s="2" t="s">
        <v>507</v>
      </c>
      <c r="F140" s="2"/>
      <c r="G140" s="5">
        <v>46127.1</v>
      </c>
      <c r="H140" s="5">
        <v>46181</v>
      </c>
      <c r="I140" s="4" t="s">
        <v>31</v>
      </c>
      <c r="J140" s="6">
        <f t="shared" si="7"/>
        <v>53.900000000001455</v>
      </c>
      <c r="K140" s="4" t="str">
        <f t="shared" ca="1" si="8"/>
        <v>-</v>
      </c>
      <c r="L140" s="7" t="str">
        <f>IF(I140="Completed","0",IF($H140="","",$H140-'[2]Read Me'!$B$4))</f>
        <v>0</v>
      </c>
      <c r="M140" s="4" t="str">
        <f>IF($I140="Complete","Green",IF($H140="","Amber",IF($H140&lt;'[2]Read Me'!$B$4,"Red",IF($H140-'[2]Read Me'!$B$4&lt;=21,"Amber","Green"))))</f>
        <v>Red</v>
      </c>
      <c r="N140" s="3"/>
      <c r="O140" t="str">
        <f>IF($I140&lt;&gt;"Complete",IF(COUNTIFS($A$4:$A139,$A140,$B$4:$B139,$B140,$I$4:$I139,"&lt;&gt;Complete")=0,$A140&amp;"|"&amp;$B140,""),"")</f>
        <v/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 t="s">
        <v>505</v>
      </c>
      <c r="B141" s="2" t="s">
        <v>140</v>
      </c>
      <c r="C141" s="3" t="s">
        <v>514</v>
      </c>
      <c r="D141" s="3" t="s">
        <v>18</v>
      </c>
      <c r="E141" s="2"/>
      <c r="F141" s="2" t="s">
        <v>511</v>
      </c>
      <c r="G141" s="5">
        <v>46155.1</v>
      </c>
      <c r="H141" s="5">
        <v>46258</v>
      </c>
      <c r="I141" s="4" t="s">
        <v>17</v>
      </c>
      <c r="J141" s="6">
        <f t="shared" si="7"/>
        <v>102.90000000000146</v>
      </c>
      <c r="K141" s="4" t="str">
        <f t="shared" ca="1" si="8"/>
        <v>No</v>
      </c>
      <c r="L141" s="7">
        <f>IF(I141="Completed","0",IF($H141="","",$H141-'[2]Read Me'!$B$4))</f>
        <v>71</v>
      </c>
      <c r="M141" s="4" t="str">
        <f>IF($I141="Complete","Green",IF($H141="","Amber",IF($H141&lt;'[2]Read Me'!$B$4,"Red",IF($H141-'[2]Read Me'!$B$4&lt;=21,"Amber","Green"))))</f>
        <v>Green</v>
      </c>
      <c r="N141" s="3"/>
      <c r="O141" t="str">
        <f>IF($I141&lt;&gt;"Complete",IF(COUNTIFS($A$4:$A140,$A141,$B$4:$B140,$B141,$I$4:$I140,"&lt;&gt;Complete")=0,$A141&amp;"|"&amp;$B141,""),"")</f>
        <v/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 t="s">
        <v>505</v>
      </c>
      <c r="B142" s="2" t="s">
        <v>140</v>
      </c>
      <c r="C142" s="3" t="s">
        <v>514</v>
      </c>
      <c r="D142" s="3" t="s">
        <v>32</v>
      </c>
      <c r="E142" s="2"/>
      <c r="F142" s="2"/>
      <c r="G142" s="5">
        <v>46169.1</v>
      </c>
      <c r="H142" s="5">
        <v>46272</v>
      </c>
      <c r="I142" s="4" t="s">
        <v>17</v>
      </c>
      <c r="J142" s="6">
        <f t="shared" si="7"/>
        <v>102.90000000000146</v>
      </c>
      <c r="K142" s="4" t="str">
        <f t="shared" ca="1" si="8"/>
        <v>No</v>
      </c>
      <c r="L142" s="7">
        <f>IF(I142="Completed","0",IF($H142="","",$H142-'[2]Read Me'!$B$4))</f>
        <v>85</v>
      </c>
      <c r="M142" s="4" t="str">
        <f>IF($I142="Complete","Green",IF($H142="","Amber",IF($H142&lt;'[2]Read Me'!$B$4,"Red",IF($H142-'[2]Read Me'!$B$4&lt;=21,"Amber","Green"))))</f>
        <v>Green</v>
      </c>
      <c r="N142" s="3"/>
      <c r="O142" t="str">
        <f>IF($I142&lt;&gt;"Complete",IF(COUNTIFS($A$4:$A141,$A142,$B$4:$B141,$B142,$I$4:$I141,"&lt;&gt;Complete")=0,$A142&amp;"|"&amp;$B142,""),"")</f>
        <v/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 t="s">
        <v>505</v>
      </c>
      <c r="B143" s="2" t="s">
        <v>140</v>
      </c>
      <c r="C143" s="3" t="s">
        <v>514</v>
      </c>
      <c r="D143" s="3" t="s">
        <v>516</v>
      </c>
      <c r="E143" s="2"/>
      <c r="F143" s="2"/>
      <c r="G143" s="5">
        <v>46169.1</v>
      </c>
      <c r="H143" s="5">
        <v>46272</v>
      </c>
      <c r="I143" s="4" t="s">
        <v>17</v>
      </c>
      <c r="J143" s="6">
        <f t="shared" si="7"/>
        <v>102.90000000000146</v>
      </c>
      <c r="K143" s="4" t="str">
        <f t="shared" ca="1" si="8"/>
        <v>No</v>
      </c>
      <c r="L143" s="7">
        <f>IF(I143="Completed","0",IF($H143="","",$H143-'[2]Read Me'!$B$4))</f>
        <v>85</v>
      </c>
      <c r="M143" s="4" t="str">
        <f>IF($I143="Complete","Green",IF($H143="","Amber",IF($H143&lt;'[2]Read Me'!$B$4,"Red",IF($H143-'[2]Read Me'!$B$4&lt;=21,"Amber","Green"))))</f>
        <v>Green</v>
      </c>
      <c r="N143" s="3"/>
      <c r="O143" t="str">
        <f>IF($I143&lt;&gt;"Complete",IF(COUNTIFS($A$4:$A142,$A143,$B$4:$B142,$B143,$I$4:$I142,"&lt;&gt;Complete")=0,$A143&amp;"|"&amp;$B143,""),"")</f>
        <v/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 t="s">
        <v>505</v>
      </c>
      <c r="B144" s="2" t="s">
        <v>140</v>
      </c>
      <c r="C144" s="3" t="s">
        <v>514</v>
      </c>
      <c r="D144" s="3" t="s">
        <v>14</v>
      </c>
      <c r="E144" s="2"/>
      <c r="F144" s="2" t="s">
        <v>511</v>
      </c>
      <c r="G144" s="5">
        <v>46190.1</v>
      </c>
      <c r="H144" s="5">
        <v>46293</v>
      </c>
      <c r="I144" s="4" t="s">
        <v>17</v>
      </c>
      <c r="J144" s="6">
        <f t="shared" si="7"/>
        <v>102.90000000000146</v>
      </c>
      <c r="K144" s="4" t="str">
        <f t="shared" ca="1" si="8"/>
        <v>No</v>
      </c>
      <c r="L144" s="7">
        <f>IF(I144="Completed","0",IF($H144="","",$H144-'[2]Read Me'!$B$4))</f>
        <v>106</v>
      </c>
      <c r="M144" s="4" t="str">
        <f>IF($I144="Complete","Green",IF($H144="","Amber",IF($H144&lt;'[2]Read Me'!$B$4,"Red",IF($H144-'[2]Read Me'!$B$4&lt;=21,"Amber","Green"))))</f>
        <v>Green</v>
      </c>
      <c r="N144" s="3"/>
      <c r="O144" t="str">
        <f>IF($I144&lt;&gt;"Complete",IF(COUNTIFS($A$4:$A143,$A144,$B$4:$B143,$B144,$I$4:$I143,"&lt;&gt;Complete")=0,$A144&amp;"|"&amp;$B144,""),"")</f>
        <v/>
      </c>
      <c r="P144" t="str">
        <f ca="1">IF($K144="Yes",COUNTIFS($K$4:$K144,"Yes"),"")</f>
        <v/>
      </c>
      <c r="Q144">
        <f t="shared" ca="1" si="9"/>
        <v>0</v>
      </c>
      <c r="R144" t="str">
        <f ca="1">IF($Q144=1,SUM($Q$4:$Q144),"")</f>
        <v/>
      </c>
    </row>
    <row r="145" spans="1:18" ht="22.5" customHeight="1" x14ac:dyDescent="0.3">
      <c r="A145" s="2" t="s">
        <v>505</v>
      </c>
      <c r="B145" s="2" t="s">
        <v>140</v>
      </c>
      <c r="C145" s="3" t="s">
        <v>514</v>
      </c>
      <c r="D145" s="3" t="s">
        <v>34</v>
      </c>
      <c r="E145" s="2"/>
      <c r="F145" s="2"/>
      <c r="G145" s="5">
        <v>46204.1</v>
      </c>
      <c r="H145" s="5">
        <v>46307</v>
      </c>
      <c r="I145" s="4" t="s">
        <v>17</v>
      </c>
      <c r="J145" s="6">
        <f t="shared" si="7"/>
        <v>102.90000000000146</v>
      </c>
      <c r="K145" s="4" t="str">
        <f t="shared" ca="1" si="8"/>
        <v>No</v>
      </c>
      <c r="L145" s="7">
        <f>IF(I145="Completed","0",IF($H145="","",$H145-'[2]Read Me'!$B$4))</f>
        <v>120</v>
      </c>
      <c r="M145" s="4" t="str">
        <f>IF($I145="Complete","Green",IF($H145="","Amber",IF($H145&lt;'[2]Read Me'!$B$4,"Red",IF($H145-'[2]Read Me'!$B$4&lt;=21,"Amber","Green"))))</f>
        <v>Green</v>
      </c>
      <c r="N145" s="3"/>
      <c r="O145" t="str">
        <f>IF($I145&lt;&gt;"Complete",IF(COUNTIFS($A$4:$A144,$A145,$B$4:$B144,$B145,$I$4:$I144,"&lt;&gt;Complete")=0,$A145&amp;"|"&amp;$B145,""),"")</f>
        <v/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 t="s">
        <v>505</v>
      </c>
      <c r="B146" s="2" t="s">
        <v>140</v>
      </c>
      <c r="C146" s="3" t="s">
        <v>514</v>
      </c>
      <c r="D146" s="3" t="s">
        <v>15</v>
      </c>
      <c r="E146" s="2"/>
      <c r="F146" s="2" t="s">
        <v>511</v>
      </c>
      <c r="G146" s="5">
        <v>46225.1</v>
      </c>
      <c r="H146" s="5">
        <v>46328</v>
      </c>
      <c r="I146" s="4" t="s">
        <v>17</v>
      </c>
      <c r="J146" s="6">
        <f t="shared" si="7"/>
        <v>102.90000000000146</v>
      </c>
      <c r="K146" s="4" t="str">
        <f t="shared" ca="1" si="8"/>
        <v>No</v>
      </c>
      <c r="L146" s="7">
        <f>IF(I146="Completed","0",IF($H146="","",$H146-'[2]Read Me'!$B$4))</f>
        <v>141</v>
      </c>
      <c r="M146" s="4" t="str">
        <f>IF($I146="Complete","Green",IF($H146="","Amber",IF($H146&lt;'[2]Read Me'!$B$4,"Red",IF($H146-'[2]Read Me'!$B$4&lt;=21,"Amber","Green"))))</f>
        <v>Green</v>
      </c>
      <c r="N146" s="3"/>
      <c r="O146" t="str">
        <f>IF($I146&lt;&gt;"Complete",IF(COUNTIFS($A$4:$A145,$A146,$B$4:$B145,$B146,$I$4:$I145,"&lt;&gt;Complete")=0,$A146&amp;"|"&amp;$B146,""),"")</f>
        <v/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 t="s">
        <v>505</v>
      </c>
      <c r="B147" s="2" t="s">
        <v>140</v>
      </c>
      <c r="C147" s="3" t="s">
        <v>514</v>
      </c>
      <c r="D147" s="3" t="s">
        <v>35</v>
      </c>
      <c r="E147" s="2"/>
      <c r="F147" s="2"/>
      <c r="G147" s="5">
        <v>46239.1</v>
      </c>
      <c r="H147" s="5">
        <v>46342</v>
      </c>
      <c r="I147" s="4" t="s">
        <v>17</v>
      </c>
      <c r="J147" s="6">
        <f t="shared" si="7"/>
        <v>102.90000000000146</v>
      </c>
      <c r="K147" s="4" t="str">
        <f t="shared" ca="1" si="8"/>
        <v>No</v>
      </c>
      <c r="L147" s="7">
        <f>IF(I147="Completed","0",IF($H147="","",$H147-'[2]Read Me'!$B$4))</f>
        <v>155</v>
      </c>
      <c r="M147" s="4" t="str">
        <f>IF($I147="Complete","Green",IF($H147="","Amber",IF($H147&lt;'[2]Read Me'!$B$4,"Red",IF($H147-'[2]Read Me'!$B$4&lt;=21,"Amber","Green"))))</f>
        <v>Green</v>
      </c>
      <c r="N147" s="3"/>
      <c r="O147" t="str">
        <f>IF($I147&lt;&gt;"Complete",IF(COUNTIFS($A$4:$A146,$A147,$B$4:$B146,$B147,$I$4:$I146,"&lt;&gt;Complete")=0,$A147&amp;"|"&amp;$B147,""),"")</f>
        <v/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 t="s">
        <v>505</v>
      </c>
      <c r="B148" s="2" t="s">
        <v>140</v>
      </c>
      <c r="C148" s="3" t="s">
        <v>514</v>
      </c>
      <c r="D148" s="3" t="s">
        <v>16</v>
      </c>
      <c r="E148" s="2"/>
      <c r="F148" s="2" t="s">
        <v>511</v>
      </c>
      <c r="G148" s="5">
        <v>46260.1</v>
      </c>
      <c r="H148" s="5">
        <v>46363</v>
      </c>
      <c r="I148" s="4" t="s">
        <v>17</v>
      </c>
      <c r="J148" s="6">
        <f t="shared" si="7"/>
        <v>102.90000000000146</v>
      </c>
      <c r="K148" s="4" t="str">
        <f t="shared" ca="1" si="8"/>
        <v>No</v>
      </c>
      <c r="L148" s="7">
        <f>IF(I148="Completed","0",IF($H148="","",$H148-'[2]Read Me'!$B$4))</f>
        <v>176</v>
      </c>
      <c r="M148" s="4" t="str">
        <f>IF($I148="Complete","Green",IF($H148="","Amber",IF($H148&lt;'[2]Read Me'!$B$4,"Red",IF($H148-'[2]Read Me'!$B$4&lt;=21,"Amber","Green"))))</f>
        <v>Green</v>
      </c>
      <c r="N148" s="3"/>
      <c r="O148" t="str">
        <f>IF($I148&lt;&gt;"Complete",IF(COUNTIFS($A$4:$A147,$A148,$B$4:$B147,$B148,$I$4:$I147,"&lt;&gt;Complete")=0,$A148&amp;"|"&amp;$B148,""),"")</f>
        <v/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 t="s">
        <v>505</v>
      </c>
      <c r="B149" s="2" t="s">
        <v>140</v>
      </c>
      <c r="C149" s="3" t="s">
        <v>514</v>
      </c>
      <c r="D149" s="3" t="s">
        <v>37</v>
      </c>
      <c r="E149" s="2"/>
      <c r="F149" s="2"/>
      <c r="G149" s="5">
        <v>46274.1</v>
      </c>
      <c r="H149" s="5">
        <v>46377</v>
      </c>
      <c r="I149" s="4" t="s">
        <v>17</v>
      </c>
      <c r="J149" s="6">
        <f t="shared" si="7"/>
        <v>102.90000000000146</v>
      </c>
      <c r="K149" s="4" t="str">
        <f t="shared" ca="1" si="8"/>
        <v>No</v>
      </c>
      <c r="L149" s="7">
        <f>IF(I149="Completed","0",IF($H149="","",$H149-'[2]Read Me'!$B$4))</f>
        <v>190</v>
      </c>
      <c r="M149" s="4" t="str">
        <f>IF($I149="Complete","Green",IF($H149="","Amber",IF($H149&lt;'[2]Read Me'!$B$4,"Red",IF($H149-'[2]Read Me'!$B$4&lt;=21,"Amber","Green"))))</f>
        <v>Green</v>
      </c>
      <c r="N149" s="3"/>
      <c r="O149" t="str">
        <f>IF($I149&lt;&gt;"Complete",IF(COUNTIFS($A$4:$A148,$A149,$B$4:$B148,$B149,$I$4:$I148,"&lt;&gt;Complete")=0,$A149&amp;"|"&amp;$B149,""),"")</f>
        <v/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 t="s">
        <v>505</v>
      </c>
      <c r="B150" s="2" t="s">
        <v>21</v>
      </c>
      <c r="C150" s="3"/>
      <c r="D150" s="3"/>
      <c r="E150" s="2"/>
      <c r="F150" s="2"/>
      <c r="G150" s="5">
        <v>46393.1</v>
      </c>
      <c r="H150" s="5">
        <v>46432</v>
      </c>
      <c r="I150" s="4"/>
      <c r="J150" s="6">
        <f t="shared" si="7"/>
        <v>38.900000000001455</v>
      </c>
      <c r="K150" s="4" t="str">
        <f t="shared" ca="1" si="8"/>
        <v/>
      </c>
      <c r="L150" s="7">
        <f>IF(I150="Completed","0",IF($H150="","",$H150-'[2]Read Me'!$B$4))</f>
        <v>245</v>
      </c>
      <c r="M150" s="4" t="str">
        <f>IF($I150="Complete","Green",IF($H150="","Amber",IF($H150&lt;'[2]Read Me'!$B$4,"Red",IF($H150-'[2]Read Me'!$B$4&lt;=21,"Amber","Green"))))</f>
        <v>Green</v>
      </c>
      <c r="N150" s="3"/>
      <c r="O150" t="str">
        <f>IF($I150&lt;&gt;"Complete",IF(COUNTIFS($A$4:$A149,$A150,$B$4:$B149,$B150,$I$4:$I149,"&lt;&gt;Complete")=0,$A150&amp;"|"&amp;$B150,""),"")</f>
        <v>Commercial|Landscape</v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 t="s">
        <v>505</v>
      </c>
      <c r="B151" s="2" t="s">
        <v>21</v>
      </c>
      <c r="C151" s="3" t="s">
        <v>517</v>
      </c>
      <c r="D151" s="3" t="s">
        <v>151</v>
      </c>
      <c r="E151" s="2" t="s">
        <v>507</v>
      </c>
      <c r="F151" s="2"/>
      <c r="G151" s="5">
        <v>45985</v>
      </c>
      <c r="H151" s="5">
        <v>45985</v>
      </c>
      <c r="I151" s="4" t="s">
        <v>31</v>
      </c>
      <c r="J151" s="6">
        <f t="shared" si="7"/>
        <v>0</v>
      </c>
      <c r="K151" s="4" t="str">
        <f t="shared" ca="1" si="8"/>
        <v>-</v>
      </c>
      <c r="L151" s="7" t="str">
        <f>IF(I151="Completed","0",IF($H151="","",$H151-'[2]Read Me'!$B$4))</f>
        <v>0</v>
      </c>
      <c r="M151" s="4" t="str">
        <f>IF($I151="Complete","Green",IF($H151="","Amber",IF($H151&lt;'[2]Read Me'!$B$4,"Red",IF($H151-'[2]Read Me'!$B$4&lt;=21,"Amber","Green"))))</f>
        <v>Red</v>
      </c>
      <c r="N151" s="3"/>
      <c r="O151" t="str">
        <f>IF($I151&lt;&gt;"Complete",IF(COUNTIFS($A$4:$A150,$A151,$B$4:$B150,$B151,$I$4:$I150,"&lt;&gt;Complete")=0,$A151&amp;"|"&amp;$B151,""),"")</f>
        <v/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 t="s">
        <v>505</v>
      </c>
      <c r="B152" s="2" t="s">
        <v>21</v>
      </c>
      <c r="C152" s="3" t="s">
        <v>517</v>
      </c>
      <c r="D152" s="3" t="s">
        <v>152</v>
      </c>
      <c r="E152" s="2"/>
      <c r="F152" s="2"/>
      <c r="G152" s="5">
        <v>46013</v>
      </c>
      <c r="H152" s="5">
        <v>46013</v>
      </c>
      <c r="I152" s="4" t="s">
        <v>31</v>
      </c>
      <c r="J152" s="6">
        <f t="shared" si="7"/>
        <v>0</v>
      </c>
      <c r="K152" s="4" t="str">
        <f t="shared" ca="1" si="8"/>
        <v>-</v>
      </c>
      <c r="L152" s="7" t="str">
        <f>IF(I152="Completed","0",IF($H152="","",$H152-'[2]Read Me'!$B$4))</f>
        <v>0</v>
      </c>
      <c r="M152" s="4" t="str">
        <f>IF($I152="Complete","Green",IF($H152="","Amber",IF($H152&lt;'[2]Read Me'!$B$4,"Red",IF($H152-'[2]Read Me'!$B$4&lt;=21,"Amber","Green"))))</f>
        <v>Red</v>
      </c>
      <c r="N152" s="3"/>
      <c r="O152" t="str">
        <f>IF($I152&lt;&gt;"Complete",IF(COUNTIFS($A$4:$A151,$A152,$B$4:$B151,$B152,$I$4:$I151,"&lt;&gt;Complete")=0,$A152&amp;"|"&amp;$B152,""),"")</f>
        <v/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 t="s">
        <v>505</v>
      </c>
      <c r="B153" s="2" t="s">
        <v>21</v>
      </c>
      <c r="C153" s="3" t="s">
        <v>517</v>
      </c>
      <c r="D153" s="3" t="s">
        <v>510</v>
      </c>
      <c r="E153" s="2" t="s">
        <v>507</v>
      </c>
      <c r="F153" s="2"/>
      <c r="G153" s="5">
        <v>46078.1</v>
      </c>
      <c r="H153" s="5"/>
      <c r="I153" s="4" t="s">
        <v>46</v>
      </c>
      <c r="J153" s="6" t="str">
        <f t="shared" si="7"/>
        <v/>
      </c>
      <c r="K153" s="4" t="str">
        <f t="shared" ca="1" si="8"/>
        <v/>
      </c>
      <c r="L153" s="7" t="str">
        <f>IF(I153="Completed","0",IF($H153="","",$H153-'[2]Read Me'!$B$4))</f>
        <v/>
      </c>
      <c r="M153" s="4" t="str">
        <f>IF($I153="Complete","Green",IF($H153="","Amber",IF($H153&lt;'[2]Read Me'!$B$4,"Red",IF($H153-'[2]Read Me'!$B$4&lt;=21,"Amber","Green"))))</f>
        <v>Amber</v>
      </c>
      <c r="N153" s="3"/>
      <c r="O153" t="str">
        <f>IF($I153&lt;&gt;"Complete",IF(COUNTIFS($A$4:$A152,$A153,$B$4:$B152,$B153,$I$4:$I152,"&lt;&gt;Complete")=0,$A153&amp;"|"&amp;$B153,""),"")</f>
        <v/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 t="s">
        <v>505</v>
      </c>
      <c r="B154" s="2" t="s">
        <v>21</v>
      </c>
      <c r="C154" s="3" t="s">
        <v>517</v>
      </c>
      <c r="D154" s="3" t="s">
        <v>235</v>
      </c>
      <c r="E154" s="2" t="s">
        <v>507</v>
      </c>
      <c r="F154" s="2"/>
      <c r="G154" s="5">
        <v>46092.1</v>
      </c>
      <c r="H154" s="5"/>
      <c r="I154" s="4" t="s">
        <v>17</v>
      </c>
      <c r="J154" s="6" t="str">
        <f t="shared" si="7"/>
        <v/>
      </c>
      <c r="K154" s="4" t="str">
        <f t="shared" ca="1" si="8"/>
        <v/>
      </c>
      <c r="L154" s="7" t="str">
        <f>IF(I154="Completed","0",IF($H154="","",$H154-'[2]Read Me'!$B$4))</f>
        <v/>
      </c>
      <c r="M154" s="4" t="str">
        <f>IF($I154="Complete","Green",IF($H154="","Amber",IF($H154&lt;'[2]Read Me'!$B$4,"Red",IF($H154-'[2]Read Me'!$B$4&lt;=21,"Amber","Green"))))</f>
        <v>Amber</v>
      </c>
      <c r="N154" s="3"/>
      <c r="O154" t="str">
        <f>IF($I154&lt;&gt;"Complete",IF(COUNTIFS($A$4:$A153,$A154,$B$4:$B153,$B154,$I$4:$I153,"&lt;&gt;Complete")=0,$A154&amp;"|"&amp;$B154,""),"")</f>
        <v/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 t="s">
        <v>505</v>
      </c>
      <c r="B155" s="2" t="s">
        <v>21</v>
      </c>
      <c r="C155" s="3" t="s">
        <v>517</v>
      </c>
      <c r="D155" s="3" t="s">
        <v>97</v>
      </c>
      <c r="E155" s="2" t="s">
        <v>507</v>
      </c>
      <c r="F155" s="2" t="s">
        <v>511</v>
      </c>
      <c r="G155" s="5">
        <v>46120.1</v>
      </c>
      <c r="H155" s="5">
        <v>46119</v>
      </c>
      <c r="I155" s="4" t="s">
        <v>31</v>
      </c>
      <c r="J155" s="6">
        <f t="shared" si="7"/>
        <v>-1.0999999999985448</v>
      </c>
      <c r="K155" s="4" t="str">
        <f t="shared" ca="1" si="8"/>
        <v>-</v>
      </c>
      <c r="L155" s="7" t="str">
        <f>IF(I155="Completed","0",IF($H155="","",$H155-'[2]Read Me'!$B$4))</f>
        <v>0</v>
      </c>
      <c r="M155" s="4" t="str">
        <f>IF($I155="Complete","Green",IF($H155="","Amber",IF($H155&lt;'[2]Read Me'!$B$4,"Red",IF($H155-'[2]Read Me'!$B$4&lt;=21,"Amber","Green"))))</f>
        <v>Red</v>
      </c>
      <c r="N155" s="3"/>
      <c r="O155" t="str">
        <f>IF($I155&lt;&gt;"Complete",IF(COUNTIFS($A$4:$A154,$A155,$B$4:$B154,$B155,$I$4:$I154,"&lt;&gt;Complete")=0,$A155&amp;"|"&amp;$B155,""),"")</f>
        <v/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 t="s">
        <v>505</v>
      </c>
      <c r="B156" s="2" t="s">
        <v>21</v>
      </c>
      <c r="C156" s="3" t="s">
        <v>517</v>
      </c>
      <c r="D156" s="3" t="s">
        <v>70</v>
      </c>
      <c r="E156" s="2" t="s">
        <v>507</v>
      </c>
      <c r="F156" s="2"/>
      <c r="G156" s="5">
        <v>46134.1</v>
      </c>
      <c r="H156" s="5">
        <v>46126</v>
      </c>
      <c r="I156" s="4" t="s">
        <v>31</v>
      </c>
      <c r="J156" s="6">
        <f t="shared" si="7"/>
        <v>-8.0999999999985448</v>
      </c>
      <c r="K156" s="4" t="str">
        <f t="shared" ca="1" si="8"/>
        <v>-</v>
      </c>
      <c r="L156" s="7" t="str">
        <f>IF(I156="Completed","0",IF($H156="","",$H156-'[2]Read Me'!$B$4))</f>
        <v>0</v>
      </c>
      <c r="M156" s="4" t="str">
        <f>IF($I156="Complete","Green",IF($H156="","Amber",IF($H156&lt;'[2]Read Me'!$B$4,"Red",IF($H156-'[2]Read Me'!$B$4&lt;=21,"Amber","Green"))))</f>
        <v>Red</v>
      </c>
      <c r="N156" s="3"/>
      <c r="O156" t="str">
        <f>IF($I156&lt;&gt;"Complete",IF(COUNTIFS($A$4:$A155,$A156,$B$4:$B155,$B156,$I$4:$I155,"&lt;&gt;Complete")=0,$A156&amp;"|"&amp;$B156,""),"")</f>
        <v/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 t="s">
        <v>505</v>
      </c>
      <c r="B157" s="2" t="s">
        <v>21</v>
      </c>
      <c r="C157" s="3" t="s">
        <v>517</v>
      </c>
      <c r="D157" s="3" t="s">
        <v>518</v>
      </c>
      <c r="E157" s="2" t="s">
        <v>507</v>
      </c>
      <c r="F157" s="2"/>
      <c r="G157" s="5">
        <v>46148.1</v>
      </c>
      <c r="H157" s="5">
        <v>46145</v>
      </c>
      <c r="I157" s="4" t="s">
        <v>31</v>
      </c>
      <c r="J157" s="6">
        <f t="shared" si="7"/>
        <v>-3.0999999999985448</v>
      </c>
      <c r="K157" s="4" t="str">
        <f t="shared" ca="1" si="8"/>
        <v>-</v>
      </c>
      <c r="L157" s="7" t="str">
        <f>IF(I157="Completed","0",IF($H157="","",$H157-'[2]Read Me'!$B$4))</f>
        <v>0</v>
      </c>
      <c r="M157" s="4" t="str">
        <f>IF($I157="Complete","Green",IF($H157="","Amber",IF($H157&lt;'[2]Read Me'!$B$4,"Red",IF($H157-'[2]Read Me'!$B$4&lt;=21,"Amber","Green"))))</f>
        <v>Red</v>
      </c>
      <c r="N157" s="3"/>
      <c r="O157" t="str">
        <f>IF($I157&lt;&gt;"Complete",IF(COUNTIFS($A$4:$A156,$A157,$B$4:$B156,$B157,$I$4:$I156,"&lt;&gt;Complete")=0,$A157&amp;"|"&amp;$B157,""),"")</f>
        <v/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 t="s">
        <v>505</v>
      </c>
      <c r="B158" s="2" t="s">
        <v>21</v>
      </c>
      <c r="C158" s="3" t="s">
        <v>517</v>
      </c>
      <c r="D158" s="3" t="s">
        <v>98</v>
      </c>
      <c r="E158" s="2" t="s">
        <v>507</v>
      </c>
      <c r="F158" s="2"/>
      <c r="G158" s="5">
        <v>46162.1</v>
      </c>
      <c r="H158" s="5">
        <v>46208</v>
      </c>
      <c r="I158" s="4" t="s">
        <v>46</v>
      </c>
      <c r="J158" s="6">
        <f t="shared" si="7"/>
        <v>45.900000000001455</v>
      </c>
      <c r="K158" s="4" t="str">
        <f t="shared" ca="1" si="8"/>
        <v>No</v>
      </c>
      <c r="L158" s="7">
        <f>IF(I158="Completed","0",IF($H158="","",$H158-'[2]Read Me'!$B$4))</f>
        <v>21</v>
      </c>
      <c r="M158" s="4" t="str">
        <f>IF($I158="Complete","Green",IF($H158="","Amber",IF($H158&lt;'[2]Read Me'!$B$4,"Red",IF($H158-'[2]Read Me'!$B$4&lt;=21,"Amber","Green"))))</f>
        <v>Amber</v>
      </c>
      <c r="N158" s="3"/>
      <c r="O158" t="str">
        <f>IF($I158&lt;&gt;"Complete",IF(COUNTIFS($A$4:$A157,$A158,$B$4:$B157,$B158,$I$4:$I157,"&lt;&gt;Complete")=0,$A158&amp;"|"&amp;$B158,""),"")</f>
        <v/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 t="s">
        <v>505</v>
      </c>
      <c r="B159" s="2" t="s">
        <v>21</v>
      </c>
      <c r="C159" s="3" t="s">
        <v>517</v>
      </c>
      <c r="D159" s="3" t="s">
        <v>47</v>
      </c>
      <c r="E159" s="2" t="s">
        <v>507</v>
      </c>
      <c r="F159" s="2"/>
      <c r="G159" s="5">
        <v>46176.1</v>
      </c>
      <c r="H159" s="5">
        <v>46215</v>
      </c>
      <c r="I159" s="4" t="s">
        <v>17</v>
      </c>
      <c r="J159" s="6">
        <f t="shared" si="7"/>
        <v>38.900000000001455</v>
      </c>
      <c r="K159" s="4" t="str">
        <f t="shared" ca="1" si="8"/>
        <v>No</v>
      </c>
      <c r="L159" s="7">
        <f>IF(I159="Completed","0",IF($H159="","",$H159-'[2]Read Me'!$B$4))</f>
        <v>28</v>
      </c>
      <c r="M159" s="4" t="str">
        <f>IF($I159="Complete","Green",IF($H159="","Amber",IF($H159&lt;'[2]Read Me'!$B$4,"Red",IF($H159-'[2]Read Me'!$B$4&lt;=21,"Amber","Green"))))</f>
        <v>Green</v>
      </c>
      <c r="N159" s="3"/>
      <c r="O159" t="str">
        <f>IF($I159&lt;&gt;"Complete",IF(COUNTIFS($A$4:$A158,$A159,$B$4:$B158,$B159,$I$4:$I158,"&lt;&gt;Complete")=0,$A159&amp;"|"&amp;$B159,""),"")</f>
        <v/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 t="s">
        <v>505</v>
      </c>
      <c r="B160" s="2" t="s">
        <v>21</v>
      </c>
      <c r="C160" s="3" t="s">
        <v>517</v>
      </c>
      <c r="D160" s="3" t="s">
        <v>133</v>
      </c>
      <c r="E160" s="2"/>
      <c r="F160" s="2" t="s">
        <v>511</v>
      </c>
      <c r="G160" s="5">
        <v>46204.1</v>
      </c>
      <c r="H160" s="5">
        <v>46243</v>
      </c>
      <c r="I160" s="4" t="s">
        <v>17</v>
      </c>
      <c r="J160" s="6">
        <f t="shared" si="7"/>
        <v>38.900000000001455</v>
      </c>
      <c r="K160" s="4" t="str">
        <f t="shared" ca="1" si="8"/>
        <v>No</v>
      </c>
      <c r="L160" s="7">
        <f>IF(I160="Completed","0",IF($H160="","",$H160-'[2]Read Me'!$B$4))</f>
        <v>56</v>
      </c>
      <c r="M160" s="4" t="str">
        <f>IF($I160="Complete","Green",IF($H160="","Amber",IF($H160&lt;'[2]Read Me'!$B$4,"Red",IF($H160-'[2]Read Me'!$B$4&lt;=21,"Amber","Green"))))</f>
        <v>Green</v>
      </c>
      <c r="N160" s="3"/>
      <c r="O160" t="str">
        <f>IF($I160&lt;&gt;"Complete",IF(COUNTIFS($A$4:$A159,$A160,$B$4:$B159,$B160,$I$4:$I159,"&lt;&gt;Complete")=0,$A160&amp;"|"&amp;$B160,""),"")</f>
        <v/>
      </c>
      <c r="P160" t="str">
        <f ca="1">IF($K160="Yes",COUNTIFS($K$4:$K160,"Yes"),"")</f>
        <v/>
      </c>
      <c r="Q160">
        <f t="shared" ca="1" si="9"/>
        <v>0</v>
      </c>
      <c r="R160" t="str">
        <f ca="1">IF($Q160=1,SUM($Q$4:$Q160),"")</f>
        <v/>
      </c>
    </row>
    <row r="161" spans="1:18" ht="33.75" customHeight="1" x14ac:dyDescent="0.3">
      <c r="A161" s="2" t="s">
        <v>505</v>
      </c>
      <c r="B161" s="2" t="s">
        <v>21</v>
      </c>
      <c r="C161" s="3" t="s">
        <v>517</v>
      </c>
      <c r="D161" s="3" t="s">
        <v>134</v>
      </c>
      <c r="E161" s="2"/>
      <c r="F161" s="2"/>
      <c r="G161" s="5">
        <v>46218.1</v>
      </c>
      <c r="H161" s="5">
        <v>46257</v>
      </c>
      <c r="I161" s="4" t="s">
        <v>17</v>
      </c>
      <c r="J161" s="6">
        <f t="shared" si="7"/>
        <v>38.900000000001455</v>
      </c>
      <c r="K161" s="4" t="str">
        <f t="shared" ca="1" si="8"/>
        <v>No</v>
      </c>
      <c r="L161" s="7">
        <f>IF(I161="Completed","0",IF($H161="","",$H161-'[2]Read Me'!$B$4))</f>
        <v>70</v>
      </c>
      <c r="M161" s="4" t="str">
        <f>IF($I161="Complete","Green",IF($H161="","Amber",IF($H161&lt;'[2]Read Me'!$B$4,"Red",IF($H161-'[2]Read Me'!$B$4&lt;=21,"Amber","Green"))))</f>
        <v>Green</v>
      </c>
      <c r="N161" s="3"/>
      <c r="O161" t="str">
        <f>IF($I161&lt;&gt;"Complete",IF(COUNTIFS($A$4:$A160,$A161,$B$4:$B160,$B161,$I$4:$I160,"&lt;&gt;Complete")=0,$A161&amp;"|"&amp;$B161,""),"")</f>
        <v/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 t="s">
        <v>505</v>
      </c>
      <c r="B162" s="2" t="s">
        <v>21</v>
      </c>
      <c r="C162" s="3" t="s">
        <v>517</v>
      </c>
      <c r="D162" s="3" t="s">
        <v>18</v>
      </c>
      <c r="E162" s="2"/>
      <c r="F162" s="2" t="s">
        <v>511</v>
      </c>
      <c r="G162" s="5">
        <v>46246.1</v>
      </c>
      <c r="H162" s="5">
        <v>46285</v>
      </c>
      <c r="I162" s="4" t="s">
        <v>17</v>
      </c>
      <c r="J162" s="6">
        <f t="shared" si="7"/>
        <v>38.900000000001455</v>
      </c>
      <c r="K162" s="4" t="str">
        <f t="shared" ca="1" si="8"/>
        <v>No</v>
      </c>
      <c r="L162" s="7">
        <f>IF(I162="Completed","0",IF($H162="","",$H162-'[2]Read Me'!$B$4))</f>
        <v>98</v>
      </c>
      <c r="M162" s="4" t="str">
        <f>IF($I162="Complete","Green",IF($H162="","Amber",IF($H162&lt;'[2]Read Me'!$B$4,"Red",IF($H162-'[2]Read Me'!$B$4&lt;=21,"Amber","Green"))))</f>
        <v>Green</v>
      </c>
      <c r="N162" s="3"/>
      <c r="O162" t="str">
        <f>IF($I162&lt;&gt;"Complete",IF(COUNTIFS($A$4:$A161,$A162,$B$4:$B161,$B162,$I$4:$I161,"&lt;&gt;Complete")=0,$A162&amp;"|"&amp;$B162,""),"")</f>
        <v/>
      </c>
      <c r="P162" t="str">
        <f ca="1">IF($K162="Yes",COUNTIFS($K$4:$K162,"Yes"),"")</f>
        <v/>
      </c>
      <c r="Q162">
        <f t="shared" ca="1" si="9"/>
        <v>0</v>
      </c>
      <c r="R162" t="str">
        <f ca="1">IF($Q162=1,SUM($Q$4:$Q162),"")</f>
        <v/>
      </c>
    </row>
    <row r="163" spans="1:18" ht="33.75" customHeight="1" x14ac:dyDescent="0.3">
      <c r="A163" s="2" t="s">
        <v>505</v>
      </c>
      <c r="B163" s="2" t="s">
        <v>21</v>
      </c>
      <c r="C163" s="3" t="s">
        <v>517</v>
      </c>
      <c r="D163" s="3" t="s">
        <v>32</v>
      </c>
      <c r="E163" s="2"/>
      <c r="F163" s="2"/>
      <c r="G163" s="5">
        <v>46260.1</v>
      </c>
      <c r="H163" s="5">
        <v>46299</v>
      </c>
      <c r="I163" s="4" t="s">
        <v>17</v>
      </c>
      <c r="J163" s="6">
        <f t="shared" si="7"/>
        <v>38.900000000001455</v>
      </c>
      <c r="K163" s="4" t="str">
        <f t="shared" ca="1" si="8"/>
        <v>No</v>
      </c>
      <c r="L163" s="7">
        <f>IF(I163="Completed","0",IF($H163="","",$H163-'[2]Read Me'!$B$4))</f>
        <v>112</v>
      </c>
      <c r="M163" s="4" t="str">
        <f>IF($I163="Complete","Green",IF($H163="","Amber",IF($H163&lt;'[2]Read Me'!$B$4,"Red",IF($H163-'[2]Read Me'!$B$4&lt;=21,"Amber","Green"))))</f>
        <v>Green</v>
      </c>
      <c r="N163" s="3"/>
      <c r="O163" t="str">
        <f>IF($I163&lt;&gt;"Complete",IF(COUNTIFS($A$4:$A162,$A163,$B$4:$B162,$B163,$I$4:$I162,"&lt;&gt;Complete")=0,$A163&amp;"|"&amp;$B163,""),"")</f>
        <v/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 t="s">
        <v>505</v>
      </c>
      <c r="B164" s="2" t="s">
        <v>21</v>
      </c>
      <c r="C164" s="3" t="s">
        <v>517</v>
      </c>
      <c r="D164" s="3" t="s">
        <v>19</v>
      </c>
      <c r="E164" s="2"/>
      <c r="F164" s="2"/>
      <c r="G164" s="5">
        <v>46267.1</v>
      </c>
      <c r="H164" s="5">
        <v>46306</v>
      </c>
      <c r="I164" s="4" t="s">
        <v>17</v>
      </c>
      <c r="J164" s="6">
        <f t="shared" si="7"/>
        <v>38.900000000001455</v>
      </c>
      <c r="K164" s="4" t="str">
        <f t="shared" ca="1" si="8"/>
        <v>No</v>
      </c>
      <c r="L164" s="7">
        <f>IF(I164="Completed","0",IF($H164="","",$H164-'[2]Read Me'!$B$4))</f>
        <v>119</v>
      </c>
      <c r="M164" s="4" t="str">
        <f>IF($I164="Complete","Green",IF($H164="","Amber",IF($H164&lt;'[2]Read Me'!$B$4,"Red",IF($H164-'[2]Read Me'!$B$4&lt;=21,"Amber","Green"))))</f>
        <v>Green</v>
      </c>
      <c r="N164" s="3"/>
      <c r="O164" t="str">
        <f>IF($I164&lt;&gt;"Complete",IF(COUNTIFS($A$4:$A163,$A164,$B$4:$B163,$B164,$I$4:$I163,"&lt;&gt;Complete")=0,$A164&amp;"|"&amp;$B164,""),"")</f>
        <v/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 t="s">
        <v>505</v>
      </c>
      <c r="B165" s="2" t="s">
        <v>21</v>
      </c>
      <c r="C165" s="3" t="s">
        <v>517</v>
      </c>
      <c r="D165" s="3" t="s">
        <v>14</v>
      </c>
      <c r="E165" s="2"/>
      <c r="F165" s="2" t="s">
        <v>511</v>
      </c>
      <c r="G165" s="5">
        <v>46295.1</v>
      </c>
      <c r="H165" s="5">
        <v>46334</v>
      </c>
      <c r="I165" s="4" t="s">
        <v>17</v>
      </c>
      <c r="J165" s="6">
        <f t="shared" si="7"/>
        <v>38.900000000001455</v>
      </c>
      <c r="K165" s="4" t="str">
        <f t="shared" ca="1" si="8"/>
        <v>No</v>
      </c>
      <c r="L165" s="7">
        <f>IF(I165="Completed","0",IF($H165="","",$H165-'[2]Read Me'!$B$4))</f>
        <v>147</v>
      </c>
      <c r="M165" s="4" t="str">
        <f>IF($I165="Complete","Green",IF($H165="","Amber",IF($H165&lt;'[2]Read Me'!$B$4,"Red",IF($H165-'[2]Read Me'!$B$4&lt;=21,"Amber","Green"))))</f>
        <v>Green</v>
      </c>
      <c r="N165" s="3"/>
      <c r="O165" t="str">
        <f>IF($I165&lt;&gt;"Complete",IF(COUNTIFS($A$4:$A164,$A165,$B$4:$B164,$B165,$I$4:$I164,"&lt;&gt;Complete")=0,$A165&amp;"|"&amp;$B165,""),"")</f>
        <v/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 t="s">
        <v>505</v>
      </c>
      <c r="B166" s="2" t="s">
        <v>21</v>
      </c>
      <c r="C166" s="3" t="s">
        <v>517</v>
      </c>
      <c r="D166" s="3" t="s">
        <v>34</v>
      </c>
      <c r="E166" s="2"/>
      <c r="F166" s="2"/>
      <c r="G166" s="5">
        <v>46309.1</v>
      </c>
      <c r="H166" s="5">
        <v>46348</v>
      </c>
      <c r="I166" s="4" t="s">
        <v>17</v>
      </c>
      <c r="J166" s="6">
        <f t="shared" si="7"/>
        <v>38.900000000001455</v>
      </c>
      <c r="K166" s="4" t="str">
        <f t="shared" ca="1" si="8"/>
        <v>No</v>
      </c>
      <c r="L166" s="7">
        <f>IF(I166="Completed","0",IF($H166="","",$H166-'[2]Read Me'!$B$4))</f>
        <v>161</v>
      </c>
      <c r="M166" s="4" t="str">
        <f>IF($I166="Complete","Green",IF($H166="","Amber",IF($H166&lt;'[2]Read Me'!$B$4,"Red",IF($H166-'[2]Read Me'!$B$4&lt;=21,"Amber","Green"))))</f>
        <v>Green</v>
      </c>
      <c r="N166" s="3"/>
      <c r="O166" t="str">
        <f>IF($I166&lt;&gt;"Complete",IF(COUNTIFS($A$4:$A165,$A166,$B$4:$B165,$B166,$I$4:$I165,"&lt;&gt;Complete")=0,$A166&amp;"|"&amp;$B166,""),"")</f>
        <v/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 t="s">
        <v>505</v>
      </c>
      <c r="B167" s="2" t="s">
        <v>21</v>
      </c>
      <c r="C167" s="3" t="s">
        <v>517</v>
      </c>
      <c r="D167" s="3" t="s">
        <v>15</v>
      </c>
      <c r="E167" s="2"/>
      <c r="F167" s="2" t="s">
        <v>511</v>
      </c>
      <c r="G167" s="5">
        <v>46337.1</v>
      </c>
      <c r="H167" s="5">
        <v>46376</v>
      </c>
      <c r="I167" s="4" t="s">
        <v>17</v>
      </c>
      <c r="J167" s="6">
        <f t="shared" si="7"/>
        <v>38.900000000001455</v>
      </c>
      <c r="K167" s="4" t="str">
        <f t="shared" ca="1" si="8"/>
        <v>No</v>
      </c>
      <c r="L167" s="7">
        <f>IF(I167="Completed","0",IF($H167="","",$H167-'[2]Read Me'!$B$4))</f>
        <v>189</v>
      </c>
      <c r="M167" s="4" t="str">
        <f>IF($I167="Complete","Green",IF($H167="","Amber",IF($H167&lt;'[2]Read Me'!$B$4,"Red",IF($H167-'[2]Read Me'!$B$4&lt;=21,"Amber","Green"))))</f>
        <v>Green</v>
      </c>
      <c r="N167" s="3"/>
      <c r="O167" t="str">
        <f>IF($I167&lt;&gt;"Complete",IF(COUNTIFS($A$4:$A166,$A167,$B$4:$B166,$B167,$I$4:$I166,"&lt;&gt;Complete")=0,$A167&amp;"|"&amp;$B167,""),"")</f>
        <v/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 t="s">
        <v>505</v>
      </c>
      <c r="B168" s="2" t="s">
        <v>21</v>
      </c>
      <c r="C168" s="3" t="s">
        <v>517</v>
      </c>
      <c r="D168" s="3" t="s">
        <v>35</v>
      </c>
      <c r="E168" s="2"/>
      <c r="F168" s="2"/>
      <c r="G168" s="5">
        <v>46351.1</v>
      </c>
      <c r="H168" s="5">
        <v>46390</v>
      </c>
      <c r="I168" s="4" t="s">
        <v>17</v>
      </c>
      <c r="J168" s="6">
        <f t="shared" si="7"/>
        <v>38.900000000001455</v>
      </c>
      <c r="K168" s="4" t="str">
        <f t="shared" ca="1" si="8"/>
        <v>No</v>
      </c>
      <c r="L168" s="7">
        <f>IF(I168="Completed","0",IF($H168="","",$H168-'[2]Read Me'!$B$4))</f>
        <v>203</v>
      </c>
      <c r="M168" s="4" t="str">
        <f>IF($I168="Complete","Green",IF($H168="","Amber",IF($H168&lt;'[2]Read Me'!$B$4,"Red",IF($H168-'[2]Read Me'!$B$4&lt;=21,"Amber","Green"))))</f>
        <v>Green</v>
      </c>
      <c r="N168" s="3"/>
      <c r="O168" t="str">
        <f>IF($I168&lt;&gt;"Complete",IF(COUNTIFS($A$4:$A167,$A168,$B$4:$B167,$B168,$I$4:$I167,"&lt;&gt;Complete")=0,$A168&amp;"|"&amp;$B168,""),"")</f>
        <v/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 t="s">
        <v>505</v>
      </c>
      <c r="B169" s="2" t="s">
        <v>21</v>
      </c>
      <c r="C169" s="3" t="s">
        <v>517</v>
      </c>
      <c r="D169" s="3" t="s">
        <v>20</v>
      </c>
      <c r="E169" s="2"/>
      <c r="F169" s="2"/>
      <c r="G169" s="5">
        <v>46358.1</v>
      </c>
      <c r="H169" s="5">
        <v>46397</v>
      </c>
      <c r="I169" s="4" t="s">
        <v>17</v>
      </c>
      <c r="J169" s="6">
        <f t="shared" si="7"/>
        <v>38.900000000001455</v>
      </c>
      <c r="K169" s="4" t="str">
        <f t="shared" ca="1" si="8"/>
        <v>No</v>
      </c>
      <c r="L169" s="7">
        <f>IF(I169="Completed","0",IF($H169="","",$H169-'[2]Read Me'!$B$4))</f>
        <v>210</v>
      </c>
      <c r="M169" s="4" t="str">
        <f>IF($I169="Complete","Green",IF($H169="","Amber",IF($H169&lt;'[2]Read Me'!$B$4,"Red",IF($H169-'[2]Read Me'!$B$4&lt;=21,"Amber","Green"))))</f>
        <v>Green</v>
      </c>
      <c r="N169" s="3"/>
      <c r="O169" t="str">
        <f>IF($I169&lt;&gt;"Complete",IF(COUNTIFS($A$4:$A168,$A169,$B$4:$B168,$B169,$I$4:$I168,"&lt;&gt;Complete")=0,$A169&amp;"|"&amp;$B169,""),"")</f>
        <v/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 t="s">
        <v>505</v>
      </c>
      <c r="B170" s="2" t="s">
        <v>21</v>
      </c>
      <c r="C170" s="3" t="s">
        <v>517</v>
      </c>
      <c r="D170" s="3" t="s">
        <v>16</v>
      </c>
      <c r="E170" s="2"/>
      <c r="F170" s="2" t="s">
        <v>511</v>
      </c>
      <c r="G170" s="5">
        <v>46379.1</v>
      </c>
      <c r="H170" s="5">
        <v>46418</v>
      </c>
      <c r="I170" s="4" t="s">
        <v>17</v>
      </c>
      <c r="J170" s="6">
        <f t="shared" si="7"/>
        <v>38.900000000001455</v>
      </c>
      <c r="K170" s="4" t="str">
        <f t="shared" ca="1" si="8"/>
        <v>No</v>
      </c>
      <c r="L170" s="7">
        <f>IF(I170="Completed","0",IF($H170="","",$H170-'[2]Read Me'!$B$4))</f>
        <v>231</v>
      </c>
      <c r="M170" s="4" t="str">
        <f>IF($I170="Complete","Green",IF($H170="","Amber",IF($H170&lt;'[2]Read Me'!$B$4,"Red",IF($H170-'[2]Read Me'!$B$4&lt;=21,"Amber","Green"))))</f>
        <v>Green</v>
      </c>
      <c r="N170" s="3"/>
      <c r="O170" t="str">
        <f>IF($I170&lt;&gt;"Complete",IF(COUNTIFS($A$4:$A169,$A170,$B$4:$B169,$B170,$I$4:$I169,"&lt;&gt;Complete")=0,$A170&amp;"|"&amp;$B170,""),"")</f>
        <v/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/>
      <c r="B171" s="2"/>
      <c r="C171" s="3" t="s">
        <v>517</v>
      </c>
      <c r="D171" s="3" t="s">
        <v>37</v>
      </c>
      <c r="E171" s="2"/>
      <c r="F171" s="2"/>
      <c r="G171" s="5">
        <v>46393.1</v>
      </c>
      <c r="H171" s="5">
        <v>46432</v>
      </c>
      <c r="I171" s="4" t="s">
        <v>17</v>
      </c>
      <c r="J171" s="6">
        <f t="shared" si="7"/>
        <v>38.900000000001455</v>
      </c>
      <c r="K171" s="4" t="str">
        <f t="shared" ca="1" si="8"/>
        <v>No</v>
      </c>
      <c r="L171" s="7">
        <f>IF(I171="Completed","0",IF($H171="","",$H171-'[2]Read Me'!$B$4))</f>
        <v>245</v>
      </c>
      <c r="M171" s="4" t="str">
        <f>IF($I171="Complete","Green",IF($H171="","Amber",IF($H171&lt;'[2]Read Me'!$B$4,"Red",IF($H171-'[2]Read Me'!$B$4&lt;=21,"Amber","Green"))))</f>
        <v>Green</v>
      </c>
      <c r="N171" s="3"/>
      <c r="O171" t="str">
        <f>IF($I171&lt;&gt;"Complete",IF(COUNTIFS($A$4:$A170,$A171,$B$4:$B170,$B171,$I$4:$I170,"&lt;&gt;Complete")=0,$A171&amp;"|"&amp;$B171,""),"")</f>
        <v>|</v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 t="s">
        <v>505</v>
      </c>
      <c r="B172" s="2" t="s">
        <v>49</v>
      </c>
      <c r="C172" s="3"/>
      <c r="D172" s="3"/>
      <c r="E172" s="2"/>
      <c r="F172" s="2"/>
      <c r="G172" s="5">
        <v>46463.1</v>
      </c>
      <c r="H172" s="5">
        <v>46566</v>
      </c>
      <c r="I172" s="4"/>
      <c r="J172" s="6">
        <f t="shared" si="7"/>
        <v>102.90000000000146</v>
      </c>
      <c r="K172" s="4" t="str">
        <f t="shared" ca="1" si="8"/>
        <v/>
      </c>
      <c r="L172" s="7">
        <f>IF(I172="Completed","0",IF($H172="","",$H172-'[2]Read Me'!$B$4))</f>
        <v>379</v>
      </c>
      <c r="M172" s="4" t="str">
        <f>IF($I172="Complete","Green",IF($H172="","Amber",IF($H172&lt;'[2]Read Me'!$B$4,"Red",IF($H172-'[2]Read Me'!$B$4&lt;=21,"Amber","Green"))))</f>
        <v>Green</v>
      </c>
      <c r="N172" s="3"/>
      <c r="O172" t="str">
        <f>IF($I172&lt;&gt;"Complete",IF(COUNTIFS($A$4:$A171,$A172,$B$4:$B171,$B172,$I$4:$I171,"&lt;&gt;Complete")=0,$A172&amp;"|"&amp;$B172,""),"")</f>
        <v>Commercial|Authorities</v>
      </c>
      <c r="P172" t="str">
        <f ca="1">IF($K172="Yes",COUNTIFS($K$4:$K172,"Yes"),"")</f>
        <v/>
      </c>
      <c r="Q172">
        <f t="shared" ca="1" si="9"/>
        <v>0</v>
      </c>
      <c r="R172" t="str">
        <f ca="1">IF($Q172=1,SUM($Q$4:$Q172),"")</f>
        <v/>
      </c>
    </row>
    <row r="173" spans="1:18" ht="33.75" customHeight="1" x14ac:dyDescent="0.3">
      <c r="A173" s="2" t="s">
        <v>505</v>
      </c>
      <c r="B173" s="2" t="s">
        <v>49</v>
      </c>
      <c r="C173" s="3" t="s">
        <v>519</v>
      </c>
      <c r="D173" s="3" t="s">
        <v>456</v>
      </c>
      <c r="E173" s="2" t="s">
        <v>104</v>
      </c>
      <c r="F173" s="2"/>
      <c r="G173" s="5">
        <v>46225.1</v>
      </c>
      <c r="H173" s="5">
        <v>46328</v>
      </c>
      <c r="I173" s="4" t="s">
        <v>17</v>
      </c>
      <c r="J173" s="6">
        <f t="shared" si="7"/>
        <v>102.90000000000146</v>
      </c>
      <c r="K173" s="4" t="str">
        <f t="shared" ca="1" si="8"/>
        <v>No</v>
      </c>
      <c r="L173" s="7">
        <f>IF(I173="Completed","0",IF($H173="","",$H173-'[2]Read Me'!$B$4))</f>
        <v>141</v>
      </c>
      <c r="M173" s="4" t="str">
        <f>IF($I173="Complete","Green",IF($H173="","Amber",IF($H173&lt;'[2]Read Me'!$B$4,"Red",IF($H173-'[2]Read Me'!$B$4&lt;=21,"Amber","Green"))))</f>
        <v>Green</v>
      </c>
      <c r="N173" s="3"/>
      <c r="O173" t="str">
        <f>IF($I173&lt;&gt;"Complete",IF(COUNTIFS($A$4:$A172,$A173,$B$4:$B172,$B173,$I$4:$I172,"&lt;&gt;Complete")=0,$A173&amp;"|"&amp;$B173,""),"")</f>
        <v/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 t="s">
        <v>505</v>
      </c>
      <c r="B174" s="2" t="s">
        <v>49</v>
      </c>
      <c r="C174" s="3" t="s">
        <v>519</v>
      </c>
      <c r="D174" s="3" t="s">
        <v>103</v>
      </c>
      <c r="E174" s="2" t="s">
        <v>104</v>
      </c>
      <c r="F174" s="2"/>
      <c r="G174" s="5">
        <v>46309.1</v>
      </c>
      <c r="H174" s="5">
        <v>46412</v>
      </c>
      <c r="I174" s="4" t="s">
        <v>17</v>
      </c>
      <c r="J174" s="6">
        <f t="shared" si="7"/>
        <v>102.90000000000146</v>
      </c>
      <c r="K174" s="4" t="str">
        <f t="shared" ca="1" si="8"/>
        <v>No</v>
      </c>
      <c r="L174" s="7">
        <f>IF(I174="Completed","0",IF($H174="","",$H174-'[2]Read Me'!$B$4))</f>
        <v>225</v>
      </c>
      <c r="M174" s="4" t="str">
        <f>IF($I174="Complete","Green",IF($H174="","Amber",IF($H174&lt;'[2]Read Me'!$B$4,"Red",IF($H174-'[2]Read Me'!$B$4&lt;=21,"Amber","Green"))))</f>
        <v>Green</v>
      </c>
      <c r="N174" s="3"/>
      <c r="O174" t="str">
        <f>IF($I174&lt;&gt;"Complete",IF(COUNTIFS($A$4:$A173,$A174,$B$4:$B173,$B174,$I$4:$I173,"&lt;&gt;Complete")=0,$A174&amp;"|"&amp;$B174,""),"")</f>
        <v/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 t="s">
        <v>505</v>
      </c>
      <c r="B175" s="2" t="s">
        <v>49</v>
      </c>
      <c r="C175" s="3" t="s">
        <v>519</v>
      </c>
      <c r="D175" s="3" t="s">
        <v>91</v>
      </c>
      <c r="E175" s="2" t="s">
        <v>104</v>
      </c>
      <c r="F175" s="2"/>
      <c r="G175" s="5">
        <v>46351.1</v>
      </c>
      <c r="H175" s="5">
        <v>46454</v>
      </c>
      <c r="I175" s="4" t="s">
        <v>17</v>
      </c>
      <c r="J175" s="6">
        <f t="shared" si="7"/>
        <v>102.90000000000146</v>
      </c>
      <c r="K175" s="4" t="str">
        <f t="shared" ca="1" si="8"/>
        <v>No</v>
      </c>
      <c r="L175" s="7">
        <f>IF(I175="Completed","0",IF($H175="","",$H175-'[2]Read Me'!$B$4))</f>
        <v>267</v>
      </c>
      <c r="M175" s="4" t="str">
        <f>IF($I175="Complete","Green",IF($H175="","Amber",IF($H175&lt;'[2]Read Me'!$B$4,"Red",IF($H175-'[2]Read Me'!$B$4&lt;=21,"Amber","Green"))))</f>
        <v>Green</v>
      </c>
      <c r="N175" s="3"/>
      <c r="O175" t="str">
        <f>IF($I175&lt;&gt;"Complete",IF(COUNTIFS($A$4:$A174,$A175,$B$4:$B174,$B175,$I$4:$I174,"&lt;&gt;Complete")=0,$A175&amp;"|"&amp;$B175,""),"")</f>
        <v/>
      </c>
      <c r="P175" t="str">
        <f ca="1">IF($K175="Yes",COUNTIFS($K$4:$K175,"Yes"),"")</f>
        <v/>
      </c>
      <c r="Q175">
        <f t="shared" ca="1" si="9"/>
        <v>0</v>
      </c>
      <c r="R175" t="str">
        <f ca="1">IF($Q175=1,SUM($Q$4:$Q175),"")</f>
        <v/>
      </c>
    </row>
    <row r="176" spans="1:18" ht="22.5" customHeight="1" x14ac:dyDescent="0.3">
      <c r="A176" s="2" t="s">
        <v>505</v>
      </c>
      <c r="B176" s="2" t="s">
        <v>49</v>
      </c>
      <c r="C176" s="3" t="s">
        <v>519</v>
      </c>
      <c r="D176" s="3" t="s">
        <v>93</v>
      </c>
      <c r="E176" s="2" t="s">
        <v>104</v>
      </c>
      <c r="F176" s="2"/>
      <c r="G176" s="5">
        <v>46393.1</v>
      </c>
      <c r="H176" s="5">
        <v>46496</v>
      </c>
      <c r="I176" s="4" t="s">
        <v>17</v>
      </c>
      <c r="J176" s="6">
        <f t="shared" si="7"/>
        <v>102.90000000000146</v>
      </c>
      <c r="K176" s="4" t="str">
        <f t="shared" ca="1" si="8"/>
        <v>No</v>
      </c>
      <c r="L176" s="7">
        <f>IF(I176="Completed","0",IF($H176="","",$H176-'[2]Read Me'!$B$4))</f>
        <v>309</v>
      </c>
      <c r="M176" s="4" t="str">
        <f>IF($I176="Complete","Green",IF($H176="","Amber",IF($H176&lt;'[2]Read Me'!$B$4,"Red",IF($H176-'[2]Read Me'!$B$4&lt;=21,"Amber","Green"))))</f>
        <v>Green</v>
      </c>
      <c r="N176" s="3"/>
      <c r="O176" t="str">
        <f>IF($I176&lt;&gt;"Complete",IF(COUNTIFS($A$4:$A175,$A176,$B$4:$B175,$B176,$I$4:$I175,"&lt;&gt;Complete")=0,$A176&amp;"|"&amp;$B176,""),"")</f>
        <v/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 t="s">
        <v>505</v>
      </c>
      <c r="B177" s="2" t="s">
        <v>49</v>
      </c>
      <c r="C177" s="3" t="s">
        <v>519</v>
      </c>
      <c r="D177" s="3" t="s">
        <v>94</v>
      </c>
      <c r="E177" s="2" t="s">
        <v>104</v>
      </c>
      <c r="F177" s="2"/>
      <c r="G177" s="5">
        <v>46463.1</v>
      </c>
      <c r="H177" s="5">
        <v>46566</v>
      </c>
      <c r="I177" s="4" t="s">
        <v>17</v>
      </c>
      <c r="J177" s="6">
        <f t="shared" si="7"/>
        <v>102.90000000000146</v>
      </c>
      <c r="K177" s="4" t="str">
        <f t="shared" ca="1" si="8"/>
        <v>No</v>
      </c>
      <c r="L177" s="7">
        <f>IF(I177="Completed","0",IF($H177="","",$H177-'[2]Read Me'!$B$4))</f>
        <v>379</v>
      </c>
      <c r="M177" s="4" t="str">
        <f>IF($I177="Complete","Green",IF($H177="","Amber",IF($H177&lt;'[2]Read Me'!$B$4,"Red",IF($H177-'[2]Read Me'!$B$4&lt;=21,"Amber","Green"))))</f>
        <v>Green</v>
      </c>
      <c r="N177" s="3"/>
      <c r="O177" t="str">
        <f>IF($I177&lt;&gt;"Complete",IF(COUNTIFS($A$4:$A176,$A177,$B$4:$B176,$B177,$I$4:$I176,"&lt;&gt;Complete")=0,$A177&amp;"|"&amp;$B177,""),"")</f>
        <v/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/>
      <c r="B178" s="2"/>
      <c r="C178" s="3"/>
      <c r="D178" s="3"/>
      <c r="E178" s="2"/>
      <c r="F178" s="2"/>
      <c r="G178" s="5"/>
      <c r="H178" s="5"/>
      <c r="I178" s="4"/>
      <c r="J178" s="6" t="str">
        <f t="shared" si="7"/>
        <v/>
      </c>
      <c r="K178" s="4" t="str">
        <f t="shared" ca="1" si="8"/>
        <v/>
      </c>
      <c r="L178" s="7" t="str">
        <f>IF(I178="Completed","0",IF($H178="","",$H178-'[2]Read Me'!$B$4))</f>
        <v/>
      </c>
      <c r="M178" s="4" t="str">
        <f>IF($I178="Complete","Green",IF($H178="","Amber",IF($H178&lt;'[2]Read Me'!$B$4,"Red",IF($H178-'[2]Read Me'!$B$4&lt;=21,"Amber","Green"))))</f>
        <v>Amber</v>
      </c>
      <c r="N178" s="3"/>
      <c r="O178" t="str">
        <f>IF($I178&lt;&gt;"Complete",IF(COUNTIFS($A$4:$A177,$A178,$B$4:$B177,$B178,$I$4:$I177,"&lt;&gt;Complete")=0,$A178&amp;"|"&amp;$B178,""),"")</f>
        <v>|</v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/>
      <c r="B179" s="2"/>
      <c r="C179" s="3"/>
      <c r="D179" s="3"/>
      <c r="E179" s="2"/>
      <c r="F179" s="2"/>
      <c r="G179" s="5"/>
      <c r="H179" s="5"/>
      <c r="I179" s="4"/>
      <c r="J179" s="6" t="str">
        <f t="shared" si="7"/>
        <v/>
      </c>
      <c r="K179" s="4" t="str">
        <f t="shared" ca="1" si="8"/>
        <v/>
      </c>
      <c r="L179" s="7" t="str">
        <f>IF(I179="Completed","0",IF($H179="","",$H179-'[2]Read Me'!$B$4))</f>
        <v/>
      </c>
      <c r="M179" s="4" t="str">
        <f>IF($I179="Complete","Green",IF($H179="","Amber",IF($H179&lt;'[2]Read Me'!$B$4,"Red",IF($H179-'[2]Read Me'!$B$4&lt;=21,"Amber","Green"))))</f>
        <v>Amber</v>
      </c>
      <c r="N179" s="3"/>
      <c r="O179" t="str">
        <f>IF($I179&lt;&gt;"Complete",IF(COUNTIFS($A$4:$A178,$A179,$B$4:$B178,$B179,$I$4:$I178,"&lt;&gt;Complete")=0,$A179&amp;"|"&amp;$B179,""),"")</f>
        <v>|</v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/>
      <c r="B180" s="2"/>
      <c r="C180" s="3"/>
      <c r="D180" s="3"/>
      <c r="E180" s="2"/>
      <c r="F180" s="2"/>
      <c r="G180" s="5"/>
      <c r="H180" s="5"/>
      <c r="I180" s="4"/>
      <c r="J180" s="6" t="str">
        <f t="shared" si="7"/>
        <v/>
      </c>
      <c r="K180" s="4" t="str">
        <f t="shared" ca="1" si="8"/>
        <v/>
      </c>
      <c r="L180" s="7" t="str">
        <f>IF(I180="Completed","0",IF($H180="","",$H180-'[2]Read Me'!$B$4))</f>
        <v/>
      </c>
      <c r="M180" s="4" t="str">
        <f>IF($I180="Complete","Green",IF($H180="","Amber",IF($H180&lt;'[2]Read Me'!$B$4,"Red",IF($H180-'[2]Read Me'!$B$4&lt;=21,"Amber","Green"))))</f>
        <v>Amber</v>
      </c>
      <c r="N180" s="3"/>
      <c r="O180" t="str">
        <f>IF($I180&lt;&gt;"Complete",IF(COUNTIFS($A$4:$A179,$A180,$B$4:$B179,$B180,$I$4:$I179,"&lt;&gt;Complete")=0,$A180&amp;"|"&amp;$B180,""),"")</f>
        <v>|</v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/>
      <c r="B181" s="2"/>
      <c r="C181" s="3"/>
      <c r="D181" s="3"/>
      <c r="E181" s="2"/>
      <c r="F181" s="2"/>
      <c r="G181" s="5"/>
      <c r="H181" s="5"/>
      <c r="I181" s="4"/>
      <c r="J181" s="6" t="str">
        <f t="shared" si="7"/>
        <v/>
      </c>
      <c r="K181" s="4" t="str">
        <f t="shared" ca="1" si="8"/>
        <v/>
      </c>
      <c r="L181" s="7" t="str">
        <f>IF(I181="Completed","0",IF($H181="","",$H181-'[2]Read Me'!$B$4))</f>
        <v/>
      </c>
      <c r="M181" s="4" t="str">
        <f>IF($I181="Complete","Green",IF($H181="","Amber",IF($H181&lt;'[2]Read Me'!$B$4,"Red",IF($H181-'[2]Read Me'!$B$4&lt;=21,"Amber","Green"))))</f>
        <v>Amber</v>
      </c>
      <c r="N181" s="3"/>
      <c r="O181" t="str">
        <f>IF($I181&lt;&gt;"Complete",IF(COUNTIFS($A$4:$A180,$A181,$B$4:$B180,$B181,$I$4:$I180,"&lt;&gt;Complete")=0,$A181&amp;"|"&amp;$B181,""),"")</f>
        <v>|</v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/>
      <c r="B182" s="2"/>
      <c r="C182" s="3"/>
      <c r="D182" s="3"/>
      <c r="E182" s="2"/>
      <c r="F182" s="2"/>
      <c r="G182" s="5"/>
      <c r="H182" s="5"/>
      <c r="I182" s="4"/>
      <c r="J182" s="6" t="str">
        <f t="shared" si="7"/>
        <v/>
      </c>
      <c r="K182" s="4" t="str">
        <f t="shared" ca="1" si="8"/>
        <v/>
      </c>
      <c r="L182" s="7" t="str">
        <f>IF(I182="Completed","0",IF($H182="","",$H182-'[2]Read Me'!$B$4))</f>
        <v/>
      </c>
      <c r="M182" s="4" t="str">
        <f>IF($I182="Complete","Green",IF($H182="","Amber",IF($H182&lt;'[2]Read Me'!$B$4,"Red",IF($H182-'[2]Read Me'!$B$4&lt;=21,"Amber","Green"))))</f>
        <v>Amber</v>
      </c>
      <c r="N182" s="3"/>
      <c r="O182" t="str">
        <f>IF($I182&lt;&gt;"Complete",IF(COUNTIFS($A$4:$A181,$A182,$B$4:$B181,$B182,$I$4:$I181,"&lt;&gt;Complete")=0,$A182&amp;"|"&amp;$B182,""),"")</f>
        <v>|</v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/>
      <c r="B183" s="2"/>
      <c r="C183" s="3"/>
      <c r="D183" s="3"/>
      <c r="E183" s="2"/>
      <c r="F183" s="2"/>
      <c r="G183" s="5"/>
      <c r="H183" s="5"/>
      <c r="I183" s="4"/>
      <c r="J183" s="6" t="str">
        <f t="shared" si="7"/>
        <v/>
      </c>
      <c r="K183" s="4" t="str">
        <f t="shared" ca="1" si="8"/>
        <v/>
      </c>
      <c r="L183" s="7" t="str">
        <f>IF(I183="Completed","0",IF($H183="","",$H183-'[2]Read Me'!$B$4))</f>
        <v/>
      </c>
      <c r="M183" s="4" t="str">
        <f>IF($I183="Complete","Green",IF($H183="","Amber",IF($H183&lt;'[2]Read Me'!$B$4,"Red",IF($H183-'[2]Read Me'!$B$4&lt;=21,"Amber","Green"))))</f>
        <v>Amber</v>
      </c>
      <c r="N183" s="3"/>
      <c r="O183" t="str">
        <f>IF($I183&lt;&gt;"Complete",IF(COUNTIFS($A$4:$A182,$A183,$B$4:$B182,$B183,$I$4:$I182,"&lt;&gt;Complete")=0,$A183&amp;"|"&amp;$B183,""),"")</f>
        <v>|</v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/>
      <c r="B184" s="2"/>
      <c r="C184" s="3"/>
      <c r="D184" s="3"/>
      <c r="E184" s="2"/>
      <c r="F184" s="2"/>
      <c r="G184" s="5"/>
      <c r="H184" s="5"/>
      <c r="I184" s="4"/>
      <c r="J184" s="6" t="str">
        <f t="shared" si="7"/>
        <v/>
      </c>
      <c r="K184" s="4" t="str">
        <f t="shared" ca="1" si="8"/>
        <v/>
      </c>
      <c r="L184" s="7" t="str">
        <f>IF(I184="Completed","0",IF($H184="","",$H184-'[2]Read Me'!$B$4))</f>
        <v/>
      </c>
      <c r="M184" s="4" t="str">
        <f>IF($I184="Complete","Green",IF($H184="","Amber",IF($H184&lt;'[2]Read Me'!$B$4,"Red",IF($H184-'[2]Read Me'!$B$4&lt;=21,"Amber","Green"))))</f>
        <v>Amber</v>
      </c>
      <c r="N184" s="3"/>
      <c r="O184" t="str">
        <f>IF($I184&lt;&gt;"Complete",IF(COUNTIFS($A$4:$A183,$A184,$B$4:$B183,$B184,$I$4:$I183,"&lt;&gt;Complete")=0,$A184&amp;"|"&amp;$B184,""),"")</f>
        <v>|</v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/>
      <c r="B185" s="2"/>
      <c r="C185" s="3"/>
      <c r="D185" s="3"/>
      <c r="E185" s="2"/>
      <c r="F185" s="2"/>
      <c r="G185" s="5"/>
      <c r="H185" s="5"/>
      <c r="I185" s="4"/>
      <c r="J185" s="6" t="str">
        <f t="shared" si="7"/>
        <v/>
      </c>
      <c r="K185" s="4" t="str">
        <f t="shared" ca="1" si="8"/>
        <v/>
      </c>
      <c r="L185" s="7" t="str">
        <f>IF(I185="Completed","0",IF($H185="","",$H185-'[2]Read Me'!$B$4))</f>
        <v/>
      </c>
      <c r="M185" s="4" t="str">
        <f>IF($I185="Complete","Green",IF($H185="","Amber",IF($H185&lt;'[2]Read Me'!$B$4,"Red",IF($H185-'[2]Read Me'!$B$4&lt;=21,"Amber","Green"))))</f>
        <v>Amber</v>
      </c>
      <c r="N185" s="3"/>
      <c r="O185" t="str">
        <f>IF($I185&lt;&gt;"Complete",IF(COUNTIFS($A$4:$A184,$A185,$B$4:$B184,$B185,$I$4:$I184,"&lt;&gt;Complete")=0,$A185&amp;"|"&amp;$B185,""),"")</f>
        <v>|</v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/>
      <c r="B186" s="2"/>
      <c r="C186" s="3"/>
      <c r="D186" s="3"/>
      <c r="E186" s="2"/>
      <c r="F186" s="2"/>
      <c r="G186" s="5"/>
      <c r="H186" s="5"/>
      <c r="I186" s="4"/>
      <c r="J186" s="6" t="str">
        <f t="shared" si="7"/>
        <v/>
      </c>
      <c r="K186" s="4" t="str">
        <f t="shared" ca="1" si="8"/>
        <v/>
      </c>
      <c r="L186" s="7" t="str">
        <f>IF(I186="Completed","0",IF($H186="","",$H186-'[2]Read Me'!$B$4))</f>
        <v/>
      </c>
      <c r="M186" s="4" t="str">
        <f>IF($I186="Complete","Green",IF($H186="","Amber",IF($H186&lt;'[2]Read Me'!$B$4,"Red",IF($H186-'[2]Read Me'!$B$4&lt;=21,"Amber","Green"))))</f>
        <v>Amber</v>
      </c>
      <c r="N186" s="3"/>
      <c r="O186" t="str">
        <f>IF($I186&lt;&gt;"Complete",IF(COUNTIFS($A$4:$A185,$A186,$B$4:$B185,$B186,$I$4:$I185,"&lt;&gt;Complete")=0,$A186&amp;"|"&amp;$B186,""),"")</f>
        <v>|</v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/>
      <c r="B187" s="2"/>
      <c r="C187" s="3"/>
      <c r="D187" s="3"/>
      <c r="E187" s="2"/>
      <c r="F187" s="2"/>
      <c r="G187" s="5"/>
      <c r="H187" s="5"/>
      <c r="I187" s="4"/>
      <c r="J187" s="6" t="str">
        <f t="shared" si="7"/>
        <v/>
      </c>
      <c r="K187" s="4" t="str">
        <f t="shared" ca="1" si="8"/>
        <v/>
      </c>
      <c r="L187" s="7" t="str">
        <f>IF(I187="Completed","0",IF($H187="","",$H187-'[2]Read Me'!$B$4))</f>
        <v/>
      </c>
      <c r="M187" s="4" t="str">
        <f>IF($I187="Complete","Green",IF($H187="","Amber",IF($H187&lt;'[2]Read Me'!$B$4,"Red",IF($H187-'[2]Read Me'!$B$4&lt;=21,"Amber","Green"))))</f>
        <v>Amber</v>
      </c>
      <c r="N187" s="3"/>
      <c r="O187" t="str">
        <f>IF($I187&lt;&gt;"Complete",IF(COUNTIFS($A$4:$A186,$A187,$B$4:$B186,$B187,$I$4:$I186,"&lt;&gt;Complete")=0,$A187&amp;"|"&amp;$B187,""),"")</f>
        <v>|</v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/>
      <c r="B188" s="2"/>
      <c r="C188" s="3"/>
      <c r="D188" s="3"/>
      <c r="E188" s="2"/>
      <c r="F188" s="2"/>
      <c r="G188" s="5"/>
      <c r="H188" s="5"/>
      <c r="I188" s="4"/>
      <c r="J188" s="6" t="str">
        <f t="shared" si="7"/>
        <v/>
      </c>
      <c r="K188" s="4" t="str">
        <f t="shared" ca="1" si="8"/>
        <v/>
      </c>
      <c r="L188" s="7" t="str">
        <f>IF(I188="Completed","0",IF($H188="","",$H188-'[2]Read Me'!$B$4))</f>
        <v/>
      </c>
      <c r="M188" s="4" t="str">
        <f>IF($I188="Complete","Green",IF($H188="","Amber",IF($H188&lt;'[2]Read Me'!$B$4,"Red",IF($H188-'[2]Read Me'!$B$4&lt;=21,"Amber","Green"))))</f>
        <v>Amber</v>
      </c>
      <c r="N188" s="3"/>
      <c r="O188" t="str">
        <f>IF($I188&lt;&gt;"Complete",IF(COUNTIFS($A$4:$A187,$A188,$B$4:$B187,$B188,$I$4:$I187,"&lt;&gt;Complete")=0,$A188&amp;"|"&amp;$B188,""),"")</f>
        <v>|</v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/>
      <c r="B189" s="2"/>
      <c r="C189" s="3"/>
      <c r="D189" s="3"/>
      <c r="E189" s="2"/>
      <c r="F189" s="2"/>
      <c r="G189" s="5"/>
      <c r="H189" s="5"/>
      <c r="I189" s="4"/>
      <c r="J189" s="6" t="str">
        <f t="shared" si="7"/>
        <v/>
      </c>
      <c r="K189" s="4" t="str">
        <f t="shared" ca="1" si="8"/>
        <v/>
      </c>
      <c r="L189" s="7" t="str">
        <f>IF($H189="","",$H189-'[2]Read Me'!$B$4)</f>
        <v/>
      </c>
      <c r="M189" s="4" t="str">
        <f>IF($I189="Complete","Green",IF($H189="","Amber",IF($H189&lt;'[2]Read Me'!$B$4,"Red",IF($H189-'[2]Read Me'!$B$4&lt;=21,"Amber","Green"))))</f>
        <v>Amber</v>
      </c>
      <c r="N189" s="3"/>
      <c r="O189" t="str">
        <f>IF($I189&lt;&gt;"Complete",IF(COUNTIFS($A$4:$A188,$A189,$B$4:$B188,$B189,$I$4:$I188,"&lt;&gt;Complete")=0,$A189&amp;"|"&amp;$B189,""),"")</f>
        <v>|</v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/>
      <c r="B190" s="2"/>
      <c r="C190" s="3"/>
      <c r="D190" s="3"/>
      <c r="E190" s="2"/>
      <c r="F190" s="2"/>
      <c r="G190" s="5"/>
      <c r="H190" s="5"/>
      <c r="I190" s="4"/>
      <c r="J190" s="6" t="str">
        <f t="shared" si="7"/>
        <v/>
      </c>
      <c r="K190" s="4" t="str">
        <f t="shared" ca="1" si="8"/>
        <v/>
      </c>
      <c r="L190" s="7" t="str">
        <f>IF($H190="","",$H190-'[2]Read Me'!$B$4)</f>
        <v/>
      </c>
      <c r="M190" s="4" t="str">
        <f>IF($I190="Complete","Green",IF($H190="","Amber",IF($H190&lt;'[2]Read Me'!$B$4,"Red",IF($H190-'[2]Read Me'!$B$4&lt;=21,"Amber","Green"))))</f>
        <v>Amber</v>
      </c>
      <c r="N190" s="3"/>
      <c r="O190" t="str">
        <f>IF($I190&lt;&gt;"Complete",IF(COUNTIFS($A$4:$A189,$A190,$B$4:$B189,$B190,$I$4:$I189,"&lt;&gt;Complete")=0,$A190&amp;"|"&amp;$B190,""),"")</f>
        <v>|</v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/>
      <c r="B191" s="2"/>
      <c r="C191" s="3"/>
      <c r="D191" s="3"/>
      <c r="E191" s="2"/>
      <c r="F191" s="2"/>
      <c r="G191" s="5"/>
      <c r="H191" s="5"/>
      <c r="I191" s="4"/>
      <c r="J191" s="6" t="str">
        <f t="shared" si="7"/>
        <v/>
      </c>
      <c r="K191" s="4" t="str">
        <f t="shared" ca="1" si="8"/>
        <v/>
      </c>
      <c r="L191" s="7" t="str">
        <f>IF($H191="","",$H191-'[2]Read Me'!$B$4)</f>
        <v/>
      </c>
      <c r="M191" s="4" t="str">
        <f>IF($I191="Complete","Green",IF($H191="","Amber",IF($H191&lt;'[2]Read Me'!$B$4,"Red",IF($H191-'[2]Read Me'!$B$4&lt;=21,"Amber","Green"))))</f>
        <v>Amber</v>
      </c>
      <c r="N191" s="3"/>
      <c r="O191" t="str">
        <f>IF($I191&lt;&gt;"Complete",IF(COUNTIFS($A$4:$A190,$A191,$B$4:$B190,$B191,$I$4:$I190,"&lt;&gt;Complete")=0,$A191&amp;"|"&amp;$B191,""),"")</f>
        <v>|</v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/>
      <c r="B192" s="2"/>
      <c r="C192" s="3"/>
      <c r="D192" s="3"/>
      <c r="E192" s="2"/>
      <c r="F192" s="2"/>
      <c r="G192" s="5"/>
      <c r="H192" s="5"/>
      <c r="I192" s="4"/>
      <c r="J192" s="6" t="str">
        <f t="shared" si="7"/>
        <v/>
      </c>
      <c r="K192" s="4" t="str">
        <f t="shared" ca="1" si="8"/>
        <v/>
      </c>
      <c r="L192" s="7" t="str">
        <f>IF($H192="","",$H192-'[2]Read Me'!$B$4)</f>
        <v/>
      </c>
      <c r="M192" s="4" t="str">
        <f>IF($I192="Complete","Green",IF($H192="","Amber",IF($H192&lt;'[2]Read Me'!$B$4,"Red",IF($H192-'[2]Read Me'!$B$4&lt;=21,"Amber","Green"))))</f>
        <v>Amber</v>
      </c>
      <c r="N192" s="3"/>
      <c r="O192" t="str">
        <f>IF($I192&lt;&gt;"Complete",IF(COUNTIFS($A$4:$A191,$A192,$B$4:$B191,$B192,$I$4:$I191,"&lt;&gt;Complete")=0,$A192&amp;"|"&amp;$B192,""),"")</f>
        <v>|</v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/>
      <c r="B193" s="2"/>
      <c r="C193" s="3"/>
      <c r="D193" s="3"/>
      <c r="E193" s="2"/>
      <c r="F193" s="2"/>
      <c r="G193" s="5"/>
      <c r="H193" s="5"/>
      <c r="I193" s="4"/>
      <c r="J193" s="6" t="str">
        <f t="shared" si="7"/>
        <v/>
      </c>
      <c r="K193" s="4" t="str">
        <f t="shared" ca="1" si="8"/>
        <v/>
      </c>
      <c r="L193" s="7" t="str">
        <f>IF($H193="","",$H193-'[2]Read Me'!$B$4)</f>
        <v/>
      </c>
      <c r="M193" s="4" t="str">
        <f>IF($I193="Complete","Green",IF($H193="","Amber",IF($H193&lt;'[2]Read Me'!$B$4,"Red",IF($H193-'[2]Read Me'!$B$4&lt;=21,"Amber","Green"))))</f>
        <v>Amber</v>
      </c>
      <c r="N193" s="3"/>
      <c r="O193" t="str">
        <f>IF($I193&lt;&gt;"Complete",IF(COUNTIFS($A$4:$A192,$A193,$B$4:$B192,$B193,$I$4:$I192,"&lt;&gt;Complete")=0,$A193&amp;"|"&amp;$B193,""),"")</f>
        <v>|</v>
      </c>
      <c r="P193" t="str">
        <f ca="1">IF($K193="Yes",COUNTIFS($K$4:$K193,"Yes"),"")</f>
        <v/>
      </c>
      <c r="Q193">
        <f t="shared" ca="1" si="9"/>
        <v>0</v>
      </c>
      <c r="R193" t="str">
        <f ca="1">IF($Q193=1,SUM($Q$4:$Q193),"")</f>
        <v/>
      </c>
    </row>
    <row r="194" spans="1:18" ht="33.75" customHeight="1" x14ac:dyDescent="0.3">
      <c r="A194" s="2"/>
      <c r="B194" s="2"/>
      <c r="C194" s="3"/>
      <c r="D194" s="3"/>
      <c r="E194" s="2"/>
      <c r="F194" s="2"/>
      <c r="G194" s="5"/>
      <c r="H194" s="5"/>
      <c r="I194" s="4"/>
      <c r="J194" s="6" t="str">
        <f t="shared" si="7"/>
        <v/>
      </c>
      <c r="K194" s="4" t="str">
        <f t="shared" ca="1" si="8"/>
        <v/>
      </c>
      <c r="L194" s="7" t="str">
        <f>IF($H194="","",$H194-'[2]Read Me'!$B$4)</f>
        <v/>
      </c>
      <c r="M194" s="4" t="str">
        <f>IF($I194="Complete","Green",IF($H194="","Amber",IF($H194&lt;'[2]Read Me'!$B$4,"Red",IF($H194-'[2]Read Me'!$B$4&lt;=21,"Amber","Green"))))</f>
        <v>Amber</v>
      </c>
      <c r="N194" s="3"/>
      <c r="O194" t="str">
        <f>IF($I194&lt;&gt;"Complete",IF(COUNTIFS($A$4:$A193,$A194,$B$4:$B193,$B194,$I$4:$I193,"&lt;&gt;Complete")=0,$A194&amp;"|"&amp;$B194,""),"")</f>
        <v>|</v>
      </c>
      <c r="P194" t="str">
        <f ca="1">IF($K194="Yes",COUNTIFS($K$4:$K194,"Yes"),"")</f>
        <v/>
      </c>
      <c r="Q194">
        <f t="shared" ca="1" si="9"/>
        <v>0</v>
      </c>
      <c r="R194" t="str">
        <f ca="1">IF($Q194=1,SUM($Q$4:$Q194),"")</f>
        <v/>
      </c>
    </row>
    <row r="195" spans="1:18" ht="33.75" customHeight="1" x14ac:dyDescent="0.3">
      <c r="A195" s="2"/>
      <c r="B195" s="2"/>
      <c r="C195" s="3"/>
      <c r="D195" s="3"/>
      <c r="E195" s="2"/>
      <c r="F195" s="2"/>
      <c r="G195" s="5"/>
      <c r="H195" s="5"/>
      <c r="I195" s="4"/>
      <c r="J195" s="6" t="str">
        <f t="shared" si="7"/>
        <v/>
      </c>
      <c r="K195" s="4" t="str">
        <f t="shared" ca="1" si="8"/>
        <v/>
      </c>
      <c r="L195" s="7" t="str">
        <f>IF($H195="","",$H195-'[2]Read Me'!$B$4)</f>
        <v/>
      </c>
      <c r="M195" s="4" t="str">
        <f>IF($I195="Complete","Green",IF($H195="","Amber",IF($H195&lt;'[2]Read Me'!$B$4,"Red",IF($H195-'[2]Read Me'!$B$4&lt;=21,"Amber","Green"))))</f>
        <v>Amber</v>
      </c>
      <c r="N195" s="3"/>
      <c r="O195" t="str">
        <f>IF($I195&lt;&gt;"Complete",IF(COUNTIFS($A$4:$A194,$A195,$B$4:$B194,$B195,$I$4:$I194,"&lt;&gt;Complete")=0,$A195&amp;"|"&amp;$B195,""),"")</f>
        <v>|</v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/>
      <c r="B196" s="2"/>
      <c r="C196" s="3"/>
      <c r="D196" s="3"/>
      <c r="E196" s="2"/>
      <c r="F196" s="2"/>
      <c r="G196" s="5"/>
      <c r="H196" s="5"/>
      <c r="I196" s="4"/>
      <c r="J196" s="6" t="str">
        <f t="shared" ref="J196:J259" si="10">IF(OR($G196="",$H196=""),"",$H196-$G196)</f>
        <v/>
      </c>
      <c r="K196" s="4" t="str">
        <f t="shared" ref="K196:K243" ca="1" si="11">IF(C196="","",IF(H196="","",IF($I196="completed","-",IF($H196&gt;TODAY(),"No","Yes"))))</f>
        <v/>
      </c>
      <c r="L196" s="7" t="str">
        <f>IF($H196="","",$H196-'[2]Read Me'!$B$4)</f>
        <v/>
      </c>
      <c r="M196" s="4" t="str">
        <f>IF($I196="Complete","Green",IF($H196="","Amber",IF($H196&lt;'[2]Read Me'!$B$4,"Red",IF($H196-'[2]Read Me'!$B$4&lt;=21,"Amber","Green"))))</f>
        <v>Amber</v>
      </c>
      <c r="N196" s="3"/>
      <c r="O196" t="str">
        <f>IF($I196&lt;&gt;"Complete",IF(COUNTIFS($A$4:$A195,$A196,$B$4:$B195,$B196,$I$4:$I195,"&lt;&gt;Complete")=0,$A196&amp;"|"&amp;$B196,""),"")</f>
        <v>|</v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/>
      <c r="B197" s="2"/>
      <c r="C197" s="3"/>
      <c r="D197" s="3"/>
      <c r="E197" s="2"/>
      <c r="F197" s="2"/>
      <c r="G197" s="5"/>
      <c r="H197" s="5"/>
      <c r="I197" s="4"/>
      <c r="J197" s="6" t="str">
        <f t="shared" si="10"/>
        <v/>
      </c>
      <c r="K197" s="4" t="str">
        <f t="shared" ca="1" si="11"/>
        <v/>
      </c>
      <c r="L197" s="7" t="str">
        <f>IF($H197="","",$H197-'[2]Read Me'!$B$4)</f>
        <v/>
      </c>
      <c r="M197" s="4" t="str">
        <f>IF($I197="Complete","Green",IF($H197="","Amber",IF($H197&lt;'[2]Read Me'!$B$4,"Red",IF($H197-'[2]Read Me'!$B$4&lt;=21,"Amber","Green"))))</f>
        <v>Amber</v>
      </c>
      <c r="N197" s="3"/>
      <c r="O197" t="str">
        <f>IF($I197&lt;&gt;"Complete",IF(COUNTIFS($A$4:$A196,$A197,$B$4:$B196,$B197,$I$4:$I196,"&lt;&gt;Complete")=0,$A197&amp;"|"&amp;$B197,""),"")</f>
        <v>|</v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/>
      <c r="B198" s="2"/>
      <c r="C198" s="3"/>
      <c r="D198" s="3"/>
      <c r="E198" s="2"/>
      <c r="F198" s="2"/>
      <c r="G198" s="5"/>
      <c r="H198" s="5"/>
      <c r="I198" s="4"/>
      <c r="J198" s="6" t="str">
        <f t="shared" si="10"/>
        <v/>
      </c>
      <c r="K198" s="4" t="str">
        <f t="shared" ca="1" si="11"/>
        <v/>
      </c>
      <c r="L198" s="7" t="str">
        <f>IF($H198="","",$H198-'[2]Read Me'!$B$4)</f>
        <v/>
      </c>
      <c r="M198" s="4" t="str">
        <f>IF($I198="Complete","Green",IF($H198="","Amber",IF($H198&lt;'[2]Read Me'!$B$4,"Red",IF($H198-'[2]Read Me'!$B$4&lt;=21,"Amber","Green"))))</f>
        <v>Amber</v>
      </c>
      <c r="N198" s="3"/>
      <c r="O198" t="str">
        <f>IF($I198&lt;&gt;"Complete",IF(COUNTIFS($A$4:$A197,$A198,$B$4:$B197,$B198,$I$4:$I197,"&lt;&gt;Complete")=0,$A198&amp;"|"&amp;$B198,""),"")</f>
        <v>|</v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/>
      <c r="B199" s="2"/>
      <c r="C199" s="3"/>
      <c r="D199" s="3"/>
      <c r="E199" s="2"/>
      <c r="F199" s="2"/>
      <c r="G199" s="5"/>
      <c r="H199" s="5"/>
      <c r="I199" s="4"/>
      <c r="J199" s="6" t="str">
        <f t="shared" si="10"/>
        <v/>
      </c>
      <c r="K199" s="4" t="str">
        <f t="shared" ca="1" si="11"/>
        <v/>
      </c>
      <c r="L199" s="7" t="str">
        <f>IF($H199="","",$H199-'[2]Read Me'!$B$4)</f>
        <v/>
      </c>
      <c r="M199" s="4" t="str">
        <f>IF($I199="Complete","Green",IF($H199="","Amber",IF($H199&lt;'[2]Read Me'!$B$4,"Red",IF($H199-'[2]Read Me'!$B$4&lt;=21,"Amber","Green"))))</f>
        <v>Amber</v>
      </c>
      <c r="N199" s="3"/>
      <c r="O199" t="str">
        <f>IF($I199&lt;&gt;"Complete",IF(COUNTIFS($A$4:$A198,$A199,$B$4:$B198,$B199,$I$4:$I198,"&lt;&gt;Complete")=0,$A199&amp;"|"&amp;$B199,""),"")</f>
        <v>|</v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/>
      <c r="B200" s="2"/>
      <c r="C200" s="3"/>
      <c r="D200" s="3"/>
      <c r="E200" s="2"/>
      <c r="F200" s="2"/>
      <c r="G200" s="5"/>
      <c r="H200" s="5"/>
      <c r="I200" s="4"/>
      <c r="J200" s="6" t="str">
        <f t="shared" si="10"/>
        <v/>
      </c>
      <c r="K200" s="4" t="str">
        <f t="shared" ca="1" si="11"/>
        <v/>
      </c>
      <c r="L200" s="7" t="str">
        <f>IF($H200="","",$H200-'[2]Read Me'!$B$4)</f>
        <v/>
      </c>
      <c r="M200" s="4" t="str">
        <f>IF($I200="Complete","Green",IF($H200="","Amber",IF($H200&lt;'[2]Read Me'!$B$4,"Red",IF($H200-'[2]Read Me'!$B$4&lt;=21,"Amber","Green"))))</f>
        <v>Amber</v>
      </c>
      <c r="N200" s="3"/>
      <c r="O200" t="str">
        <f>IF($I200&lt;&gt;"Complete",IF(COUNTIFS($A$4:$A199,$A200,$B$4:$B199,$B200,$I$4:$I199,"&lt;&gt;Complete")=0,$A200&amp;"|"&amp;$B200,""),"")</f>
        <v>|</v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/>
      <c r="B201" s="2"/>
      <c r="C201" s="3"/>
      <c r="D201" s="3"/>
      <c r="E201" s="2"/>
      <c r="F201" s="2"/>
      <c r="G201" s="5"/>
      <c r="H201" s="5"/>
      <c r="I201" s="4"/>
      <c r="J201" s="6" t="str">
        <f t="shared" si="10"/>
        <v/>
      </c>
      <c r="K201" s="4" t="str">
        <f t="shared" ca="1" si="11"/>
        <v/>
      </c>
      <c r="L201" s="7" t="str">
        <f>IF($H201="","",$H201-'[2]Read Me'!$B$4)</f>
        <v/>
      </c>
      <c r="M201" s="4" t="str">
        <f>IF($I201="Complete","Green",IF($H201="","Amber",IF($H201&lt;'[2]Read Me'!$B$4,"Red",IF($H201-'[2]Read Me'!$B$4&lt;=21,"Amber","Green"))))</f>
        <v>Amber</v>
      </c>
      <c r="N201" s="3"/>
      <c r="O201" t="str">
        <f>IF($I201&lt;&gt;"Complete",IF(COUNTIFS($A$4:$A200,$A201,$B$4:$B200,$B201,$I$4:$I200,"&lt;&gt;Complete")=0,$A201&amp;"|"&amp;$B201,""),"")</f>
        <v>|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/>
      <c r="B202" s="2"/>
      <c r="C202" s="3"/>
      <c r="D202" s="3"/>
      <c r="E202" s="2"/>
      <c r="F202" s="2"/>
      <c r="G202" s="5"/>
      <c r="H202" s="5"/>
      <c r="I202" s="4"/>
      <c r="J202" s="6" t="str">
        <f t="shared" si="10"/>
        <v/>
      </c>
      <c r="K202" s="4" t="str">
        <f t="shared" ca="1" si="11"/>
        <v/>
      </c>
      <c r="L202" s="7" t="str">
        <f>IF($H202="","",$H202-'[2]Read Me'!$B$4)</f>
        <v/>
      </c>
      <c r="M202" s="4" t="str">
        <f>IF($I202="Complete","Green",IF($H202="","Amber",IF($H202&lt;'[2]Read Me'!$B$4,"Red",IF($H202-'[2]Read Me'!$B$4&lt;=21,"Amber","Green"))))</f>
        <v>Amber</v>
      </c>
      <c r="N202" s="3"/>
      <c r="O202" t="str">
        <f>IF($I202&lt;&gt;"Complete",IF(COUNTIFS($A$4:$A201,$A202,$B$4:$B201,$B202,$I$4:$I201,"&lt;&gt;Complete")=0,$A202&amp;"|"&amp;$B202,""),"")</f>
        <v>|</v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/>
      <c r="B203" s="2"/>
      <c r="C203" s="3"/>
      <c r="D203" s="3"/>
      <c r="E203" s="2"/>
      <c r="F203" s="2"/>
      <c r="G203" s="5"/>
      <c r="H203" s="5"/>
      <c r="I203" s="4"/>
      <c r="J203" s="6" t="str">
        <f t="shared" si="10"/>
        <v/>
      </c>
      <c r="K203" s="4" t="str">
        <f t="shared" ca="1" si="11"/>
        <v/>
      </c>
      <c r="L203" s="7" t="str">
        <f>IF($H203="","",$H203-'[2]Read Me'!$B$4)</f>
        <v/>
      </c>
      <c r="M203" s="4" t="str">
        <f>IF($I203="Complete","Green",IF($H203="","Amber",IF($H203&lt;'[2]Read Me'!$B$4,"Red",IF($H203-'[2]Read Me'!$B$4&lt;=21,"Amber","Green"))))</f>
        <v>Amber</v>
      </c>
      <c r="N203" s="3"/>
      <c r="O203" t="str">
        <f>IF($I203&lt;&gt;"Complete",IF(COUNTIFS($A$4:$A202,$A203,$B$4:$B202,$B203,$I$4:$I202,"&lt;&gt;Complete")=0,$A203&amp;"|"&amp;$B203,""),"")</f>
        <v>|</v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/>
      <c r="B204" s="2"/>
      <c r="C204" s="3"/>
      <c r="D204" s="3"/>
      <c r="E204" s="2"/>
      <c r="F204" s="2"/>
      <c r="G204" s="5"/>
      <c r="H204" s="5"/>
      <c r="I204" s="4"/>
      <c r="J204" s="6" t="str">
        <f t="shared" si="10"/>
        <v/>
      </c>
      <c r="K204" s="4" t="str">
        <f t="shared" ca="1" si="11"/>
        <v/>
      </c>
      <c r="L204" s="7" t="str">
        <f>IF($H204="","",$H204-'[2]Read Me'!$B$4)</f>
        <v/>
      </c>
      <c r="M204" s="4" t="str">
        <f>IF($I204="Complete","Green",IF($H204="","Amber",IF($H204&lt;'[2]Read Me'!$B$4,"Red",IF($H204-'[2]Read Me'!$B$4&lt;=21,"Amber","Green"))))</f>
        <v>Amber</v>
      </c>
      <c r="N204" s="3"/>
      <c r="O204" t="str">
        <f>IF($I204&lt;&gt;"Complete",IF(COUNTIFS($A$4:$A203,$A204,$B$4:$B203,$B204,$I$4:$I203,"&lt;&gt;Complete")=0,$A204&amp;"|"&amp;$B204,""),"")</f>
        <v>|</v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/>
      <c r="B205" s="2"/>
      <c r="C205" s="3"/>
      <c r="D205" s="3"/>
      <c r="E205" s="2"/>
      <c r="F205" s="2"/>
      <c r="G205" s="5"/>
      <c r="H205" s="5"/>
      <c r="I205" s="4"/>
      <c r="J205" s="6" t="str">
        <f t="shared" si="10"/>
        <v/>
      </c>
      <c r="K205" s="4" t="str">
        <f t="shared" ca="1" si="11"/>
        <v/>
      </c>
      <c r="L205" s="7" t="str">
        <f>IF($H205="","",$H205-'[2]Read Me'!$B$4)</f>
        <v/>
      </c>
      <c r="M205" s="4" t="str">
        <f>IF($I205="Complete","Green",IF($H205="","Amber",IF($H205&lt;'[2]Read Me'!$B$4,"Red",IF($H205-'[2]Read Me'!$B$4&lt;=21,"Amber","Green"))))</f>
        <v>Amber</v>
      </c>
      <c r="N205" s="3"/>
      <c r="O205" t="str">
        <f>IF($I205&lt;&gt;"Complete",IF(COUNTIFS($A$4:$A204,$A205,$B$4:$B204,$B205,$I$4:$I204,"&lt;&gt;Complete")=0,$A205&amp;"|"&amp;$B205,""),"")</f>
        <v>|</v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/>
      <c r="B206" s="2"/>
      <c r="C206" s="3"/>
      <c r="D206" s="3"/>
      <c r="E206" s="2"/>
      <c r="F206" s="2"/>
      <c r="G206" s="5"/>
      <c r="H206" s="5"/>
      <c r="I206" s="4"/>
      <c r="J206" s="6" t="str">
        <f t="shared" si="10"/>
        <v/>
      </c>
      <c r="K206" s="4" t="str">
        <f t="shared" ca="1" si="11"/>
        <v/>
      </c>
      <c r="L206" s="7" t="str">
        <f>IF($H206="","",$H206-'[2]Read Me'!$B$4)</f>
        <v/>
      </c>
      <c r="M206" s="4" t="str">
        <f>IF($I206="Complete","Green",IF($H206="","Amber",IF($H206&lt;'[2]Read Me'!$B$4,"Red",IF($H206-'[2]Read Me'!$B$4&lt;=21,"Amber","Green"))))</f>
        <v>Amber</v>
      </c>
      <c r="N206" s="3"/>
      <c r="O206" t="str">
        <f>IF($I206&lt;&gt;"Complete",IF(COUNTIFS($A$4:$A205,$A206,$B$4:$B205,$B206,$I$4:$I205,"&lt;&gt;Complete")=0,$A206&amp;"|"&amp;$B206,""),"")</f>
        <v>|</v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/>
      <c r="B207" s="2"/>
      <c r="C207" s="3"/>
      <c r="D207" s="3"/>
      <c r="E207" s="2"/>
      <c r="F207" s="2"/>
      <c r="G207" s="5"/>
      <c r="H207" s="5"/>
      <c r="I207" s="4"/>
      <c r="J207" s="6" t="str">
        <f t="shared" si="10"/>
        <v/>
      </c>
      <c r="K207" s="4" t="str">
        <f t="shared" ca="1" si="11"/>
        <v/>
      </c>
      <c r="L207" s="7" t="str">
        <f>IF($H207="","",$H207-'[2]Read Me'!$B$4)</f>
        <v/>
      </c>
      <c r="M207" s="4" t="str">
        <f>IF($I207="Complete","Green",IF($H207="","Amber",IF($H207&lt;'[2]Read Me'!$B$4,"Red",IF($H207-'[2]Read Me'!$B$4&lt;=21,"Amber","Green"))))</f>
        <v>Amber</v>
      </c>
      <c r="N207" s="3"/>
      <c r="O207" t="str">
        <f>IF($I207&lt;&gt;"Complete",IF(COUNTIFS($A$4:$A206,$A207,$B$4:$B206,$B207,$I$4:$I206,"&lt;&gt;Complete")=0,$A207&amp;"|"&amp;$B207,""),"")</f>
        <v>|</v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/>
      <c r="B208" s="2"/>
      <c r="C208" s="3"/>
      <c r="D208" s="3"/>
      <c r="E208" s="2"/>
      <c r="F208" s="2"/>
      <c r="G208" s="5"/>
      <c r="H208" s="5"/>
      <c r="I208" s="4"/>
      <c r="J208" s="6" t="str">
        <f t="shared" si="10"/>
        <v/>
      </c>
      <c r="K208" s="4" t="str">
        <f t="shared" ca="1" si="11"/>
        <v/>
      </c>
      <c r="L208" s="7" t="str">
        <f>IF($H208="","",$H208-'[2]Read Me'!$B$4)</f>
        <v/>
      </c>
      <c r="M208" s="4" t="str">
        <f>IF($I208="Complete","Green",IF($H208="","Amber",IF($H208&lt;'[2]Read Me'!$B$4,"Red",IF($H208-'[2]Read Me'!$B$4&lt;=21,"Amber","Green"))))</f>
        <v>Amber</v>
      </c>
      <c r="N208" s="3"/>
      <c r="O208" t="str">
        <f>IF($I208&lt;&gt;"Complete",IF(COUNTIFS($A$4:$A207,$A208,$B$4:$B207,$B208,$I$4:$I207,"&lt;&gt;Complete")=0,$A208&amp;"|"&amp;$B208,""),"")</f>
        <v>|</v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/>
      <c r="B209" s="2"/>
      <c r="C209" s="3"/>
      <c r="D209" s="3"/>
      <c r="E209" s="2"/>
      <c r="F209" s="2"/>
      <c r="G209" s="5"/>
      <c r="H209" s="5"/>
      <c r="I209" s="4"/>
      <c r="J209" s="6" t="str">
        <f t="shared" si="10"/>
        <v/>
      </c>
      <c r="K209" s="4" t="str">
        <f t="shared" ca="1" si="11"/>
        <v/>
      </c>
      <c r="L209" s="7" t="str">
        <f>IF($H209="","",$H209-'[2]Read Me'!$B$4)</f>
        <v/>
      </c>
      <c r="M209" s="4" t="str">
        <f>IF($I209="Complete","Green",IF($H209="","Amber",IF($H209&lt;'[2]Read Me'!$B$4,"Red",IF($H209-'[2]Read Me'!$B$4&lt;=21,"Amber","Green"))))</f>
        <v>Amber</v>
      </c>
      <c r="N209" s="3"/>
      <c r="O209" t="str">
        <f>IF($I209&lt;&gt;"Complete",IF(COUNTIFS($A$4:$A208,$A209,$B$4:$B208,$B209,$I$4:$I208,"&lt;&gt;Complete")=0,$A209&amp;"|"&amp;$B209,""),"")</f>
        <v>|</v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/>
      <c r="B210" s="2"/>
      <c r="C210" s="3"/>
      <c r="D210" s="3"/>
      <c r="E210" s="2"/>
      <c r="F210" s="2"/>
      <c r="G210" s="5"/>
      <c r="H210" s="5"/>
      <c r="I210" s="4"/>
      <c r="J210" s="6" t="str">
        <f t="shared" si="10"/>
        <v/>
      </c>
      <c r="K210" s="4" t="str">
        <f t="shared" ca="1" si="11"/>
        <v/>
      </c>
      <c r="L210" s="7" t="str">
        <f>IF($H210="","",$H210-'[2]Read Me'!$B$4)</f>
        <v/>
      </c>
      <c r="M210" s="4" t="str">
        <f>IF($I210="Complete","Green",IF($H210="","Amber",IF($H210&lt;'[2]Read Me'!$B$4,"Red",IF($H210-'[2]Read Me'!$B$4&lt;=21,"Amber","Green"))))</f>
        <v>Amber</v>
      </c>
      <c r="N210" s="3"/>
      <c r="O210" t="str">
        <f>IF($I210&lt;&gt;"Complete",IF(COUNTIFS($A$4:$A209,$A210,$B$4:$B209,$B210,$I$4:$I209,"&lt;&gt;Complete")=0,$A210&amp;"|"&amp;$B210,""),"")</f>
        <v>|</v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/>
      <c r="B211" s="2"/>
      <c r="C211" s="3"/>
      <c r="D211" s="3"/>
      <c r="E211" s="2"/>
      <c r="F211" s="2"/>
      <c r="G211" s="5"/>
      <c r="H211" s="5"/>
      <c r="I211" s="4"/>
      <c r="J211" s="6" t="str">
        <f t="shared" si="10"/>
        <v/>
      </c>
      <c r="K211" s="4" t="str">
        <f t="shared" ca="1" si="11"/>
        <v/>
      </c>
      <c r="L211" s="7" t="str">
        <f>IF($H211="","",$H211-'[2]Read Me'!$B$4)</f>
        <v/>
      </c>
      <c r="M211" s="4" t="str">
        <f>IF($I211="Complete","Green",IF($H211="","Amber",IF($H211&lt;'[2]Read Me'!$B$4,"Red",IF($H211-'[2]Read Me'!$B$4&lt;=21,"Amber","Green"))))</f>
        <v>Amber</v>
      </c>
      <c r="N211" s="3"/>
      <c r="O211" t="str">
        <f>IF($I211&lt;&gt;"Complete",IF(COUNTIFS($A$4:$A210,$A211,$B$4:$B210,$B211,$I$4:$I210,"&lt;&gt;Complete")=0,$A211&amp;"|"&amp;$B211,""),"")</f>
        <v>|</v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/>
      <c r="B212" s="2"/>
      <c r="C212" s="3"/>
      <c r="D212" s="3"/>
      <c r="E212" s="2"/>
      <c r="F212" s="2"/>
      <c r="G212" s="5"/>
      <c r="H212" s="5"/>
      <c r="I212" s="4"/>
      <c r="J212" s="6" t="str">
        <f t="shared" si="10"/>
        <v/>
      </c>
      <c r="K212" s="4" t="str">
        <f t="shared" ca="1" si="11"/>
        <v/>
      </c>
      <c r="L212" s="7" t="str">
        <f>IF($H212="","",$H212-'[2]Read Me'!$B$4)</f>
        <v/>
      </c>
      <c r="M212" s="4" t="str">
        <f>IF($I212="Complete","Green",IF($H212="","Amber",IF($H212&lt;'[2]Read Me'!$B$4,"Red",IF($H212-'[2]Read Me'!$B$4&lt;=21,"Amber","Green"))))</f>
        <v>Amber</v>
      </c>
      <c r="N212" s="3"/>
      <c r="O212" t="str">
        <f>IF($I212&lt;&gt;"Complete",IF(COUNTIFS($A$4:$A211,$A212,$B$4:$B211,$B212,$I$4:$I211,"&lt;&gt;Complete")=0,$A212&amp;"|"&amp;$B212,""),"")</f>
        <v>|</v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/>
      <c r="B213" s="2"/>
      <c r="C213" s="3"/>
      <c r="D213" s="3"/>
      <c r="E213" s="2"/>
      <c r="F213" s="2"/>
      <c r="G213" s="5"/>
      <c r="H213" s="5"/>
      <c r="I213" s="4"/>
      <c r="J213" s="6" t="str">
        <f t="shared" si="10"/>
        <v/>
      </c>
      <c r="K213" s="4" t="str">
        <f t="shared" ca="1" si="11"/>
        <v/>
      </c>
      <c r="L213" s="7" t="str">
        <f>IF($H213="","",$H213-'[2]Read Me'!$B$4)</f>
        <v/>
      </c>
      <c r="M213" s="4" t="str">
        <f>IF($I213="Complete","Green",IF($H213="","Amber",IF($H213&lt;'[2]Read Me'!$B$4,"Red",IF($H213-'[2]Read Me'!$B$4&lt;=21,"Amber","Green"))))</f>
        <v>Amber</v>
      </c>
      <c r="N213" s="3"/>
      <c r="O213" t="str">
        <f>IF($I213&lt;&gt;"Complete",IF(COUNTIFS($A$4:$A212,$A213,$B$4:$B212,$B213,$I$4:$I212,"&lt;&gt;Complete")=0,$A213&amp;"|"&amp;$B213,""),"")</f>
        <v>|</v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/>
      <c r="B214" s="2"/>
      <c r="C214" s="3"/>
      <c r="D214" s="3"/>
      <c r="E214" s="2"/>
      <c r="F214" s="2"/>
      <c r="G214" s="5"/>
      <c r="H214" s="5"/>
      <c r="I214" s="4"/>
      <c r="J214" s="6" t="str">
        <f t="shared" si="10"/>
        <v/>
      </c>
      <c r="K214" s="4" t="str">
        <f t="shared" ca="1" si="11"/>
        <v/>
      </c>
      <c r="L214" s="7" t="str">
        <f>IF($H214="","",$H214-'[2]Read Me'!$B$4)</f>
        <v/>
      </c>
      <c r="M214" s="4" t="str">
        <f>IF($I214="Complete","Green",IF($H214="","Amber",IF($H214&lt;'[2]Read Me'!$B$4,"Red",IF($H214-'[2]Read Me'!$B$4&lt;=21,"Amber","Green"))))</f>
        <v>Amber</v>
      </c>
      <c r="N214" s="3"/>
      <c r="O214" t="str">
        <f>IF($I214&lt;&gt;"Complete",IF(COUNTIFS($A$4:$A213,$A214,$B$4:$B213,$B214,$I$4:$I213,"&lt;&gt;Complete")=0,$A214&amp;"|"&amp;$B214,""),"")</f>
        <v>|</v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/>
      <c r="B215" s="2"/>
      <c r="C215" s="3"/>
      <c r="D215" s="3"/>
      <c r="E215" s="2"/>
      <c r="F215" s="2"/>
      <c r="G215" s="5"/>
      <c r="H215" s="5"/>
      <c r="I215" s="4"/>
      <c r="J215" s="6" t="str">
        <f t="shared" si="10"/>
        <v/>
      </c>
      <c r="K215" s="4" t="str">
        <f t="shared" ca="1" si="11"/>
        <v/>
      </c>
      <c r="L215" s="7" t="str">
        <f>IF($H215="","",$H215-'[2]Read Me'!$B$4)</f>
        <v/>
      </c>
      <c r="M215" s="4" t="str">
        <f>IF($I215="Complete","Green",IF($H215="","Amber",IF($H215&lt;'[2]Read Me'!$B$4,"Red",IF($H215-'[2]Read Me'!$B$4&lt;=21,"Amber","Green"))))</f>
        <v>Amber</v>
      </c>
      <c r="N215" s="3"/>
      <c r="O215" t="str">
        <f>IF($I215&lt;&gt;"Complete",IF(COUNTIFS($A$4:$A214,$A215,$B$4:$B214,$B215,$I$4:$I214,"&lt;&gt;Complete")=0,$A215&amp;"|"&amp;$B215,""),"")</f>
        <v>|</v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/>
      <c r="B216" s="2"/>
      <c r="C216" s="3"/>
      <c r="D216" s="3"/>
      <c r="E216" s="2"/>
      <c r="F216" s="2"/>
      <c r="G216" s="5"/>
      <c r="H216" s="5"/>
      <c r="I216" s="4"/>
      <c r="J216" s="6" t="str">
        <f t="shared" si="10"/>
        <v/>
      </c>
      <c r="K216" s="4" t="str">
        <f t="shared" ca="1" si="11"/>
        <v/>
      </c>
      <c r="L216" s="7" t="str">
        <f>IF($H216="","",$H216-'[2]Read Me'!$B$4)</f>
        <v/>
      </c>
      <c r="M216" s="4" t="str">
        <f>IF($I216="Complete","Green",IF($H216="","Amber",IF($H216&lt;'[2]Read Me'!$B$4,"Red",IF($H216-'[2]Read Me'!$B$4&lt;=21,"Amber","Green"))))</f>
        <v>Amber</v>
      </c>
      <c r="N216" s="3"/>
      <c r="O216" t="str">
        <f>IF($I216&lt;&gt;"Complete",IF(COUNTIFS($A$4:$A215,$A216,$B$4:$B215,$B216,$I$4:$I215,"&lt;&gt;Complete")=0,$A216&amp;"|"&amp;$B216,""),"")</f>
        <v>|</v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/>
      <c r="B217" s="2"/>
      <c r="C217" s="3"/>
      <c r="D217" s="3"/>
      <c r="E217" s="2"/>
      <c r="F217" s="2"/>
      <c r="G217" s="5"/>
      <c r="H217" s="5"/>
      <c r="I217" s="4"/>
      <c r="J217" s="6" t="str">
        <f t="shared" si="10"/>
        <v/>
      </c>
      <c r="K217" s="4" t="str">
        <f t="shared" ca="1" si="11"/>
        <v/>
      </c>
      <c r="L217" s="7" t="str">
        <f>IF($H217="","",$H217-'[2]Read Me'!$B$4)</f>
        <v/>
      </c>
      <c r="M217" s="4" t="str">
        <f>IF($I217="Complete","Green",IF($H217="","Amber",IF($H217&lt;'[2]Read Me'!$B$4,"Red",IF($H217-'[2]Read Me'!$B$4&lt;=21,"Amber","Green"))))</f>
        <v>Amber</v>
      </c>
      <c r="N217" s="3"/>
      <c r="O217" t="str">
        <f>IF($I217&lt;&gt;"Complete",IF(COUNTIFS($A$4:$A216,$A217,$B$4:$B216,$B217,$I$4:$I216,"&lt;&gt;Complete")=0,$A217&amp;"|"&amp;$B217,""),"")</f>
        <v>|</v>
      </c>
      <c r="P217" t="str">
        <f ca="1">IF($K217="Yes",COUNTIFS($K$4:$K217,"Yes"),"")</f>
        <v/>
      </c>
      <c r="Q217">
        <f t="shared" ca="1" si="12"/>
        <v>0</v>
      </c>
      <c r="R217" t="str">
        <f ca="1">IF($Q217=1,SUM($Q$4:$Q217),"")</f>
        <v/>
      </c>
    </row>
    <row r="218" spans="1:18" ht="22.5" customHeight="1" x14ac:dyDescent="0.3">
      <c r="A218" s="2"/>
      <c r="B218" s="2"/>
      <c r="C218" s="3"/>
      <c r="D218" s="3"/>
      <c r="E218" s="2"/>
      <c r="F218" s="2"/>
      <c r="G218" s="5"/>
      <c r="H218" s="5"/>
      <c r="I218" s="4"/>
      <c r="J218" s="6" t="str">
        <f t="shared" si="10"/>
        <v/>
      </c>
      <c r="K218" s="4" t="str">
        <f t="shared" ca="1" si="11"/>
        <v/>
      </c>
      <c r="L218" s="7" t="str">
        <f>IF($H218="","",$H218-'[2]Read Me'!$B$4)</f>
        <v/>
      </c>
      <c r="M218" s="4" t="str">
        <f>IF($I218="Complete","Green",IF($H218="","Amber",IF($H218&lt;'[2]Read Me'!$B$4,"Red",IF($H218-'[2]Read Me'!$B$4&lt;=21,"Amber","Green"))))</f>
        <v>Amber</v>
      </c>
      <c r="N218" s="3"/>
      <c r="O218" t="str">
        <f>IF($I218&lt;&gt;"Complete",IF(COUNTIFS($A$4:$A217,$A218,$B$4:$B217,$B218,$I$4:$I217,"&lt;&gt;Complete")=0,$A218&amp;"|"&amp;$B218,""),"")</f>
        <v>|</v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/>
      <c r="B219" s="2"/>
      <c r="C219" s="3"/>
      <c r="D219" s="3"/>
      <c r="E219" s="2"/>
      <c r="F219" s="2"/>
      <c r="G219" s="5"/>
      <c r="H219" s="5"/>
      <c r="I219" s="4"/>
      <c r="J219" s="6" t="str">
        <f t="shared" si="10"/>
        <v/>
      </c>
      <c r="K219" s="4" t="str">
        <f t="shared" ca="1" si="11"/>
        <v/>
      </c>
      <c r="L219" s="7" t="str">
        <f>IF($H219="","",$H219-'[2]Read Me'!$B$4)</f>
        <v/>
      </c>
      <c r="M219" s="4" t="str">
        <f>IF($I219="Complete","Green",IF($H219="","Amber",IF($H219&lt;'[2]Read Me'!$B$4,"Red",IF($H219-'[2]Read Me'!$B$4&lt;=21,"Amber","Green"))))</f>
        <v>Amber</v>
      </c>
      <c r="N219" s="3"/>
      <c r="O219" t="str">
        <f>IF($I219&lt;&gt;"Complete",IF(COUNTIFS($A$4:$A218,$A219,$B$4:$B218,$B219,$I$4:$I218,"&lt;&gt;Complete")=0,$A219&amp;"|"&amp;$B219,""),"")</f>
        <v>|</v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/>
      <c r="B220" s="2"/>
      <c r="C220" s="3"/>
      <c r="D220" s="3"/>
      <c r="E220" s="2"/>
      <c r="F220" s="2"/>
      <c r="G220" s="5"/>
      <c r="H220" s="5"/>
      <c r="I220" s="4"/>
      <c r="J220" s="6" t="str">
        <f t="shared" si="10"/>
        <v/>
      </c>
      <c r="K220" s="4" t="str">
        <f t="shared" ca="1" si="11"/>
        <v/>
      </c>
      <c r="L220" s="7" t="str">
        <f>IF($H220="","",$H220-'[2]Read Me'!$B$4)</f>
        <v/>
      </c>
      <c r="M220" s="4" t="str">
        <f>IF($I220="Complete","Green",IF($H220="","Amber",IF($H220&lt;'[2]Read Me'!$B$4,"Red",IF($H220-'[2]Read Me'!$B$4&lt;=21,"Amber","Green"))))</f>
        <v>Amber</v>
      </c>
      <c r="N220" s="3"/>
      <c r="O220" t="str">
        <f>IF($I220&lt;&gt;"Complete",IF(COUNTIFS($A$4:$A219,$A220,$B$4:$B219,$B220,$I$4:$I219,"&lt;&gt;Complete")=0,$A220&amp;"|"&amp;$B220,""),"")</f>
        <v>|</v>
      </c>
      <c r="P220" t="str">
        <f ca="1">IF($K220="Yes",COUNTIFS($K$4:$K220,"Yes"),"")</f>
        <v/>
      </c>
      <c r="Q220">
        <f t="shared" ca="1" si="12"/>
        <v>0</v>
      </c>
      <c r="R220" t="str">
        <f ca="1">IF($Q220=1,SUM($Q$4:$Q220),"")</f>
        <v/>
      </c>
    </row>
    <row r="221" spans="1:18" ht="22.5" customHeight="1" x14ac:dyDescent="0.3">
      <c r="A221" s="2"/>
      <c r="B221" s="2"/>
      <c r="C221" s="3"/>
      <c r="D221" s="3"/>
      <c r="E221" s="2"/>
      <c r="F221" s="2"/>
      <c r="G221" s="5"/>
      <c r="H221" s="5"/>
      <c r="I221" s="4"/>
      <c r="J221" s="6" t="str">
        <f t="shared" si="10"/>
        <v/>
      </c>
      <c r="K221" s="4" t="str">
        <f t="shared" ca="1" si="11"/>
        <v/>
      </c>
      <c r="L221" s="7" t="str">
        <f>IF($H221="","",$H221-'[2]Read Me'!$B$4)</f>
        <v/>
      </c>
      <c r="M221" s="4" t="str">
        <f>IF($I221="Complete","Green",IF($H221="","Amber",IF($H221&lt;'[2]Read Me'!$B$4,"Red",IF($H221-'[2]Read Me'!$B$4&lt;=21,"Amber","Green"))))</f>
        <v>Amber</v>
      </c>
      <c r="N221" s="3"/>
      <c r="O221" t="str">
        <f>IF($I221&lt;&gt;"Complete",IF(COUNTIFS($A$4:$A220,$A221,$B$4:$B220,$B221,$I$4:$I220,"&lt;&gt;Complete")=0,$A221&amp;"|"&amp;$B221,""),"")</f>
        <v>|</v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/>
      <c r="B222" s="2"/>
      <c r="C222" s="3"/>
      <c r="D222" s="3"/>
      <c r="E222" s="2"/>
      <c r="F222" s="2"/>
      <c r="G222" s="5"/>
      <c r="H222" s="5"/>
      <c r="I222" s="4"/>
      <c r="J222" s="6" t="str">
        <f t="shared" si="10"/>
        <v/>
      </c>
      <c r="K222" s="4" t="str">
        <f t="shared" ca="1" si="11"/>
        <v/>
      </c>
      <c r="L222" s="7" t="str">
        <f>IF($H222="","",$H222-'[2]Read Me'!$B$4)</f>
        <v/>
      </c>
      <c r="M222" s="4" t="str">
        <f>IF($I222="Complete","Green",IF($H222="","Amber",IF($H222&lt;'[2]Read Me'!$B$4,"Red",IF($H222-'[2]Read Me'!$B$4&lt;=21,"Amber","Green"))))</f>
        <v>Amber</v>
      </c>
      <c r="N222" s="3"/>
      <c r="O222" t="str">
        <f>IF($I222&lt;&gt;"Complete",IF(COUNTIFS($A$4:$A221,$A222,$B$4:$B221,$B222,$I$4:$I221,"&lt;&gt;Complete")=0,$A222&amp;"|"&amp;$B222,""),"")</f>
        <v>|</v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/>
      <c r="B223" s="2"/>
      <c r="C223" s="3"/>
      <c r="D223" s="3"/>
      <c r="E223" s="2"/>
      <c r="F223" s="2"/>
      <c r="G223" s="5"/>
      <c r="H223" s="5"/>
      <c r="I223" s="4"/>
      <c r="J223" s="6" t="str">
        <f t="shared" si="10"/>
        <v/>
      </c>
      <c r="K223" s="4" t="str">
        <f t="shared" ca="1" si="11"/>
        <v/>
      </c>
      <c r="L223" s="7" t="str">
        <f>IF($H223="","",$H223-'[2]Read Me'!$B$4)</f>
        <v/>
      </c>
      <c r="M223" s="4" t="str">
        <f>IF($I223="Complete","Green",IF($H223="","Amber",IF($H223&lt;'[2]Read Me'!$B$4,"Red",IF($H223-'[2]Read Me'!$B$4&lt;=21,"Amber","Green"))))</f>
        <v>Amber</v>
      </c>
      <c r="N223" s="3"/>
      <c r="O223" t="str">
        <f>IF($I223&lt;&gt;"Complete",IF(COUNTIFS($A$4:$A222,$A223,$B$4:$B222,$B223,$I$4:$I222,"&lt;&gt;Complete")=0,$A223&amp;"|"&amp;$B223,""),"")</f>
        <v>|</v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/>
      <c r="B224" s="2"/>
      <c r="C224" s="3"/>
      <c r="D224" s="3"/>
      <c r="E224" s="2"/>
      <c r="F224" s="2"/>
      <c r="G224" s="5"/>
      <c r="H224" s="5"/>
      <c r="I224" s="4"/>
      <c r="J224" s="6" t="str">
        <f t="shared" si="10"/>
        <v/>
      </c>
      <c r="K224" s="4" t="str">
        <f t="shared" ca="1" si="11"/>
        <v/>
      </c>
      <c r="L224" s="7" t="str">
        <f>IF($H224="","",$H224-'[2]Read Me'!$B$4)</f>
        <v/>
      </c>
      <c r="M224" s="4" t="str">
        <f>IF($I224="Complete","Green",IF($H224="","Amber",IF($H224&lt;'[2]Read Me'!$B$4,"Red",IF($H224-'[2]Read Me'!$B$4&lt;=21,"Amber","Green"))))</f>
        <v>Amber</v>
      </c>
      <c r="N224" s="3"/>
      <c r="O224" t="str">
        <f>IF($I224&lt;&gt;"Complete",IF(COUNTIFS($A$4:$A223,$A224,$B$4:$B223,$B224,$I$4:$I223,"&lt;&gt;Complete")=0,$A224&amp;"|"&amp;$B224,""),"")</f>
        <v>|</v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/>
      <c r="B225" s="2"/>
      <c r="C225" s="3"/>
      <c r="D225" s="3"/>
      <c r="E225" s="2"/>
      <c r="F225" s="2"/>
      <c r="G225" s="5"/>
      <c r="H225" s="5"/>
      <c r="I225" s="4"/>
      <c r="J225" s="6" t="str">
        <f t="shared" si="10"/>
        <v/>
      </c>
      <c r="K225" s="4" t="str">
        <f t="shared" ca="1" si="11"/>
        <v/>
      </c>
      <c r="L225" s="7" t="str">
        <f>IF($H225="","",$H225-'[2]Read Me'!$B$4)</f>
        <v/>
      </c>
      <c r="M225" s="4" t="str">
        <f>IF($I225="Complete","Green",IF($H225="","Amber",IF($H225&lt;'[2]Read Me'!$B$4,"Red",IF($H225-'[2]Read Me'!$B$4&lt;=21,"Amber","Green"))))</f>
        <v>Amber</v>
      </c>
      <c r="N225" s="3"/>
      <c r="O225" t="str">
        <f>IF($I225&lt;&gt;"Complete",IF(COUNTIFS($A$4:$A224,$A225,$B$4:$B224,$B225,$I$4:$I224,"&lt;&gt;Complete")=0,$A225&amp;"|"&amp;$B225,""),"")</f>
        <v>|</v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/>
      <c r="B226" s="2"/>
      <c r="C226" s="3"/>
      <c r="D226" s="3"/>
      <c r="E226" s="2"/>
      <c r="F226" s="2"/>
      <c r="G226" s="5"/>
      <c r="H226" s="5"/>
      <c r="I226" s="4"/>
      <c r="J226" s="6" t="str">
        <f t="shared" si="10"/>
        <v/>
      </c>
      <c r="K226" s="4" t="str">
        <f t="shared" ca="1" si="11"/>
        <v/>
      </c>
      <c r="L226" s="7" t="str">
        <f>IF($H226="","",$H226-'[2]Read Me'!$B$4)</f>
        <v/>
      </c>
      <c r="M226" s="4" t="str">
        <f>IF($I226="Complete","Green",IF($H226="","Amber",IF($H226&lt;'[2]Read Me'!$B$4,"Red",IF($H226-'[2]Read Me'!$B$4&lt;=21,"Amber","Green"))))</f>
        <v>Amber</v>
      </c>
      <c r="N226" s="3"/>
      <c r="O226" t="str">
        <f>IF($I226&lt;&gt;"Complete",IF(COUNTIFS($A$4:$A225,$A226,$B$4:$B225,$B226,$I$4:$I225,"&lt;&gt;Complete")=0,$A226&amp;"|"&amp;$B226,""),"")</f>
        <v>|</v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/>
      <c r="B227" s="2"/>
      <c r="C227" s="3"/>
      <c r="D227" s="3"/>
      <c r="E227" s="2"/>
      <c r="F227" s="2"/>
      <c r="G227" s="5"/>
      <c r="H227" s="5"/>
      <c r="I227" s="4"/>
      <c r="J227" s="6" t="str">
        <f t="shared" si="10"/>
        <v/>
      </c>
      <c r="K227" s="4" t="str">
        <f t="shared" ca="1" si="11"/>
        <v/>
      </c>
      <c r="L227" s="7" t="str">
        <f>IF($H227="","",$H227-'[2]Read Me'!$B$4)</f>
        <v/>
      </c>
      <c r="M227" s="4" t="str">
        <f>IF($I227="Complete","Green",IF($H227="","Amber",IF($H227&lt;'[2]Read Me'!$B$4,"Red",IF($H227-'[2]Read Me'!$B$4&lt;=21,"Amber","Green"))))</f>
        <v>Amber</v>
      </c>
      <c r="N227" s="3"/>
      <c r="O227" t="str">
        <f>IF($I227&lt;&gt;"Complete",IF(COUNTIFS($A$4:$A226,$A227,$B$4:$B226,$B227,$I$4:$I226,"&lt;&gt;Complete")=0,$A227&amp;"|"&amp;$B227,""),"")</f>
        <v>|</v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/>
      <c r="B228" s="2"/>
      <c r="C228" s="3"/>
      <c r="D228" s="3"/>
      <c r="E228" s="2"/>
      <c r="F228" s="2"/>
      <c r="G228" s="5"/>
      <c r="H228" s="5"/>
      <c r="I228" s="4"/>
      <c r="J228" s="6" t="str">
        <f t="shared" si="10"/>
        <v/>
      </c>
      <c r="K228" s="4" t="str">
        <f t="shared" ca="1" si="11"/>
        <v/>
      </c>
      <c r="L228" s="7" t="str">
        <f>IF($H228="","",$H228-'[2]Read Me'!$B$4)</f>
        <v/>
      </c>
      <c r="M228" s="4" t="str">
        <f>IF($I228="Complete","Green",IF($H228="","Amber",IF($H228&lt;'[2]Read Me'!$B$4,"Red",IF($H228-'[2]Read Me'!$B$4&lt;=21,"Amber","Green"))))</f>
        <v>Amber</v>
      </c>
      <c r="N228" s="3"/>
      <c r="O228" t="str">
        <f>IF($I228&lt;&gt;"Complete",IF(COUNTIFS($A$4:$A227,$A228,$B$4:$B227,$B228,$I$4:$I227,"&lt;&gt;Complete")=0,$A228&amp;"|"&amp;$B228,""),"")</f>
        <v>|</v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/>
      <c r="B229" s="2"/>
      <c r="C229" s="3"/>
      <c r="D229" s="3"/>
      <c r="E229" s="2"/>
      <c r="F229" s="2"/>
      <c r="G229" s="5"/>
      <c r="H229" s="5"/>
      <c r="I229" s="4"/>
      <c r="J229" s="6" t="str">
        <f t="shared" si="10"/>
        <v/>
      </c>
      <c r="K229" s="4" t="str">
        <f t="shared" ca="1" si="11"/>
        <v/>
      </c>
      <c r="L229" s="7" t="str">
        <f>IF($H229="","",$H229-'[2]Read Me'!$B$4)</f>
        <v/>
      </c>
      <c r="M229" s="4" t="str">
        <f>IF($I229="Complete","Green",IF($H229="","Amber",IF($H229&lt;'[2]Read Me'!$B$4,"Red",IF($H229-'[2]Read Me'!$B$4&lt;=21,"Amber","Green"))))</f>
        <v>Amber</v>
      </c>
      <c r="N229" s="3"/>
      <c r="O229" t="str">
        <f>IF($I229&lt;&gt;"Complete",IF(COUNTIFS($A$4:$A228,$A229,$B$4:$B228,$B229,$I$4:$I228,"&lt;&gt;Complete")=0,$A229&amp;"|"&amp;$B229,""),"")</f>
        <v>|</v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/>
      <c r="B230" s="2"/>
      <c r="C230" s="3"/>
      <c r="D230" s="3"/>
      <c r="E230" s="2"/>
      <c r="F230" s="2"/>
      <c r="G230" s="5"/>
      <c r="H230" s="5"/>
      <c r="I230" s="4"/>
      <c r="J230" s="6" t="str">
        <f t="shared" si="10"/>
        <v/>
      </c>
      <c r="K230" s="4" t="str">
        <f t="shared" ca="1" si="11"/>
        <v/>
      </c>
      <c r="L230" s="7" t="str">
        <f>IF($H230="","",$H230-'[2]Read Me'!$B$4)</f>
        <v/>
      </c>
      <c r="M230" s="4" t="str">
        <f>IF($I230="Complete","Green",IF($H230="","Amber",IF($H230&lt;'[2]Read Me'!$B$4,"Red",IF($H230-'[2]Read Me'!$B$4&lt;=21,"Amber","Green"))))</f>
        <v>Amber</v>
      </c>
      <c r="N230" s="3"/>
      <c r="O230" t="str">
        <f>IF($I230&lt;&gt;"Complete",IF(COUNTIFS($A$4:$A229,$A230,$B$4:$B229,$B230,$I$4:$I229,"&lt;&gt;Complete")=0,$A230&amp;"|"&amp;$B230,""),"")</f>
        <v>|</v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/>
      <c r="B231" s="2"/>
      <c r="C231" s="3"/>
      <c r="D231" s="3"/>
      <c r="E231" s="2"/>
      <c r="F231" s="2"/>
      <c r="G231" s="5"/>
      <c r="H231" s="5"/>
      <c r="I231" s="4"/>
      <c r="J231" s="6" t="str">
        <f t="shared" si="10"/>
        <v/>
      </c>
      <c r="K231" s="4" t="str">
        <f t="shared" ca="1" si="11"/>
        <v/>
      </c>
      <c r="L231" s="7" t="str">
        <f>IF($H231="","",$H231-'[2]Read Me'!$B$4)</f>
        <v/>
      </c>
      <c r="M231" s="4" t="str">
        <f>IF($I231="Complete","Green",IF($H231="","Amber",IF($H231&lt;'[2]Read Me'!$B$4,"Red",IF($H231-'[2]Read Me'!$B$4&lt;=21,"Amber","Green"))))</f>
        <v>Amber</v>
      </c>
      <c r="N231" s="3"/>
      <c r="O231" t="str">
        <f>IF($I231&lt;&gt;"Complete",IF(COUNTIFS($A$4:$A230,$A231,$B$4:$B230,$B231,$I$4:$I230,"&lt;&gt;Complete")=0,$A231&amp;"|"&amp;$B231,""),"")</f>
        <v>|</v>
      </c>
      <c r="P231" t="str">
        <f ca="1">IF($K231="Yes",COUNTIFS($K$4:$K231,"Yes"),"")</f>
        <v/>
      </c>
      <c r="Q231">
        <f t="shared" ca="1" si="12"/>
        <v>0</v>
      </c>
      <c r="R231" t="str">
        <f ca="1">IF($Q231=1,SUM($Q$4:$Q231),"")</f>
        <v/>
      </c>
    </row>
    <row r="232" spans="1:18" ht="22.5" customHeight="1" x14ac:dyDescent="0.3">
      <c r="A232" s="2"/>
      <c r="B232" s="2"/>
      <c r="C232" s="3"/>
      <c r="D232" s="3"/>
      <c r="E232" s="2"/>
      <c r="F232" s="2"/>
      <c r="G232" s="5"/>
      <c r="H232" s="5"/>
      <c r="I232" s="4"/>
      <c r="J232" s="6" t="str">
        <f t="shared" si="10"/>
        <v/>
      </c>
      <c r="K232" s="4" t="str">
        <f t="shared" ca="1" si="11"/>
        <v/>
      </c>
      <c r="L232" s="7" t="str">
        <f>IF($H232="","",$H232-'[2]Read Me'!$B$4)</f>
        <v/>
      </c>
      <c r="M232" s="4" t="str">
        <f>IF($I232="Complete","Green",IF($H232="","Amber",IF($H232&lt;'[2]Read Me'!$B$4,"Red",IF($H232-'[2]Read Me'!$B$4&lt;=21,"Amber","Green"))))</f>
        <v>Amber</v>
      </c>
      <c r="N232" s="3"/>
      <c r="O232" t="str">
        <f>IF($I232&lt;&gt;"Complete",IF(COUNTIFS($A$4:$A231,$A232,$B$4:$B231,$B232,$I$4:$I231,"&lt;&gt;Complete")=0,$A232&amp;"|"&amp;$B232,""),"")</f>
        <v>|</v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/>
      <c r="B233" s="2"/>
      <c r="C233" s="3"/>
      <c r="D233" s="3"/>
      <c r="E233" s="2"/>
      <c r="F233" s="2"/>
      <c r="G233" s="5"/>
      <c r="H233" s="5"/>
      <c r="I233" s="4"/>
      <c r="J233" s="6" t="str">
        <f t="shared" si="10"/>
        <v/>
      </c>
      <c r="K233" s="4" t="str">
        <f t="shared" ca="1" si="11"/>
        <v/>
      </c>
      <c r="L233" s="7" t="str">
        <f>IF($H233="","",$H233-'[2]Read Me'!$B$4)</f>
        <v/>
      </c>
      <c r="M233" s="4" t="str">
        <f>IF($I233="Complete","Green",IF($H233="","Amber",IF($H233&lt;'[2]Read Me'!$B$4,"Red",IF($H233-'[2]Read Me'!$B$4&lt;=21,"Amber","Green"))))</f>
        <v>Amber</v>
      </c>
      <c r="N233" s="3"/>
      <c r="O233" t="str">
        <f>IF($I233&lt;&gt;"Complete",IF(COUNTIFS($A$4:$A232,$A233,$B$4:$B232,$B233,$I$4:$I232,"&lt;&gt;Complete")=0,$A233&amp;"|"&amp;$B233,""),"")</f>
        <v>|</v>
      </c>
      <c r="P233" t="str">
        <f ca="1">IF($K233="Yes",COUNTIFS($K$4:$K233,"Yes"),"")</f>
        <v/>
      </c>
      <c r="Q233">
        <f t="shared" ca="1" si="12"/>
        <v>0</v>
      </c>
      <c r="R233" t="str">
        <f ca="1">IF($Q233=1,SUM($Q$4:$Q233),"")</f>
        <v/>
      </c>
    </row>
    <row r="234" spans="1:18" ht="22.5" customHeight="1" x14ac:dyDescent="0.3">
      <c r="A234" s="2"/>
      <c r="B234" s="2"/>
      <c r="C234" s="3"/>
      <c r="D234" s="3"/>
      <c r="E234" s="2"/>
      <c r="F234" s="2"/>
      <c r="G234" s="5"/>
      <c r="H234" s="5"/>
      <c r="I234" s="4"/>
      <c r="J234" s="6" t="str">
        <f t="shared" si="10"/>
        <v/>
      </c>
      <c r="K234" s="4" t="str">
        <f t="shared" ca="1" si="11"/>
        <v/>
      </c>
      <c r="L234" s="7" t="str">
        <f>IF($H234="","",$H234-'[2]Read Me'!$B$4)</f>
        <v/>
      </c>
      <c r="M234" s="4" t="str">
        <f>IF($I234="Complete","Green",IF($H234="","Amber",IF($H234&lt;'[2]Read Me'!$B$4,"Red",IF($H234-'[2]Read Me'!$B$4&lt;=21,"Amber","Green"))))</f>
        <v>Amber</v>
      </c>
      <c r="N234" s="3"/>
      <c r="O234" t="str">
        <f>IF($I234&lt;&gt;"Complete",IF(COUNTIFS($A$4:$A233,$A234,$B$4:$B233,$B234,$I$4:$I233,"&lt;&gt;Complete")=0,$A234&amp;"|"&amp;$B234,""),"")</f>
        <v>|</v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/>
      <c r="B235" s="2"/>
      <c r="C235" s="3"/>
      <c r="D235" s="3"/>
      <c r="E235" s="2"/>
      <c r="F235" s="2"/>
      <c r="G235" s="5"/>
      <c r="H235" s="5"/>
      <c r="I235" s="4"/>
      <c r="J235" s="6" t="str">
        <f t="shared" si="10"/>
        <v/>
      </c>
      <c r="K235" s="4" t="str">
        <f t="shared" ca="1" si="11"/>
        <v/>
      </c>
      <c r="L235" s="7" t="str">
        <f>IF($H235="","",$H235-'[2]Read Me'!$B$4)</f>
        <v/>
      </c>
      <c r="M235" s="4" t="str">
        <f>IF($I235="Complete","Green",IF($H235="","Amber",IF($H235&lt;'[2]Read Me'!$B$4,"Red",IF($H235-'[2]Read Me'!$B$4&lt;=21,"Amber","Green"))))</f>
        <v>Amber</v>
      </c>
      <c r="N235" s="3"/>
      <c r="O235" t="str">
        <f>IF($I235&lt;&gt;"Complete",IF(COUNTIFS($A$4:$A234,$A235,$B$4:$B234,$B235,$I$4:$I234,"&lt;&gt;Complete")=0,$A235&amp;"|"&amp;$B235,""),"")</f>
        <v>|</v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/>
      <c r="B236" s="2"/>
      <c r="C236" s="3"/>
      <c r="D236" s="3"/>
      <c r="E236" s="2"/>
      <c r="F236" s="2"/>
      <c r="G236" s="5"/>
      <c r="H236" s="5"/>
      <c r="I236" s="4"/>
      <c r="J236" s="6" t="str">
        <f t="shared" si="10"/>
        <v/>
      </c>
      <c r="K236" s="4" t="str">
        <f t="shared" ca="1" si="11"/>
        <v/>
      </c>
      <c r="L236" s="7" t="str">
        <f>IF($H236="","",$H236-'[2]Read Me'!$B$4)</f>
        <v/>
      </c>
      <c r="M236" s="4" t="str">
        <f>IF($I236="Complete","Green",IF($H236="","Amber",IF($H236&lt;'[2]Read Me'!$B$4,"Red",IF($H236-'[2]Read Me'!$B$4&lt;=21,"Amber","Green"))))</f>
        <v>Amber</v>
      </c>
      <c r="N236" s="3"/>
      <c r="O236" t="str">
        <f>IF($I236&lt;&gt;"Complete",IF(COUNTIFS($A$4:$A235,$A236,$B$4:$B235,$B236,$I$4:$I235,"&lt;&gt;Complete")=0,$A236&amp;"|"&amp;$B236,""),"")</f>
        <v>|</v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/>
      <c r="B237" s="2"/>
      <c r="C237" s="3"/>
      <c r="D237" s="3"/>
      <c r="E237" s="2"/>
      <c r="F237" s="2"/>
      <c r="G237" s="5"/>
      <c r="H237" s="5"/>
      <c r="I237" s="4"/>
      <c r="J237" s="6" t="str">
        <f t="shared" si="10"/>
        <v/>
      </c>
      <c r="K237" s="4" t="str">
        <f t="shared" ca="1" si="11"/>
        <v/>
      </c>
      <c r="L237" s="7" t="str">
        <f>IF($H237="","",$H237-'[2]Read Me'!$B$4)</f>
        <v/>
      </c>
      <c r="M237" s="4" t="str">
        <f>IF($I237="Complete","Green",IF($H237="","Amber",IF($H237&lt;'[2]Read Me'!$B$4,"Red",IF($H237-'[2]Read Me'!$B$4&lt;=21,"Amber","Green"))))</f>
        <v>Amber</v>
      </c>
      <c r="N237" s="3"/>
      <c r="O237" t="str">
        <f>IF($I237&lt;&gt;"Complete",IF(COUNTIFS($A$4:$A236,$A237,$B$4:$B236,$B237,$I$4:$I236,"&lt;&gt;Complete")=0,$A237&amp;"|"&amp;$B237,""),"")</f>
        <v>|</v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/>
      <c r="B238" s="2"/>
      <c r="C238" s="3"/>
      <c r="D238" s="3"/>
      <c r="E238" s="2"/>
      <c r="F238" s="2"/>
      <c r="G238" s="5"/>
      <c r="H238" s="5"/>
      <c r="I238" s="4"/>
      <c r="J238" s="6" t="str">
        <f t="shared" si="10"/>
        <v/>
      </c>
      <c r="K238" s="4" t="str">
        <f t="shared" ca="1" si="11"/>
        <v/>
      </c>
      <c r="L238" s="7" t="str">
        <f>IF($H238="","",$H238-'[2]Read Me'!$B$4)</f>
        <v/>
      </c>
      <c r="M238" s="4" t="str">
        <f>IF($I238="Complete","Green",IF($H238="","Amber",IF($H238&lt;'[2]Read Me'!$B$4,"Red",IF($H238-'[2]Read Me'!$B$4&lt;=21,"Amber","Green"))))</f>
        <v>Amber</v>
      </c>
      <c r="N238" s="3"/>
      <c r="O238" t="str">
        <f>IF($I238&lt;&gt;"Complete",IF(COUNTIFS($A$4:$A237,$A238,$B$4:$B237,$B238,$I$4:$I237,"&lt;&gt;Complete")=0,$A238&amp;"|"&amp;$B238,""),"")</f>
        <v>|</v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/>
      <c r="B239" s="2"/>
      <c r="C239" s="3"/>
      <c r="D239" s="3"/>
      <c r="E239" s="2"/>
      <c r="F239" s="2"/>
      <c r="G239" s="5"/>
      <c r="H239" s="5"/>
      <c r="I239" s="4"/>
      <c r="J239" s="6" t="str">
        <f t="shared" si="10"/>
        <v/>
      </c>
      <c r="K239" s="4" t="str">
        <f t="shared" ca="1" si="11"/>
        <v/>
      </c>
      <c r="L239" s="7" t="str">
        <f>IF($H239="","",$H239-'[2]Read Me'!$B$4)</f>
        <v/>
      </c>
      <c r="M239" s="4" t="str">
        <f>IF($I239="Complete","Green",IF($H239="","Amber",IF($H239&lt;'[2]Read Me'!$B$4,"Red",IF($H239-'[2]Read Me'!$B$4&lt;=21,"Amber","Green"))))</f>
        <v>Amber</v>
      </c>
      <c r="N239" s="3"/>
      <c r="O239" t="str">
        <f>IF($I239&lt;&gt;"Complete",IF(COUNTIFS($A$4:$A238,$A239,$B$4:$B238,$B239,$I$4:$I238,"&lt;&gt;Complete")=0,$A239&amp;"|"&amp;$B239,""),"")</f>
        <v>|</v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/>
      <c r="B240" s="2"/>
      <c r="C240" s="3"/>
      <c r="D240" s="3"/>
      <c r="E240" s="2"/>
      <c r="F240" s="2"/>
      <c r="G240" s="5"/>
      <c r="H240" s="5"/>
      <c r="I240" s="4"/>
      <c r="J240" s="6" t="str">
        <f t="shared" si="10"/>
        <v/>
      </c>
      <c r="K240" s="4" t="str">
        <f t="shared" ca="1" si="11"/>
        <v/>
      </c>
      <c r="L240" s="7" t="str">
        <f>IF($H240="","",$H240-'[2]Read Me'!$B$4)</f>
        <v/>
      </c>
      <c r="M240" s="4" t="str">
        <f>IF($I240="Complete","Green",IF($H240="","Amber",IF($H240&lt;'[2]Read Me'!$B$4,"Red",IF($H240-'[2]Read Me'!$B$4&lt;=21,"Amber","Green"))))</f>
        <v>Amber</v>
      </c>
      <c r="N240" s="3"/>
      <c r="O240" t="str">
        <f>IF($I240&lt;&gt;"Complete",IF(COUNTIFS($A$4:$A239,$A240,$B$4:$B239,$B240,$I$4:$I239,"&lt;&gt;Complete")=0,$A240&amp;"|"&amp;$B240,""),"")</f>
        <v>|</v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/>
      <c r="B241" s="2"/>
      <c r="C241" s="3"/>
      <c r="D241" s="3"/>
      <c r="E241" s="2"/>
      <c r="F241" s="2"/>
      <c r="G241" s="5"/>
      <c r="H241" s="5"/>
      <c r="I241" s="4"/>
      <c r="J241" s="6" t="str">
        <f t="shared" si="10"/>
        <v/>
      </c>
      <c r="K241" s="4" t="str">
        <f t="shared" ca="1" si="11"/>
        <v/>
      </c>
      <c r="L241" s="7" t="str">
        <f>IF($H241="","",$H241-'[2]Read Me'!$B$4)</f>
        <v/>
      </c>
      <c r="M241" s="4" t="str">
        <f>IF($I241="Complete","Green",IF($H241="","Amber",IF($H241&lt;'[2]Read Me'!$B$4,"Red",IF($H241-'[2]Read Me'!$B$4&lt;=21,"Amber","Green"))))</f>
        <v>Amber</v>
      </c>
      <c r="N241" s="3"/>
      <c r="O241" t="str">
        <f>IF($I241&lt;&gt;"Complete",IF(COUNTIFS($A$4:$A240,$A241,$B$4:$B240,$B241,$I$4:$I240,"&lt;&gt;Complete")=0,$A241&amp;"|"&amp;$B241,""),"")</f>
        <v>|</v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/>
      <c r="B242" s="2"/>
      <c r="C242" s="3"/>
      <c r="D242" s="3"/>
      <c r="E242" s="2"/>
      <c r="F242" s="2"/>
      <c r="G242" s="5"/>
      <c r="H242" s="5"/>
      <c r="I242" s="4"/>
      <c r="J242" s="6" t="str">
        <f t="shared" si="10"/>
        <v/>
      </c>
      <c r="K242" s="4" t="str">
        <f t="shared" ca="1" si="11"/>
        <v/>
      </c>
      <c r="L242" s="7" t="str">
        <f>IF($H242="","",$H242-'[2]Read Me'!$B$4)</f>
        <v/>
      </c>
      <c r="M242" s="4" t="str">
        <f>IF($I242="Complete","Green",IF($H242="","Amber",IF($H242&lt;'[2]Read Me'!$B$4,"Red",IF($H242-'[2]Read Me'!$B$4&lt;=21,"Amber","Green"))))</f>
        <v>Amber</v>
      </c>
      <c r="N242" s="3"/>
      <c r="O242" t="str">
        <f>IF($I242&lt;&gt;"Complete",IF(COUNTIFS($A$4:$A241,$A242,$B$4:$B241,$B242,$I$4:$I241,"&lt;&gt;Complete")=0,$A242&amp;"|"&amp;$B242,""),"")</f>
        <v>|</v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/>
      <c r="B243" s="2"/>
      <c r="C243" s="3"/>
      <c r="D243" s="3"/>
      <c r="E243" s="2"/>
      <c r="F243" s="2"/>
      <c r="G243" s="5"/>
      <c r="H243" s="5"/>
      <c r="I243" s="4"/>
      <c r="J243" s="6" t="str">
        <f t="shared" si="10"/>
        <v/>
      </c>
      <c r="K243" s="4" t="str">
        <f t="shared" ca="1" si="11"/>
        <v/>
      </c>
      <c r="L243" s="7" t="str">
        <f>IF($H243="","",$H243-'[2]Read Me'!$B$4)</f>
        <v/>
      </c>
      <c r="M243" s="4" t="str">
        <f>IF($I243="Complete","Green",IF($H243="","Amber",IF($H243&lt;'[2]Read Me'!$B$4,"Red",IF($H243-'[2]Read Me'!$B$4&lt;=21,"Amber","Green"))))</f>
        <v>Amber</v>
      </c>
      <c r="N243" s="3"/>
      <c r="O243" t="str">
        <f>IF($I243&lt;&gt;"Complete",IF(COUNTIFS($A$4:$A242,$A243,$B$4:$B242,$B243,$I$4:$I242,"&lt;&gt;Complete")=0,$A243&amp;"|"&amp;$B243,""),"")</f>
        <v>|</v>
      </c>
      <c r="P243" t="str">
        <f ca="1">IF($K243="Yes",COUNTIFS($K$4:$K243,"Yes"),"")</f>
        <v/>
      </c>
      <c r="Q243">
        <f t="shared" ca="1" si="12"/>
        <v>0</v>
      </c>
      <c r="R243" t="str">
        <f ca="1">IF($Q243=1,SUM($Q$4:$Q243),"")</f>
        <v/>
      </c>
    </row>
    <row r="244" spans="1:18" ht="22.5" customHeight="1" x14ac:dyDescent="0.3">
      <c r="A244" s="2"/>
      <c r="B244" s="2"/>
      <c r="C244" s="3"/>
      <c r="D244" s="3"/>
      <c r="E244" s="2"/>
      <c r="F244" s="2"/>
      <c r="G244" s="5"/>
      <c r="H244" s="5"/>
      <c r="I244" s="4"/>
      <c r="J244" s="6" t="str">
        <f t="shared" si="10"/>
        <v/>
      </c>
      <c r="K244" s="4" t="str">
        <f t="shared" ref="K244:K264" ca="1" si="13">IF($H244="","",IF($H244&gt;TODAY(),"No","Yes"))</f>
        <v/>
      </c>
      <c r="L244" s="7" t="str">
        <f>IF($H244="","",$H244-'[2]Read Me'!$B$4)</f>
        <v/>
      </c>
      <c r="M244" s="4" t="str">
        <f>IF($I244="Complete","Green",IF($H244="","Amber",IF($H244&lt;'[2]Read Me'!$B$4,"Red",IF($H244-'[2]Read Me'!$B$4&lt;=21,"Amber","Green"))))</f>
        <v>Amber</v>
      </c>
      <c r="N244" s="3"/>
      <c r="O244" t="str">
        <f>IF($I244&lt;&gt;"Complete",IF(COUNTIFS($A$4:$A243,$A244,$B$4:$B243,$B244,$I$4:$I243,"&lt;&gt;Complete")=0,$A244&amp;"|"&amp;$B244,""),"")</f>
        <v>|</v>
      </c>
      <c r="P244" t="str">
        <f ca="1">IF($K244="Yes",COUNTIFS($K$4:$K244,"Yes"),"")</f>
        <v/>
      </c>
      <c r="Q244">
        <f t="shared" ca="1" si="12"/>
        <v>0</v>
      </c>
      <c r="R244" t="str">
        <f ca="1">IF($Q244=1,SUM($Q$4:$Q244),"")</f>
        <v/>
      </c>
    </row>
    <row r="245" spans="1:18" ht="22.5" customHeight="1" x14ac:dyDescent="0.3">
      <c r="A245" s="2"/>
      <c r="B245" s="2"/>
      <c r="C245" s="3"/>
      <c r="D245" s="3"/>
      <c r="E245" s="2"/>
      <c r="F245" s="2"/>
      <c r="G245" s="5"/>
      <c r="H245" s="5"/>
      <c r="I245" s="4"/>
      <c r="J245" s="6" t="str">
        <f t="shared" si="10"/>
        <v/>
      </c>
      <c r="K245" s="4" t="str">
        <f t="shared" ca="1" si="13"/>
        <v/>
      </c>
      <c r="L245" s="7" t="str">
        <f>IF($H245="","",$H245-'[2]Read Me'!$B$4)</f>
        <v/>
      </c>
      <c r="M245" s="4" t="str">
        <f>IF($I245="Complete","Green",IF($H245="","Amber",IF($H245&lt;'[2]Read Me'!$B$4,"Red",IF($H245-'[2]Read Me'!$B$4&lt;=21,"Amber","Green"))))</f>
        <v>Amber</v>
      </c>
      <c r="N245" s="3"/>
      <c r="O245" t="str">
        <f>IF($I245&lt;&gt;"Complete",IF(COUNTIFS($A$4:$A244,$A245,$B$4:$B244,$B245,$I$4:$I244,"&lt;&gt;Complete")=0,$A245&amp;"|"&amp;$B245,""),"")</f>
        <v>|</v>
      </c>
      <c r="P245" t="str">
        <f ca="1">IF($K245="Yes",COUNTIFS($K$4:$K245,"Yes"),"")</f>
        <v/>
      </c>
      <c r="Q245">
        <f t="shared" ca="1" si="12"/>
        <v>0</v>
      </c>
      <c r="R245" t="str">
        <f ca="1">IF($Q245=1,SUM($Q$4:$Q245),"")</f>
        <v/>
      </c>
    </row>
    <row r="246" spans="1:18" ht="22.5" customHeight="1" x14ac:dyDescent="0.3">
      <c r="A246" s="2"/>
      <c r="B246" s="2"/>
      <c r="C246" s="3"/>
      <c r="D246" s="3"/>
      <c r="E246" s="2"/>
      <c r="F246" s="2"/>
      <c r="G246" s="5"/>
      <c r="H246" s="5"/>
      <c r="I246" s="4"/>
      <c r="J246" s="6" t="str">
        <f t="shared" si="10"/>
        <v/>
      </c>
      <c r="K246" s="4" t="str">
        <f t="shared" ca="1" si="13"/>
        <v/>
      </c>
      <c r="L246" s="7" t="str">
        <f>IF($H246="","",$H246-'[2]Read Me'!$B$4)</f>
        <v/>
      </c>
      <c r="M246" s="4" t="str">
        <f>IF($I246="Complete","Green",IF($H246="","Amber",IF($H246&lt;'[2]Read Me'!$B$4,"Red",IF($H246-'[2]Read Me'!$B$4&lt;=21,"Amber","Green"))))</f>
        <v>Amber</v>
      </c>
      <c r="N246" s="3"/>
      <c r="O246" t="str">
        <f>IF($I246&lt;&gt;"Complete",IF(COUNTIFS($A$4:$A245,$A246,$B$4:$B245,$B246,$I$4:$I245,"&lt;&gt;Complete")=0,$A246&amp;"|"&amp;$B246,""),"")</f>
        <v>|</v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/>
      <c r="B247" s="2"/>
      <c r="C247" s="3"/>
      <c r="D247" s="3"/>
      <c r="E247" s="2"/>
      <c r="F247" s="2"/>
      <c r="G247" s="5"/>
      <c r="H247" s="5"/>
      <c r="I247" s="4"/>
      <c r="J247" s="6" t="str">
        <f t="shared" si="10"/>
        <v/>
      </c>
      <c r="K247" s="4" t="str">
        <f t="shared" ca="1" si="13"/>
        <v/>
      </c>
      <c r="L247" s="7" t="str">
        <f>IF($H247="","",$H247-'[2]Read Me'!$B$4)</f>
        <v/>
      </c>
      <c r="M247" s="4" t="str">
        <f>IF($I247="Complete","Green",IF($H247="","Amber",IF($H247&lt;'[2]Read Me'!$B$4,"Red",IF($H247-'[2]Read Me'!$B$4&lt;=21,"Amber","Green"))))</f>
        <v>Amber</v>
      </c>
      <c r="N247" s="3"/>
      <c r="O247" t="str">
        <f>IF($I247&lt;&gt;"Complete",IF(COUNTIFS($A$4:$A246,$A247,$B$4:$B246,$B247,$I$4:$I246,"&lt;&gt;Complete")=0,$A247&amp;"|"&amp;$B247,""),"")</f>
        <v>|</v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/>
      <c r="B248" s="2"/>
      <c r="C248" s="3"/>
      <c r="D248" s="3"/>
      <c r="E248" s="2"/>
      <c r="F248" s="2"/>
      <c r="G248" s="5"/>
      <c r="H248" s="5"/>
      <c r="I248" s="4"/>
      <c r="J248" s="6" t="str">
        <f t="shared" si="10"/>
        <v/>
      </c>
      <c r="K248" s="4" t="str">
        <f t="shared" ca="1" si="13"/>
        <v/>
      </c>
      <c r="L248" s="7" t="str">
        <f>IF($H248="","",$H248-'[2]Read Me'!$B$4)</f>
        <v/>
      </c>
      <c r="M248" s="4" t="str">
        <f>IF($I248="Complete","Green",IF($H248="","Amber",IF($H248&lt;'[2]Read Me'!$B$4,"Red",IF($H248-'[2]Read Me'!$B$4&lt;=21,"Amber","Green"))))</f>
        <v>Amber</v>
      </c>
      <c r="N248" s="3"/>
      <c r="O248" t="str">
        <f>IF($I248&lt;&gt;"Complete",IF(COUNTIFS($A$4:$A247,$A248,$B$4:$B247,$B248,$I$4:$I247,"&lt;&gt;Complete")=0,$A248&amp;"|"&amp;$B248,""),"")</f>
        <v>|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/>
      <c r="B249" s="2"/>
      <c r="C249" s="3"/>
      <c r="D249" s="3"/>
      <c r="E249" s="2"/>
      <c r="F249" s="2"/>
      <c r="G249" s="5"/>
      <c r="H249" s="5"/>
      <c r="I249" s="4"/>
      <c r="J249" s="6" t="str">
        <f t="shared" si="10"/>
        <v/>
      </c>
      <c r="K249" s="4" t="str">
        <f t="shared" ca="1" si="13"/>
        <v/>
      </c>
      <c r="L249" s="7" t="str">
        <f>IF($H249="","",$H249-'[2]Read Me'!$B$4)</f>
        <v/>
      </c>
      <c r="M249" s="4" t="str">
        <f>IF($I249="Complete","Green",IF($H249="","Amber",IF($H249&lt;'[2]Read Me'!$B$4,"Red",IF($H249-'[2]Read Me'!$B$4&lt;=21,"Amber","Green"))))</f>
        <v>Amber</v>
      </c>
      <c r="N249" s="3"/>
      <c r="O249" t="str">
        <f>IF($I249&lt;&gt;"Complete",IF(COUNTIFS($A$4:$A248,$A249,$B$4:$B248,$B249,$I$4:$I248,"&lt;&gt;Complete")=0,$A249&amp;"|"&amp;$B249,""),"")</f>
        <v>|</v>
      </c>
      <c r="P249" t="str">
        <f ca="1">IF($K249="Yes",COUNTIFS($K$4:$K249,"Yes"),"")</f>
        <v/>
      </c>
      <c r="Q249">
        <f t="shared" ca="1" si="12"/>
        <v>0</v>
      </c>
      <c r="R249" t="str">
        <f ca="1">IF($Q249=1,SUM($Q$4:$Q249),"")</f>
        <v/>
      </c>
    </row>
    <row r="250" spans="1:18" ht="22.5" customHeight="1" x14ac:dyDescent="0.3">
      <c r="A250" s="2"/>
      <c r="B250" s="2"/>
      <c r="C250" s="3"/>
      <c r="D250" s="3"/>
      <c r="E250" s="2"/>
      <c r="F250" s="2"/>
      <c r="G250" s="5"/>
      <c r="H250" s="5"/>
      <c r="I250" s="4"/>
      <c r="J250" s="6" t="str">
        <f t="shared" si="10"/>
        <v/>
      </c>
      <c r="K250" s="4" t="str">
        <f t="shared" ca="1" si="13"/>
        <v/>
      </c>
      <c r="L250" s="7" t="str">
        <f>IF($H250="","",$H250-'[2]Read Me'!$B$4)</f>
        <v/>
      </c>
      <c r="M250" s="4" t="str">
        <f>IF($I250="Complete","Green",IF($H250="","Amber",IF($H250&lt;'[2]Read Me'!$B$4,"Red",IF($H250-'[2]Read Me'!$B$4&lt;=21,"Amber","Green"))))</f>
        <v>Amber</v>
      </c>
      <c r="N250" s="8"/>
      <c r="O250" t="str">
        <f>IF($I250&lt;&gt;"Complete",IF(COUNTIFS($A$4:$A249,$A250,$B$4:$B249,$B250,$I$4:$I249,"&lt;&gt;Complete")=0,$A250&amp;"|"&amp;$B250,""),"")</f>
        <v>|</v>
      </c>
      <c r="P250" t="str">
        <f ca="1">IF($K250="Yes",COUNTIFS($K$4:$K250,"Yes"),"")</f>
        <v/>
      </c>
      <c r="Q250">
        <f t="shared" ca="1" si="12"/>
        <v>0</v>
      </c>
      <c r="R250" t="str">
        <f ca="1">IF($Q250=1,SUM($Q$4:$Q250),"")</f>
        <v/>
      </c>
    </row>
    <row r="251" spans="1:18" ht="22.5" customHeight="1" x14ac:dyDescent="0.3">
      <c r="A251" s="2"/>
      <c r="B251" s="2"/>
      <c r="C251" s="3"/>
      <c r="D251" s="3"/>
      <c r="E251" s="2"/>
      <c r="F251" s="2"/>
      <c r="G251" s="5"/>
      <c r="H251" s="5"/>
      <c r="I251" s="4"/>
      <c r="J251" s="6" t="str">
        <f t="shared" si="10"/>
        <v/>
      </c>
      <c r="K251" s="4" t="str">
        <f t="shared" ca="1" si="13"/>
        <v/>
      </c>
      <c r="L251" s="7" t="str">
        <f>IF($H251="","",$H251-'[2]Read Me'!$B$4)</f>
        <v/>
      </c>
      <c r="M251" s="4" t="str">
        <f>IF($I251="Complete","Green",IF($H251="","Amber",IF($H251&lt;'[2]Read Me'!$B$4,"Red",IF($H251-'[2]Read Me'!$B$4&lt;=21,"Amber","Green"))))</f>
        <v>Amber</v>
      </c>
      <c r="N251" s="3"/>
      <c r="O251" t="str">
        <f>IF($I251&lt;&gt;"Complete",IF(COUNTIFS($A$4:$A250,$A251,$B$4:$B250,$B251,$I$4:$I250,"&lt;&gt;Complete")=0,$A251&amp;"|"&amp;$B251,""),"")</f>
        <v>|</v>
      </c>
      <c r="P251" t="str">
        <f ca="1">IF($K251="Yes",COUNTIFS($K$4:$K251,"Yes"),"")</f>
        <v/>
      </c>
      <c r="Q251">
        <f t="shared" ca="1" si="12"/>
        <v>0</v>
      </c>
      <c r="R251" t="str">
        <f ca="1">IF($Q251=1,SUM($Q$4:$Q251),"")</f>
        <v/>
      </c>
    </row>
    <row r="252" spans="1:18" ht="22.5" customHeight="1" x14ac:dyDescent="0.3">
      <c r="A252" s="2"/>
      <c r="B252" s="2"/>
      <c r="C252" s="3"/>
      <c r="D252" s="3"/>
      <c r="E252" s="2"/>
      <c r="F252" s="2"/>
      <c r="G252" s="5"/>
      <c r="H252" s="5"/>
      <c r="I252" s="4"/>
      <c r="J252" s="6" t="str">
        <f t="shared" si="10"/>
        <v/>
      </c>
      <c r="K252" s="4" t="str">
        <f t="shared" ca="1" si="13"/>
        <v/>
      </c>
      <c r="L252" s="7" t="str">
        <f>IF($H252="","",$H252-'[2]Read Me'!$B$4)</f>
        <v/>
      </c>
      <c r="M252" s="4" t="str">
        <f>IF($I252="Complete","Green",IF($H252="","Amber",IF($H252&lt;'[2]Read Me'!$B$4,"Red",IF($H252-'[2]Read Me'!$B$4&lt;=21,"Amber","Green"))))</f>
        <v>Amber</v>
      </c>
      <c r="N252" s="3"/>
      <c r="O252" t="str">
        <f>IF($I252&lt;&gt;"Complete",IF(COUNTIFS($A$4:$A251,$A252,$B$4:$B251,$B252,$I$4:$I251,"&lt;&gt;Complete")=0,$A252&amp;"|"&amp;$B252,""),"")</f>
        <v>|</v>
      </c>
      <c r="P252" t="str">
        <f ca="1">IF($K252="Yes",COUNTIFS($K$4:$K252,"Yes"),"")</f>
        <v/>
      </c>
      <c r="Q252">
        <f t="shared" ca="1" si="12"/>
        <v>0</v>
      </c>
      <c r="R252" t="str">
        <f ca="1">IF($Q252=1,SUM($Q$4:$Q252),"")</f>
        <v/>
      </c>
    </row>
    <row r="253" spans="1:18" ht="22.5" customHeight="1" x14ac:dyDescent="0.3">
      <c r="A253" s="2"/>
      <c r="B253" s="2"/>
      <c r="C253" s="3"/>
      <c r="D253" s="3"/>
      <c r="E253" s="2"/>
      <c r="F253" s="2"/>
      <c r="G253" s="5"/>
      <c r="H253" s="5"/>
      <c r="I253" s="4"/>
      <c r="J253" s="6" t="str">
        <f t="shared" si="10"/>
        <v/>
      </c>
      <c r="K253" s="4" t="str">
        <f t="shared" ca="1" si="13"/>
        <v/>
      </c>
      <c r="L253" s="7" t="str">
        <f>IF($H253="","",$H253-'[2]Read Me'!$B$4)</f>
        <v/>
      </c>
      <c r="M253" s="4" t="str">
        <f>IF($I253="Complete","Green",IF($H253="","Amber",IF($H253&lt;'[2]Read Me'!$B$4,"Red",IF($H253-'[2]Read Me'!$B$4&lt;=21,"Amber","Green"))))</f>
        <v>Amber</v>
      </c>
      <c r="N253" s="3"/>
      <c r="O253" t="str">
        <f>IF($I253&lt;&gt;"Complete",IF(COUNTIFS($A$4:$A252,$A253,$B$4:$B252,$B253,$I$4:$I252,"&lt;&gt;Complete")=0,$A253&amp;"|"&amp;$B253,""),"")</f>
        <v>|</v>
      </c>
      <c r="P253" t="str">
        <f ca="1">IF($K253="Yes",COUNTIFS($K$4:$K253,"Yes"),"")</f>
        <v/>
      </c>
      <c r="Q253">
        <f t="shared" ca="1" si="12"/>
        <v>0</v>
      </c>
      <c r="R253" t="str">
        <f ca="1">IF($Q253=1,SUM($Q$4:$Q253),"")</f>
        <v/>
      </c>
    </row>
    <row r="254" spans="1:18" ht="22.5" customHeight="1" x14ac:dyDescent="0.3">
      <c r="A254" s="2"/>
      <c r="B254" s="2"/>
      <c r="C254" s="3"/>
      <c r="D254" s="3"/>
      <c r="E254" s="2"/>
      <c r="F254" s="2"/>
      <c r="G254" s="5"/>
      <c r="H254" s="5"/>
      <c r="I254" s="4"/>
      <c r="J254" s="6" t="str">
        <f t="shared" si="10"/>
        <v/>
      </c>
      <c r="K254" s="4" t="str">
        <f t="shared" ca="1" si="13"/>
        <v/>
      </c>
      <c r="L254" s="7" t="str">
        <f>IF($H254="","",$H254-'[2]Read Me'!$B$4)</f>
        <v/>
      </c>
      <c r="M254" s="4" t="str">
        <f>IF($I254="Complete","Green",IF($H254="","Amber",IF($H254&lt;'[2]Read Me'!$B$4,"Red",IF($H254-'[2]Read Me'!$B$4&lt;=21,"Amber","Green"))))</f>
        <v>Amber</v>
      </c>
      <c r="N254" s="3"/>
      <c r="O254" t="str">
        <f>IF($I254&lt;&gt;"Complete",IF(COUNTIFS($A$4:$A253,$A254,$B$4:$B253,$B254,$I$4:$I253,"&lt;&gt;Complete")=0,$A254&amp;"|"&amp;$B254,""),"")</f>
        <v>|</v>
      </c>
      <c r="P254" t="str">
        <f ca="1">IF($K254="Yes",COUNTIFS($K$4:$K254,"Yes"),"")</f>
        <v/>
      </c>
      <c r="Q254">
        <f t="shared" ca="1" si="12"/>
        <v>0</v>
      </c>
      <c r="R254" t="str">
        <f ca="1">IF($Q254=1,SUM($Q$4:$Q254),"")</f>
        <v/>
      </c>
    </row>
    <row r="255" spans="1:18" ht="22.5" customHeight="1" x14ac:dyDescent="0.3">
      <c r="A255" s="2"/>
      <c r="B255" s="2"/>
      <c r="C255" s="3"/>
      <c r="D255" s="3"/>
      <c r="E255" s="2"/>
      <c r="F255" s="2"/>
      <c r="G255" s="5"/>
      <c r="H255" s="5"/>
      <c r="I255" s="4"/>
      <c r="J255" s="6" t="str">
        <f t="shared" si="10"/>
        <v/>
      </c>
      <c r="K255" s="4" t="str">
        <f t="shared" ca="1" si="13"/>
        <v/>
      </c>
      <c r="L255" s="7" t="str">
        <f>IF($H255="","",$H255-'[2]Read Me'!$B$4)</f>
        <v/>
      </c>
      <c r="M255" s="4" t="str">
        <f>IF($I255="Complete","Green",IF($H255="","Amber",IF($H255&lt;'[2]Read Me'!$B$4,"Red",IF($H255-'[2]Read Me'!$B$4&lt;=21,"Amber","Green"))))</f>
        <v>Amber</v>
      </c>
      <c r="N255" s="3"/>
      <c r="O255" t="str">
        <f>IF($I255&lt;&gt;"Complete",IF(COUNTIFS($A$4:$A254,$A255,$B$4:$B254,$B255,$I$4:$I254,"&lt;&gt;Complete")=0,$A255&amp;"|"&amp;$B255,""),"")</f>
        <v>|</v>
      </c>
      <c r="P255" t="str">
        <f ca="1">IF($K255="Yes",COUNTIFS($K$4:$K255,"Yes"),"")</f>
        <v/>
      </c>
      <c r="Q255">
        <f t="shared" ca="1" si="12"/>
        <v>0</v>
      </c>
      <c r="R255" t="str">
        <f ca="1">IF($Q255=1,SUM($Q$4:$Q255),"")</f>
        <v/>
      </c>
    </row>
    <row r="256" spans="1:18" ht="22.5" customHeight="1" x14ac:dyDescent="0.3">
      <c r="A256" s="2"/>
      <c r="B256" s="2"/>
      <c r="C256" s="3"/>
      <c r="D256" s="3"/>
      <c r="E256" s="2"/>
      <c r="F256" s="2"/>
      <c r="G256" s="5"/>
      <c r="H256" s="5"/>
      <c r="I256" s="4"/>
      <c r="J256" s="6" t="str">
        <f t="shared" si="10"/>
        <v/>
      </c>
      <c r="K256" s="4" t="str">
        <f t="shared" ca="1" si="13"/>
        <v/>
      </c>
      <c r="L256" s="7" t="str">
        <f>IF($H256="","",$H256-'[2]Read Me'!$B$4)</f>
        <v/>
      </c>
      <c r="M256" s="4" t="str">
        <f>IF($I256="Complete","Green",IF($H256="","Amber",IF($H256&lt;'[2]Read Me'!$B$4,"Red",IF($H256-'[2]Read Me'!$B$4&lt;=21,"Amber","Green"))))</f>
        <v>Amber</v>
      </c>
      <c r="N256" s="3"/>
      <c r="O256" t="str">
        <f>IF($I256&lt;&gt;"Complete",IF(COUNTIFS($A$4:$A255,$A256,$B$4:$B255,$B256,$I$4:$I255,"&lt;&gt;Complete")=0,$A256&amp;"|"&amp;$B256,""),"")</f>
        <v>|</v>
      </c>
      <c r="P256" t="str">
        <f ca="1">IF($K256="Yes",COUNTIFS($K$4:$K256,"Yes"),"")</f>
        <v/>
      </c>
      <c r="Q256">
        <f t="shared" ca="1" si="12"/>
        <v>0</v>
      </c>
      <c r="R256" t="str">
        <f ca="1">IF($Q256=1,SUM($Q$4:$Q256),"")</f>
        <v/>
      </c>
    </row>
    <row r="257" spans="1:18" ht="22.5" customHeight="1" x14ac:dyDescent="0.3">
      <c r="A257" s="2"/>
      <c r="B257" s="2"/>
      <c r="C257" s="3"/>
      <c r="D257" s="3"/>
      <c r="E257" s="2"/>
      <c r="F257" s="2"/>
      <c r="G257" s="5"/>
      <c r="H257" s="5"/>
      <c r="I257" s="4"/>
      <c r="J257" s="6" t="str">
        <f t="shared" si="10"/>
        <v/>
      </c>
      <c r="K257" s="4" t="str">
        <f t="shared" ca="1" si="13"/>
        <v/>
      </c>
      <c r="L257" s="7" t="str">
        <f>IF($H257="","",$H257-'[2]Read Me'!$B$4)</f>
        <v/>
      </c>
      <c r="M257" s="4" t="str">
        <f>IF($I257="Complete","Green",IF($H257="","Amber",IF($H257&lt;'[2]Read Me'!$B$4,"Red",IF($H257-'[2]Read Me'!$B$4&lt;=21,"Amber","Green"))))</f>
        <v>Amber</v>
      </c>
      <c r="N257" s="3"/>
      <c r="O257" t="str">
        <f>IF($I257&lt;&gt;"Complete",IF(COUNTIFS($A$4:$A256,$A257,$B$4:$B256,$B257,$I$4:$I256,"&lt;&gt;Complete")=0,$A257&amp;"|"&amp;$B257,""),"")</f>
        <v>|</v>
      </c>
      <c r="P257" t="str">
        <f ca="1">IF($K257="Yes",COUNTIFS($K$4:$K257,"Yes"),"")</f>
        <v/>
      </c>
      <c r="Q257">
        <f t="shared" ca="1" si="12"/>
        <v>0</v>
      </c>
      <c r="R257" t="str">
        <f ca="1">IF($Q257=1,SUM($Q$4:$Q257),"")</f>
        <v/>
      </c>
    </row>
    <row r="258" spans="1:18" ht="45" customHeight="1" x14ac:dyDescent="0.3">
      <c r="A258" s="2"/>
      <c r="B258" s="2"/>
      <c r="C258" s="3"/>
      <c r="D258" s="3"/>
      <c r="E258" s="2"/>
      <c r="F258" s="2"/>
      <c r="G258" s="5"/>
      <c r="H258" s="5"/>
      <c r="I258" s="4"/>
      <c r="J258" s="6" t="str">
        <f t="shared" si="10"/>
        <v/>
      </c>
      <c r="K258" s="4" t="str">
        <f t="shared" ca="1" si="13"/>
        <v/>
      </c>
      <c r="L258" s="7" t="str">
        <f>IF($H258="","",$H258-'[2]Read Me'!$B$4)</f>
        <v/>
      </c>
      <c r="M258" s="4" t="str">
        <f>IF($I258="Complete","Green",IF($H258="","Amber",IF($H258&lt;'[2]Read Me'!$B$4,"Red",IF($H258-'[2]Read Me'!$B$4&lt;=21,"Amber","Green"))))</f>
        <v>Amber</v>
      </c>
      <c r="N258" s="3"/>
      <c r="O258" t="str">
        <f>IF($I258&lt;&gt;"Complete",IF(COUNTIFS($A$4:$A257,$A258,$B$4:$B257,$B258,$I$4:$I257,"&lt;&gt;Complete")=0,$A258&amp;"|"&amp;$B258,""),"")</f>
        <v>|</v>
      </c>
      <c r="P258" t="str">
        <f ca="1">IF($K258="Yes",COUNTIFS($K$4:$K258,"Yes"),"")</f>
        <v/>
      </c>
      <c r="Q258">
        <f t="shared" ca="1" si="12"/>
        <v>0</v>
      </c>
      <c r="R258" t="str">
        <f ca="1">IF($Q258=1,SUM($Q$4:$Q258),"")</f>
        <v/>
      </c>
    </row>
    <row r="259" spans="1:18" ht="45" customHeight="1" x14ac:dyDescent="0.3">
      <c r="A259" s="2"/>
      <c r="B259" s="2"/>
      <c r="C259" s="3"/>
      <c r="D259" s="3"/>
      <c r="E259" s="2"/>
      <c r="F259" s="2"/>
      <c r="G259" s="5"/>
      <c r="H259" s="5"/>
      <c r="I259" s="4"/>
      <c r="J259" s="6" t="str">
        <f t="shared" si="10"/>
        <v/>
      </c>
      <c r="K259" s="4" t="str">
        <f t="shared" ca="1" si="13"/>
        <v/>
      </c>
      <c r="L259" s="7" t="str">
        <f>IF($H259="","",$H259-'[2]Read Me'!$B$4)</f>
        <v/>
      </c>
      <c r="M259" s="4" t="str">
        <f>IF($I259="Complete","Green",IF($H259="","Amber",IF($H259&lt;'[2]Read Me'!$B$4,"Red",IF($H259-'[2]Read Me'!$B$4&lt;=21,"Amber","Green"))))</f>
        <v>Amber</v>
      </c>
      <c r="N259" s="3"/>
      <c r="O259" t="str">
        <f>IF($I259&lt;&gt;"Complete",IF(COUNTIFS($A$4:$A258,$A259,$B$4:$B258,$B259,$I$4:$I258,"&lt;&gt;Complete")=0,$A259&amp;"|"&amp;$B259,""),"")</f>
        <v>|</v>
      </c>
      <c r="P259" t="str">
        <f ca="1">IF($K259="Yes",COUNTIFS($K$4:$K259,"Yes"),"")</f>
        <v/>
      </c>
      <c r="Q259">
        <f t="shared" ca="1" si="12"/>
        <v>0</v>
      </c>
      <c r="R259" t="str">
        <f ca="1">IF($Q259=1,SUM($Q$4:$Q259),"")</f>
        <v/>
      </c>
    </row>
    <row r="260" spans="1:18" ht="45" customHeight="1" x14ac:dyDescent="0.3">
      <c r="A260" s="2"/>
      <c r="B260" s="2"/>
      <c r="C260" s="3"/>
      <c r="D260" s="3"/>
      <c r="E260" s="2"/>
      <c r="F260" s="2"/>
      <c r="G260" s="5"/>
      <c r="H260" s="5"/>
      <c r="I260" s="4"/>
      <c r="J260" s="6" t="str">
        <f t="shared" ref="J260:J312" si="14">IF(OR($G260="",$H260=""),"",$H260-$G260)</f>
        <v/>
      </c>
      <c r="K260" s="4" t="str">
        <f t="shared" ca="1" si="13"/>
        <v/>
      </c>
      <c r="L260" s="7" t="str">
        <f>IF($H260="","",$H260-'[2]Read Me'!$B$4)</f>
        <v/>
      </c>
      <c r="M260" s="4" t="str">
        <f>IF($I260="Complete","Green",IF($H260="","Amber",IF($H260&lt;'[2]Read Me'!$B$4,"Red",IF($H260-'[2]Read Me'!$B$4&lt;=21,"Amber","Green"))))</f>
        <v>Amber</v>
      </c>
      <c r="N260" s="3"/>
      <c r="O260" t="str">
        <f>IF($I260&lt;&gt;"Complete",IF(COUNTIFS($A$4:$A259,$A260,$B$4:$B259,$B260,$I$4:$I259,"&lt;&gt;Complete")=0,$A260&amp;"|"&amp;$B260,""),"")</f>
        <v>|</v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/>
      <c r="B261" s="2"/>
      <c r="C261" s="3"/>
      <c r="D261" s="3"/>
      <c r="E261" s="2"/>
      <c r="F261" s="2"/>
      <c r="G261" s="5"/>
      <c r="H261" s="5"/>
      <c r="I261" s="4"/>
      <c r="J261" s="6" t="str">
        <f t="shared" si="14"/>
        <v/>
      </c>
      <c r="K261" s="4" t="str">
        <f t="shared" ca="1" si="13"/>
        <v/>
      </c>
      <c r="L261" s="7" t="str">
        <f>IF($H261="","",$H261-'[2]Read Me'!$B$4)</f>
        <v/>
      </c>
      <c r="M261" s="4" t="str">
        <f>IF($I261="Complete","Green",IF($H261="","Amber",IF($H261&lt;'[2]Read Me'!$B$4,"Red",IF($H261-'[2]Read Me'!$B$4&lt;=21,"Amber","Green"))))</f>
        <v>Amber</v>
      </c>
      <c r="N261" s="3"/>
      <c r="O261" t="str">
        <f>IF($I261&lt;&gt;"Complete",IF(COUNTIFS($A$4:$A260,$A261,$B$4:$B260,$B261,$I$4:$I260,"&lt;&gt;Complete")=0,$A261&amp;"|"&amp;$B261,""),"")</f>
        <v>|</v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/>
      <c r="B262" s="2"/>
      <c r="C262" s="3"/>
      <c r="D262" s="3"/>
      <c r="E262" s="2"/>
      <c r="F262" s="2"/>
      <c r="G262" s="5"/>
      <c r="H262" s="5"/>
      <c r="I262" s="4"/>
      <c r="J262" s="6" t="str">
        <f t="shared" si="14"/>
        <v/>
      </c>
      <c r="K262" s="4" t="str">
        <f t="shared" ca="1" si="13"/>
        <v/>
      </c>
      <c r="L262" s="7" t="str">
        <f>IF($H262="","",$H262-'[2]Read Me'!$B$4)</f>
        <v/>
      </c>
      <c r="M262" s="4" t="str">
        <f>IF($I262="Complete","Green",IF($H262="","Amber",IF($H262&lt;'[2]Read Me'!$B$4,"Red",IF($H262-'[2]Read Me'!$B$4&lt;=21,"Amber","Green"))))</f>
        <v>Amber</v>
      </c>
      <c r="N262" s="3"/>
      <c r="O262" t="str">
        <f>IF($I262&lt;&gt;"Complete",IF(COUNTIFS($A$4:$A261,$A262,$B$4:$B261,$B262,$I$4:$I261,"&lt;&gt;Complete")=0,$A262&amp;"|"&amp;$B262,""),"")</f>
        <v>|</v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/>
      <c r="B263" s="2"/>
      <c r="C263" s="3"/>
      <c r="D263" s="3"/>
      <c r="E263" s="2"/>
      <c r="F263" s="2"/>
      <c r="G263" s="5"/>
      <c r="H263" s="5"/>
      <c r="I263" s="4"/>
      <c r="J263" s="6" t="str">
        <f t="shared" si="14"/>
        <v/>
      </c>
      <c r="K263" s="4" t="str">
        <f t="shared" ca="1" si="13"/>
        <v/>
      </c>
      <c r="L263" s="7" t="str">
        <f>IF($H263="","",$H263-'[2]Read Me'!$B$4)</f>
        <v/>
      </c>
      <c r="M263" s="4" t="str">
        <f>IF($I263="Complete","Green",IF($H263="","Amber",IF($H263&lt;'[2]Read Me'!$B$4,"Red",IF($H263-'[2]Read Me'!$B$4&lt;=21,"Amber","Green"))))</f>
        <v>Amber</v>
      </c>
      <c r="N263" s="3"/>
      <c r="O263" t="str">
        <f>IF($I263&lt;&gt;"Complete",IF(COUNTIFS($A$4:$A262,$A263,$B$4:$B262,$B263,$I$4:$I262,"&lt;&gt;Complete")=0,$A263&amp;"|"&amp;$B263,""),"")</f>
        <v>|</v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/>
      <c r="B264" s="2"/>
      <c r="C264" s="3"/>
      <c r="D264" s="3"/>
      <c r="E264" s="2"/>
      <c r="F264" s="2"/>
      <c r="G264" s="5"/>
      <c r="H264" s="5"/>
      <c r="I264" s="4"/>
      <c r="J264" s="6" t="str">
        <f t="shared" si="14"/>
        <v/>
      </c>
      <c r="K264" s="4" t="str">
        <f t="shared" ca="1" si="13"/>
        <v/>
      </c>
      <c r="L264" s="7" t="str">
        <f>IF($H264="","",$H264-'[2]Read Me'!$B$4)</f>
        <v/>
      </c>
      <c r="M264" s="4" t="str">
        <f>IF($I264="Complete","Green",IF($H264="","Amber",IF($H264&lt;'[2]Read Me'!$B$4,"Red",IF($H264-'[2]Read Me'!$B$4&lt;=21,"Amber","Green"))))</f>
        <v>Amber</v>
      </c>
      <c r="N264" s="3"/>
      <c r="O264" t="str">
        <f>IF($I264&lt;&gt;"Complete",IF(COUNTIFS($A$4:$A263,$A264,$B$4:$B263,$B264,$I$4:$I263,"&lt;&gt;Complete")=0,$A264&amp;"|"&amp;$B264,""),"")</f>
        <v>|</v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/>
      <c r="B265" s="2"/>
      <c r="C265" s="3"/>
      <c r="D265" s="3"/>
      <c r="E265" s="2"/>
      <c r="F265" s="2"/>
      <c r="G265" s="5"/>
      <c r="H265" s="5"/>
      <c r="I265" s="4"/>
      <c r="J265" s="6" t="str">
        <f t="shared" si="14"/>
        <v/>
      </c>
      <c r="K265" s="4" t="str">
        <f t="shared" ref="K265:K312" ca="1" si="16">IF($H265="","",IF($H265&lt;TODAY(),"No","Yes"))</f>
        <v/>
      </c>
      <c r="L265" s="7" t="str">
        <f>IF($H265="","",$H265-'[2]Read Me'!$B$4)</f>
        <v/>
      </c>
      <c r="M265" s="4" t="str">
        <f>IF($I265="Complete","Green",IF($H265="","Amber",IF($H265&lt;'[2]Read Me'!$B$4,"Red",IF($H265-'[2]Read Me'!$B$4&lt;=21,"Amber","Green"))))</f>
        <v>Amber</v>
      </c>
      <c r="N265" s="3"/>
      <c r="O265" t="str">
        <f>IF($I265&lt;&gt;"Complete",IF(COUNTIFS($A$4:$A264,$A265,$B$4:$B264,$B265,$I$4:$I264,"&lt;&gt;Complete")=0,$A265&amp;"|"&amp;$B265,""),"")</f>
        <v>|</v>
      </c>
      <c r="P265" t="str">
        <f ca="1">IF($K265="Yes",COUNTIFS($K$4:$K265,"Yes"),"")</f>
        <v/>
      </c>
      <c r="Q265">
        <f t="shared" ca="1" si="15"/>
        <v>0</v>
      </c>
      <c r="R265" t="str">
        <f ca="1">IF($Q265=1,SUM($Q$4:$Q265),"")</f>
        <v/>
      </c>
    </row>
    <row r="266" spans="1:18" ht="45" customHeight="1" x14ac:dyDescent="0.3">
      <c r="A266" s="2"/>
      <c r="B266" s="2"/>
      <c r="C266" s="3"/>
      <c r="D266" s="3"/>
      <c r="E266" s="2"/>
      <c r="F266" s="2"/>
      <c r="G266" s="5"/>
      <c r="H266" s="5"/>
      <c r="I266" s="4"/>
      <c r="J266" s="6" t="str">
        <f t="shared" si="14"/>
        <v/>
      </c>
      <c r="K266" s="4" t="str">
        <f t="shared" ca="1" si="16"/>
        <v/>
      </c>
      <c r="L266" s="7" t="str">
        <f>IF($H266="","",$H266-'[2]Read Me'!$B$4)</f>
        <v/>
      </c>
      <c r="M266" s="4" t="str">
        <f>IF($I266="Complete","Green",IF($H266="","Amber",IF($H266&lt;'[2]Read Me'!$B$4,"Red",IF($H266-'[2]Read Me'!$B$4&lt;=21,"Amber","Green"))))</f>
        <v>Amber</v>
      </c>
      <c r="N266" s="3"/>
      <c r="O266" t="str">
        <f>IF($I266&lt;&gt;"Complete",IF(COUNTIFS($A$4:$A265,$A266,$B$4:$B265,$B266,$I$4:$I265,"&lt;&gt;Complete")=0,$A266&amp;"|"&amp;$B266,""),"")</f>
        <v>|</v>
      </c>
      <c r="P266" t="str">
        <f ca="1">IF($K266="Yes",COUNTIFS($K$4:$K266,"Yes"),"")</f>
        <v/>
      </c>
      <c r="Q266">
        <f t="shared" ca="1" si="15"/>
        <v>0</v>
      </c>
      <c r="R266" t="str">
        <f ca="1">IF($Q266=1,SUM($Q$4:$Q266),"")</f>
        <v/>
      </c>
    </row>
    <row r="267" spans="1:18" ht="45" customHeight="1" x14ac:dyDescent="0.3">
      <c r="A267" s="2"/>
      <c r="B267" s="2"/>
      <c r="C267" s="3"/>
      <c r="D267" s="3"/>
      <c r="E267" s="2"/>
      <c r="F267" s="2"/>
      <c r="G267" s="5"/>
      <c r="H267" s="5"/>
      <c r="I267" s="4"/>
      <c r="J267" s="6" t="str">
        <f t="shared" si="14"/>
        <v/>
      </c>
      <c r="K267" s="4" t="str">
        <f t="shared" ca="1" si="16"/>
        <v/>
      </c>
      <c r="L267" s="7" t="str">
        <f>IF($H267="","",$H267-'[2]Read Me'!$B$4)</f>
        <v/>
      </c>
      <c r="M267" s="4" t="str">
        <f>IF($I267="Complete","Green",IF($H267="","Amber",IF($H267&lt;'[2]Read Me'!$B$4,"Red",IF($H267-'[2]Read Me'!$B$4&lt;=21,"Amber","Green"))))</f>
        <v>Amber</v>
      </c>
      <c r="N267" s="3"/>
      <c r="O267" t="str">
        <f>IF($I267&lt;&gt;"Complete",IF(COUNTIFS($A$4:$A266,$A267,$B$4:$B266,$B267,$I$4:$I266,"&lt;&gt;Complete")=0,$A267&amp;"|"&amp;$B267,""),"")</f>
        <v>|</v>
      </c>
      <c r="P267" t="str">
        <f ca="1">IF($K267="Yes",COUNTIFS($K$4:$K267,"Yes"),"")</f>
        <v/>
      </c>
      <c r="Q267">
        <f t="shared" ca="1" si="15"/>
        <v>0</v>
      </c>
      <c r="R267" t="str">
        <f ca="1">IF($Q267=1,SUM($Q$4:$Q267),"")</f>
        <v/>
      </c>
    </row>
    <row r="268" spans="1:18" ht="14.25" customHeight="1" x14ac:dyDescent="0.3">
      <c r="A268" s="2"/>
      <c r="B268" s="2"/>
      <c r="C268" s="3"/>
      <c r="D268" s="3"/>
      <c r="E268" s="2"/>
      <c r="F268" s="2"/>
      <c r="G268" s="5"/>
      <c r="H268" s="5"/>
      <c r="I268" s="4"/>
      <c r="J268" s="6" t="str">
        <f t="shared" si="14"/>
        <v/>
      </c>
      <c r="K268" s="4" t="str">
        <f t="shared" ca="1" si="16"/>
        <v/>
      </c>
      <c r="L268" s="7" t="str">
        <f>IF($H268="","",$H268-'[2]Read Me'!$B$4)</f>
        <v/>
      </c>
      <c r="M268" s="4" t="str">
        <f>IF($I268="Complete","Green",IF($H268="","Amber",IF($H268&lt;'[2]Read Me'!$B$4,"Red",IF($H268-'[2]Read Me'!$B$4&lt;=21,"Amber","Green"))))</f>
        <v>Amber</v>
      </c>
      <c r="N268" s="3"/>
      <c r="O268" t="str">
        <f>IF($I268&lt;&gt;"Complete",IF(COUNTIFS($A$4:$A267,$A268,$B$4:$B267,$B268,$I$4:$I267,"&lt;&gt;Complete")=0,$A268&amp;"|"&amp;$B268,""),"")</f>
        <v>|</v>
      </c>
      <c r="P268" t="str">
        <f ca="1">IF($K268="Yes",COUNTIFS($K$4:$K268,"Yes"),"")</f>
        <v/>
      </c>
      <c r="Q268">
        <f t="shared" ca="1" si="15"/>
        <v>0</v>
      </c>
      <c r="R268" t="str">
        <f ca="1">IF($Q268=1,SUM($Q$4:$Q268),"")</f>
        <v/>
      </c>
    </row>
    <row r="269" spans="1:18" ht="14.25" customHeight="1" x14ac:dyDescent="0.3">
      <c r="A269" s="2"/>
      <c r="B269" s="2"/>
      <c r="C269" s="3"/>
      <c r="D269" s="3"/>
      <c r="E269" s="2"/>
      <c r="F269" s="2"/>
      <c r="G269" s="5"/>
      <c r="H269" s="5"/>
      <c r="I269" s="4"/>
      <c r="J269" s="6" t="str">
        <f t="shared" si="14"/>
        <v/>
      </c>
      <c r="K269" s="4" t="str">
        <f t="shared" ca="1" si="16"/>
        <v/>
      </c>
      <c r="L269" s="7" t="str">
        <f>IF($H269="","",$H269-'[2]Read Me'!$B$4)</f>
        <v/>
      </c>
      <c r="M269" s="4" t="str">
        <f>IF($I269="Complete","Green",IF($H269="","Amber",IF($H269&lt;'[2]Read Me'!$B$4,"Red",IF($H269-'[2]Read Me'!$B$4&lt;=21,"Amber","Green"))))</f>
        <v>Amber</v>
      </c>
      <c r="N269" s="3"/>
      <c r="O269" t="str">
        <f>IF($I269&lt;&gt;"Complete",IF(COUNTIFS($A$4:$A268,$A269,$B$4:$B268,$B269,$I$4:$I268,"&lt;&gt;Complete")=0,$A269&amp;"|"&amp;$B269,""),"")</f>
        <v>|</v>
      </c>
      <c r="P269" t="str">
        <f ca="1">IF($K269="Yes",COUNTIFS($K$4:$K269,"Yes"),"")</f>
        <v/>
      </c>
      <c r="Q269">
        <f t="shared" ca="1" si="15"/>
        <v>0</v>
      </c>
      <c r="R269" t="str">
        <f ca="1">IF($Q269=1,SUM($Q$4:$Q269),"")</f>
        <v/>
      </c>
    </row>
    <row r="270" spans="1:18" ht="14.25" customHeight="1" x14ac:dyDescent="0.3">
      <c r="A270" s="2"/>
      <c r="B270" s="2"/>
      <c r="C270" s="3"/>
      <c r="D270" s="3"/>
      <c r="E270" s="2"/>
      <c r="F270" s="2"/>
      <c r="G270" s="5"/>
      <c r="H270" s="5"/>
      <c r="I270" s="4"/>
      <c r="J270" s="6" t="str">
        <f t="shared" si="14"/>
        <v/>
      </c>
      <c r="K270" s="4" t="str">
        <f t="shared" ca="1" si="16"/>
        <v/>
      </c>
      <c r="L270" s="7" t="str">
        <f>IF($H270="","",$H270-'[2]Read Me'!$B$4)</f>
        <v/>
      </c>
      <c r="M270" s="4" t="str">
        <f>IF($I270="Complete","Green",IF($H270="","Amber",IF($H270&lt;'[2]Read Me'!$B$4,"Red",IF($H270-'[2]Read Me'!$B$4&lt;=21,"Amber","Green"))))</f>
        <v>Amber</v>
      </c>
      <c r="N270" s="3"/>
      <c r="O270" t="str">
        <f>IF($I270&lt;&gt;"Complete",IF(COUNTIFS($A$4:$A269,$A270,$B$4:$B269,$B270,$I$4:$I269,"&lt;&gt;Complete")=0,$A270&amp;"|"&amp;$B270,""),"")</f>
        <v>|</v>
      </c>
      <c r="P270" t="str">
        <f ca="1">IF($K270="Yes",COUNTIFS($K$4:$K270,"Yes"),"")</f>
        <v/>
      </c>
      <c r="Q270">
        <f t="shared" ca="1" si="15"/>
        <v>0</v>
      </c>
      <c r="R270" t="str">
        <f ca="1">IF($Q270=1,SUM($Q$4:$Q270),"")</f>
        <v/>
      </c>
    </row>
    <row r="271" spans="1:18" ht="14.25" customHeight="1" x14ac:dyDescent="0.3">
      <c r="A271" s="2"/>
      <c r="B271" s="2"/>
      <c r="C271" s="3"/>
      <c r="D271" s="3"/>
      <c r="E271" s="2"/>
      <c r="F271" s="2"/>
      <c r="G271" s="5"/>
      <c r="H271" s="5"/>
      <c r="I271" s="4"/>
      <c r="J271" s="6" t="str">
        <f t="shared" si="14"/>
        <v/>
      </c>
      <c r="K271" s="4" t="str">
        <f t="shared" ca="1" si="16"/>
        <v/>
      </c>
      <c r="L271" s="7" t="str">
        <f>IF($H271="","",$H271-'[2]Read Me'!$B$4)</f>
        <v/>
      </c>
      <c r="M271" s="4" t="str">
        <f>IF($I271="Complete","Green",IF($H271="","Amber",IF($H271&lt;'[2]Read Me'!$B$4,"Red",IF($H271-'[2]Read Me'!$B$4&lt;=21,"Amber","Green"))))</f>
        <v>Amber</v>
      </c>
      <c r="N271" s="3"/>
      <c r="O271" t="str">
        <f>IF($I271&lt;&gt;"Complete",IF(COUNTIFS($A$4:$A270,$A271,$B$4:$B270,$B271,$I$4:$I270,"&lt;&gt;Complete")=0,$A271&amp;"|"&amp;$B271,""),"")</f>
        <v>|</v>
      </c>
      <c r="P271" t="str">
        <f ca="1">IF($K271="Yes",COUNTIFS($K$4:$K271,"Yes"),"")</f>
        <v/>
      </c>
      <c r="Q271">
        <f t="shared" ca="1" si="15"/>
        <v>0</v>
      </c>
      <c r="R271" t="str">
        <f ca="1">IF($Q271=1,SUM($Q$4:$Q271),"")</f>
        <v/>
      </c>
    </row>
    <row r="272" spans="1:18" ht="14.25" customHeight="1" x14ac:dyDescent="0.3">
      <c r="A272" s="2"/>
      <c r="B272" s="2"/>
      <c r="C272" s="3"/>
      <c r="D272" s="3"/>
      <c r="E272" s="2"/>
      <c r="F272" s="2"/>
      <c r="G272" s="5"/>
      <c r="H272" s="5"/>
      <c r="I272" s="4"/>
      <c r="J272" s="6" t="str">
        <f t="shared" si="14"/>
        <v/>
      </c>
      <c r="K272" s="4" t="str">
        <f t="shared" ca="1" si="16"/>
        <v/>
      </c>
      <c r="L272" s="7" t="str">
        <f>IF($H272="","",$H272-'[2]Read Me'!$B$4)</f>
        <v/>
      </c>
      <c r="M272" s="4" t="str">
        <f>IF($I272="Complete","Green",IF($H272="","Amber",IF($H272&lt;'[2]Read Me'!$B$4,"Red",IF($H272-'[2]Read Me'!$B$4&lt;=21,"Amber","Green"))))</f>
        <v>Amber</v>
      </c>
      <c r="N272" s="3"/>
      <c r="O272" t="str">
        <f>IF($I272&lt;&gt;"Complete",IF(COUNTIFS($A$4:$A271,$A272,$B$4:$B271,$B272,$I$4:$I271,"&lt;&gt;Complete")=0,$A272&amp;"|"&amp;$B272,""),"")</f>
        <v>|</v>
      </c>
      <c r="P272" t="str">
        <f ca="1">IF($K272="Yes",COUNTIFS($K$4:$K272,"Yes"),"")</f>
        <v/>
      </c>
      <c r="Q272">
        <f t="shared" ca="1" si="15"/>
        <v>0</v>
      </c>
      <c r="R272" t="str">
        <f ca="1">IF($Q272=1,SUM($Q$4:$Q272),"")</f>
        <v/>
      </c>
    </row>
    <row r="273" spans="1:18" ht="14.25" customHeight="1" x14ac:dyDescent="0.3">
      <c r="A273" s="2"/>
      <c r="B273" s="2"/>
      <c r="C273" s="3"/>
      <c r="D273" s="3"/>
      <c r="E273" s="2"/>
      <c r="F273" s="2"/>
      <c r="G273" s="5"/>
      <c r="H273" s="5"/>
      <c r="I273" s="4"/>
      <c r="J273" s="6" t="str">
        <f t="shared" si="14"/>
        <v/>
      </c>
      <c r="K273" s="4" t="str">
        <f t="shared" ca="1" si="16"/>
        <v/>
      </c>
      <c r="L273" s="7" t="str">
        <f>IF($H273="","",$H273-'[2]Read Me'!$B$4)</f>
        <v/>
      </c>
      <c r="M273" s="4" t="str">
        <f>IF($I273="Complete","Green",IF($H273="","Amber",IF($H273&lt;'[2]Read Me'!$B$4,"Red",IF($H273-'[2]Read Me'!$B$4&lt;=21,"Amber","Green"))))</f>
        <v>Amber</v>
      </c>
      <c r="N273" s="3"/>
      <c r="O273" t="str">
        <f>IF($I273&lt;&gt;"Complete",IF(COUNTIFS($A$4:$A272,$A273,$B$4:$B272,$B273,$I$4:$I272,"&lt;&gt;Complete")=0,$A273&amp;"|"&amp;$B273,""),"")</f>
        <v>|</v>
      </c>
      <c r="P273" t="str">
        <f ca="1">IF($K273="Yes",COUNTIFS($K$4:$K273,"Yes"),"")</f>
        <v/>
      </c>
      <c r="Q273">
        <f t="shared" ca="1" si="15"/>
        <v>0</v>
      </c>
      <c r="R273" t="str">
        <f ca="1">IF($Q273=1,SUM($Q$4:$Q273),"")</f>
        <v/>
      </c>
    </row>
    <row r="274" spans="1:18" ht="14.25" customHeight="1" x14ac:dyDescent="0.3">
      <c r="A274" s="2"/>
      <c r="B274" s="2"/>
      <c r="C274" s="3"/>
      <c r="D274" s="3"/>
      <c r="E274" s="2"/>
      <c r="F274" s="2"/>
      <c r="G274" s="5"/>
      <c r="H274" s="5"/>
      <c r="I274" s="4"/>
      <c r="J274" s="6" t="str">
        <f t="shared" si="14"/>
        <v/>
      </c>
      <c r="K274" s="4" t="str">
        <f t="shared" ca="1" si="16"/>
        <v/>
      </c>
      <c r="L274" s="7" t="str">
        <f>IF($H274="","",$H274-'[2]Read Me'!$B$4)</f>
        <v/>
      </c>
      <c r="M274" s="4" t="str">
        <f>IF($I274="Complete","Green",IF($H274="","Amber",IF($H274&lt;'[2]Read Me'!$B$4,"Red",IF($H274-'[2]Read Me'!$B$4&lt;=21,"Amber","Green"))))</f>
        <v>Amber</v>
      </c>
      <c r="N274" s="3"/>
      <c r="O274" t="str">
        <f>IF($I274&lt;&gt;"Complete",IF(COUNTIFS($A$4:$A273,$A274,$B$4:$B273,$B274,$I$4:$I273,"&lt;&gt;Complete")=0,$A274&amp;"|"&amp;$B274,""),"")</f>
        <v>|</v>
      </c>
      <c r="P274" t="str">
        <f ca="1">IF($K274="Yes",COUNTIFS($K$4:$K274,"Yes"),"")</f>
        <v/>
      </c>
      <c r="Q274">
        <f t="shared" ca="1" si="15"/>
        <v>0</v>
      </c>
      <c r="R274" t="str">
        <f ca="1">IF($Q274=1,SUM($Q$4:$Q274),"")</f>
        <v/>
      </c>
    </row>
    <row r="275" spans="1:18" ht="14.25" customHeight="1" x14ac:dyDescent="0.3">
      <c r="A275" s="2"/>
      <c r="B275" s="2"/>
      <c r="C275" s="3"/>
      <c r="D275" s="3"/>
      <c r="E275" s="2"/>
      <c r="F275" s="2"/>
      <c r="G275" s="5"/>
      <c r="H275" s="5"/>
      <c r="I275" s="4"/>
      <c r="J275" s="6" t="str">
        <f t="shared" si="14"/>
        <v/>
      </c>
      <c r="K275" s="4" t="str">
        <f t="shared" ca="1" si="16"/>
        <v/>
      </c>
      <c r="L275" s="7" t="str">
        <f>IF($H275="","",$H275-'[2]Read Me'!$B$4)</f>
        <v/>
      </c>
      <c r="M275" s="4" t="str">
        <f>IF($I275="Complete","Green",IF($H275="","Amber",IF($H275&lt;'[2]Read Me'!$B$4,"Red",IF($H275-'[2]Read Me'!$B$4&lt;=21,"Amber","Green"))))</f>
        <v>Amber</v>
      </c>
      <c r="N275" s="3"/>
      <c r="O275" t="str">
        <f>IF($I275&lt;&gt;"Complete",IF(COUNTIFS($A$4:$A274,$A275,$B$4:$B274,$B275,$I$4:$I274,"&lt;&gt;Complete")=0,$A275&amp;"|"&amp;$B275,""),"")</f>
        <v>|</v>
      </c>
      <c r="P275" t="str">
        <f ca="1">IF($K275="Yes",COUNTIFS($K$4:$K275,"Yes"),"")</f>
        <v/>
      </c>
      <c r="Q275">
        <f t="shared" ca="1" si="15"/>
        <v>0</v>
      </c>
      <c r="R275" t="str">
        <f ca="1">IF($Q275=1,SUM($Q$4:$Q275),"")</f>
        <v/>
      </c>
    </row>
    <row r="276" spans="1:18" ht="14.25" customHeight="1" x14ac:dyDescent="0.3">
      <c r="A276" s="2"/>
      <c r="B276" s="2"/>
      <c r="C276" s="3"/>
      <c r="D276" s="3"/>
      <c r="E276" s="2"/>
      <c r="F276" s="2"/>
      <c r="G276" s="5"/>
      <c r="H276" s="5"/>
      <c r="I276" s="4"/>
      <c r="J276" s="6" t="str">
        <f t="shared" si="14"/>
        <v/>
      </c>
      <c r="K276" s="4" t="str">
        <f t="shared" ca="1" si="16"/>
        <v/>
      </c>
      <c r="L276" s="7" t="str">
        <f>IF($H276="","",$H276-'[2]Read Me'!$B$4)</f>
        <v/>
      </c>
      <c r="M276" s="4" t="str">
        <f>IF($I276="Complete","Green",IF($H276="","Amber",IF($H276&lt;'[2]Read Me'!$B$4,"Red",IF($H276-'[2]Read Me'!$B$4&lt;=21,"Amber","Green"))))</f>
        <v>Amber</v>
      </c>
      <c r="N276" s="3"/>
      <c r="O276" t="str">
        <f>IF($I276&lt;&gt;"Complete",IF(COUNTIFS($A$4:$A275,$A276,$B$4:$B275,$B276,$I$4:$I275,"&lt;&gt;Complete")=0,$A276&amp;"|"&amp;$B276,""),"")</f>
        <v>|</v>
      </c>
      <c r="P276" t="str">
        <f ca="1">IF($K276="Yes",COUNTIFS($K$4:$K276,"Yes"),"")</f>
        <v/>
      </c>
      <c r="Q276">
        <f t="shared" ca="1" si="15"/>
        <v>0</v>
      </c>
      <c r="R276" t="str">
        <f ca="1">IF($Q276=1,SUM($Q$4:$Q276),"")</f>
        <v/>
      </c>
    </row>
    <row r="277" spans="1:18" ht="14.25" customHeight="1" x14ac:dyDescent="0.3">
      <c r="A277" s="2"/>
      <c r="B277" s="2"/>
      <c r="C277" s="3"/>
      <c r="D277" s="3"/>
      <c r="E277" s="2"/>
      <c r="F277" s="2"/>
      <c r="G277" s="5"/>
      <c r="H277" s="5"/>
      <c r="I277" s="4"/>
      <c r="J277" s="6" t="str">
        <f t="shared" si="14"/>
        <v/>
      </c>
      <c r="K277" s="4" t="str">
        <f t="shared" ca="1" si="16"/>
        <v/>
      </c>
      <c r="L277" s="7" t="str">
        <f>IF($H277="","",$H277-'[2]Read Me'!$B$4)</f>
        <v/>
      </c>
      <c r="M277" s="4" t="str">
        <f>IF($I277="Complete","Green",IF($H277="","Amber",IF($H277&lt;'[2]Read Me'!$B$4,"Red",IF($H277-'[2]Read Me'!$B$4&lt;=21,"Amber","Green"))))</f>
        <v>Amber</v>
      </c>
      <c r="N277" s="3"/>
      <c r="O277" t="str">
        <f>IF($I277&lt;&gt;"Complete",IF(COUNTIFS($A$4:$A276,$A277,$B$4:$B276,$B277,$I$4:$I276,"&lt;&gt;Complete")=0,$A277&amp;"|"&amp;$B277,""),"")</f>
        <v>|</v>
      </c>
      <c r="P277" t="str">
        <f ca="1">IF($K277="Yes",COUNTIFS($K$4:$K277,"Yes"),"")</f>
        <v/>
      </c>
      <c r="Q277">
        <f t="shared" ca="1" si="15"/>
        <v>0</v>
      </c>
      <c r="R277" t="str">
        <f ca="1">IF($Q277=1,SUM($Q$4:$Q277),"")</f>
        <v/>
      </c>
    </row>
    <row r="278" spans="1:18" ht="14.25" customHeight="1" x14ac:dyDescent="0.3">
      <c r="A278" s="2"/>
      <c r="B278" s="2"/>
      <c r="C278" s="3"/>
      <c r="D278" s="3"/>
      <c r="E278" s="2"/>
      <c r="F278" s="2"/>
      <c r="G278" s="5"/>
      <c r="H278" s="5"/>
      <c r="I278" s="4"/>
      <c r="J278" s="6" t="str">
        <f t="shared" si="14"/>
        <v/>
      </c>
      <c r="K278" s="4" t="str">
        <f t="shared" ca="1" si="16"/>
        <v/>
      </c>
      <c r="L278" s="7" t="str">
        <f>IF($H278="","",$H278-'[2]Read Me'!$B$4)</f>
        <v/>
      </c>
      <c r="M278" s="4" t="str">
        <f>IF($I278="Complete","Green",IF($H278="","Amber",IF($H278&lt;'[2]Read Me'!$B$4,"Red",IF($H278-'[2]Read Me'!$B$4&lt;=21,"Amber","Green"))))</f>
        <v>Amber</v>
      </c>
      <c r="N278" s="3"/>
      <c r="O278" t="str">
        <f>IF($I278&lt;&gt;"Complete",IF(COUNTIFS($A$4:$A277,$A278,$B$4:$B277,$B278,$I$4:$I277,"&lt;&gt;Complete")=0,$A278&amp;"|"&amp;$B278,""),"")</f>
        <v>|</v>
      </c>
      <c r="P278" t="str">
        <f ca="1">IF($K278="Yes",COUNTIFS($K$4:$K278,"Yes"),"")</f>
        <v/>
      </c>
      <c r="Q278">
        <f t="shared" ca="1" si="15"/>
        <v>0</v>
      </c>
      <c r="R278" t="str">
        <f ca="1">IF($Q278=1,SUM($Q$4:$Q278),"")</f>
        <v/>
      </c>
    </row>
    <row r="279" spans="1:18" ht="14.25" customHeight="1" x14ac:dyDescent="0.3">
      <c r="A279" s="2"/>
      <c r="B279" s="2"/>
      <c r="C279" s="3"/>
      <c r="D279" s="3"/>
      <c r="E279" s="2"/>
      <c r="F279" s="2"/>
      <c r="G279" s="5"/>
      <c r="H279" s="5"/>
      <c r="I279" s="4"/>
      <c r="J279" s="6" t="str">
        <f t="shared" si="14"/>
        <v/>
      </c>
      <c r="K279" s="4" t="str">
        <f t="shared" ca="1" si="16"/>
        <v/>
      </c>
      <c r="L279" s="7" t="str">
        <f>IF($H279="","",$H279-'[2]Read Me'!$B$4)</f>
        <v/>
      </c>
      <c r="M279" s="4" t="str">
        <f>IF($I279="Complete","Green",IF($H279="","Amber",IF($H279&lt;'[2]Read Me'!$B$4,"Red",IF($H279-'[2]Read Me'!$B$4&lt;=21,"Amber","Green"))))</f>
        <v>Amber</v>
      </c>
      <c r="N279" s="3"/>
      <c r="O279" t="str">
        <f>IF($I279&lt;&gt;"Complete",IF(COUNTIFS($A$4:$A278,$A279,$B$4:$B278,$B279,$I$4:$I278,"&lt;&gt;Complete")=0,$A279&amp;"|"&amp;$B279,""),"")</f>
        <v>|</v>
      </c>
      <c r="P279" t="str">
        <f ca="1">IF($K279="Yes",COUNTIFS($K$4:$K279,"Yes"),"")</f>
        <v/>
      </c>
      <c r="Q279">
        <f t="shared" ca="1" si="15"/>
        <v>0</v>
      </c>
      <c r="R279" t="str">
        <f ca="1">IF($Q279=1,SUM($Q$4:$Q279),"")</f>
        <v/>
      </c>
    </row>
    <row r="280" spans="1:18" ht="14.25" customHeight="1" x14ac:dyDescent="0.3">
      <c r="A280" s="2"/>
      <c r="B280" s="2"/>
      <c r="C280" s="3"/>
      <c r="D280" s="3"/>
      <c r="E280" s="2"/>
      <c r="F280" s="2"/>
      <c r="G280" s="5"/>
      <c r="H280" s="5"/>
      <c r="I280" s="4"/>
      <c r="J280" s="6" t="str">
        <f t="shared" si="14"/>
        <v/>
      </c>
      <c r="K280" s="4" t="str">
        <f t="shared" ca="1" si="16"/>
        <v/>
      </c>
      <c r="L280" s="7" t="str">
        <f>IF($H280="","",$H280-'[2]Read Me'!$B$4)</f>
        <v/>
      </c>
      <c r="M280" s="4" t="str">
        <f>IF($I280="Complete","Green",IF($H280="","Amber",IF($H280&lt;'[2]Read Me'!$B$4,"Red",IF($H280-'[2]Read Me'!$B$4&lt;=21,"Amber","Green"))))</f>
        <v>Amber</v>
      </c>
      <c r="N280" s="3"/>
      <c r="O280" t="str">
        <f>IF($I280&lt;&gt;"Complete",IF(COUNTIFS($A$4:$A279,$A280,$B$4:$B279,$B280,$I$4:$I279,"&lt;&gt;Complete")=0,$A280&amp;"|"&amp;$B280,""),"")</f>
        <v>|</v>
      </c>
      <c r="P280" t="str">
        <f ca="1">IF($K280="Yes",COUNTIFS($K$4:$K280,"Yes"),"")</f>
        <v/>
      </c>
      <c r="Q280">
        <f t="shared" ca="1" si="15"/>
        <v>0</v>
      </c>
      <c r="R280" t="str">
        <f ca="1">IF($Q280=1,SUM($Q$4:$Q280),"")</f>
        <v/>
      </c>
    </row>
    <row r="281" spans="1:18" ht="14.25" customHeight="1" x14ac:dyDescent="0.3">
      <c r="A281" s="2"/>
      <c r="B281" s="2"/>
      <c r="C281" s="3"/>
      <c r="D281" s="3"/>
      <c r="E281" s="2"/>
      <c r="F281" s="2"/>
      <c r="G281" s="5"/>
      <c r="H281" s="5"/>
      <c r="I281" s="4"/>
      <c r="J281" s="6" t="str">
        <f t="shared" si="14"/>
        <v/>
      </c>
      <c r="K281" s="4" t="str">
        <f t="shared" ca="1" si="16"/>
        <v/>
      </c>
      <c r="L281" s="7" t="str">
        <f>IF($H281="","",$H281-'[2]Read Me'!$B$4)</f>
        <v/>
      </c>
      <c r="M281" s="4" t="str">
        <f>IF($I281="Complete","Green",IF($H281="","Amber",IF($H281&lt;'[2]Read Me'!$B$4,"Red",IF($H281-'[2]Read Me'!$B$4&lt;=21,"Amber","Green"))))</f>
        <v>Amber</v>
      </c>
      <c r="N281" s="3"/>
      <c r="O281" t="str">
        <f>IF($I281&lt;&gt;"Complete",IF(COUNTIFS($A$4:$A280,$A281,$B$4:$B280,$B281,$I$4:$I280,"&lt;&gt;Complete")=0,$A281&amp;"|"&amp;$B281,""),"")</f>
        <v>|</v>
      </c>
      <c r="P281" t="str">
        <f ca="1">IF($K281="Yes",COUNTIFS($K$4:$K281,"Yes"),"")</f>
        <v/>
      </c>
      <c r="Q281">
        <f t="shared" ca="1" si="15"/>
        <v>0</v>
      </c>
      <c r="R281" t="str">
        <f ca="1">IF($Q281=1,SUM($Q$4:$Q281),"")</f>
        <v/>
      </c>
    </row>
    <row r="282" spans="1:18" ht="14.25" customHeight="1" x14ac:dyDescent="0.3">
      <c r="A282" s="2"/>
      <c r="B282" s="2"/>
      <c r="C282" s="3"/>
      <c r="D282" s="3"/>
      <c r="E282" s="2"/>
      <c r="F282" s="2"/>
      <c r="G282" s="5"/>
      <c r="H282" s="5"/>
      <c r="I282" s="4"/>
      <c r="J282" s="6" t="str">
        <f t="shared" si="14"/>
        <v/>
      </c>
      <c r="K282" s="4" t="str">
        <f t="shared" ca="1" si="16"/>
        <v/>
      </c>
      <c r="L282" s="7" t="str">
        <f>IF($H282="","",$H282-'[2]Read Me'!$B$4)</f>
        <v/>
      </c>
      <c r="M282" s="4" t="str">
        <f>IF($I282="Complete","Green",IF($H282="","Amber",IF($H282&lt;'[2]Read Me'!$B$4,"Red",IF($H282-'[2]Read Me'!$B$4&lt;=21,"Amber","Green"))))</f>
        <v>Amber</v>
      </c>
      <c r="N282" s="3"/>
      <c r="O282" t="str">
        <f>IF($I282&lt;&gt;"Complete",IF(COUNTIFS($A$4:$A281,$A282,$B$4:$B281,$B282,$I$4:$I281,"&lt;&gt;Complete")=0,$A282&amp;"|"&amp;$B282,""),"")</f>
        <v>|</v>
      </c>
      <c r="P282" t="str">
        <f ca="1">IF($K282="Yes",COUNTIFS($K$4:$K282,"Yes"),"")</f>
        <v/>
      </c>
      <c r="Q282">
        <f t="shared" ca="1" si="15"/>
        <v>0</v>
      </c>
      <c r="R282" t="str">
        <f ca="1">IF($Q282=1,SUM($Q$4:$Q282),"")</f>
        <v/>
      </c>
    </row>
    <row r="283" spans="1:18" ht="14.25" customHeight="1" x14ac:dyDescent="0.3">
      <c r="A283" s="2"/>
      <c r="B283" s="2"/>
      <c r="C283" s="3"/>
      <c r="D283" s="3"/>
      <c r="E283" s="2"/>
      <c r="F283" s="2"/>
      <c r="G283" s="5"/>
      <c r="H283" s="5"/>
      <c r="I283" s="4"/>
      <c r="J283" s="6" t="str">
        <f t="shared" si="14"/>
        <v/>
      </c>
      <c r="K283" s="4" t="str">
        <f t="shared" ca="1" si="16"/>
        <v/>
      </c>
      <c r="L283" s="7" t="str">
        <f>IF($H283="","",$H283-'[2]Read Me'!$B$4)</f>
        <v/>
      </c>
      <c r="M283" s="4" t="str">
        <f>IF($I283="Complete","Green",IF($H283="","Amber",IF($H283&lt;'[2]Read Me'!$B$4,"Red",IF($H283-'[2]Read Me'!$B$4&lt;=21,"Amber","Green"))))</f>
        <v>Amber</v>
      </c>
      <c r="N283" s="3"/>
      <c r="O283" t="str">
        <f>IF($I283&lt;&gt;"Complete",IF(COUNTIFS($A$4:$A282,$A283,$B$4:$B282,$B283,$I$4:$I282,"&lt;&gt;Complete")=0,$A283&amp;"|"&amp;$B283,""),"")</f>
        <v>|</v>
      </c>
      <c r="P283" t="str">
        <f ca="1">IF($K283="Yes",COUNTIFS($K$4:$K283,"Yes"),"")</f>
        <v/>
      </c>
      <c r="Q283">
        <f t="shared" ca="1" si="15"/>
        <v>0</v>
      </c>
      <c r="R283" t="str">
        <f ca="1">IF($Q283=1,SUM($Q$4:$Q283),"")</f>
        <v/>
      </c>
    </row>
    <row r="284" spans="1:18" ht="14.25" customHeight="1" x14ac:dyDescent="0.3">
      <c r="A284" s="2"/>
      <c r="B284" s="2"/>
      <c r="C284" s="3"/>
      <c r="D284" s="3"/>
      <c r="E284" s="2"/>
      <c r="F284" s="2"/>
      <c r="G284" s="5"/>
      <c r="H284" s="5"/>
      <c r="I284" s="4"/>
      <c r="J284" s="6" t="str">
        <f t="shared" si="14"/>
        <v/>
      </c>
      <c r="K284" s="4" t="str">
        <f t="shared" ca="1" si="16"/>
        <v/>
      </c>
      <c r="L284" s="7" t="str">
        <f>IF($H284="","",$H284-'[2]Read Me'!$B$4)</f>
        <v/>
      </c>
      <c r="M284" s="4" t="str">
        <f>IF($I284="Complete","Green",IF($H284="","Amber",IF($H284&lt;'[2]Read Me'!$B$4,"Red",IF($H284-'[2]Read Me'!$B$4&lt;=21,"Amber","Green"))))</f>
        <v>Amber</v>
      </c>
      <c r="N284" s="3"/>
      <c r="O284" t="str">
        <f>IF($I284&lt;&gt;"Complete",IF(COUNTIFS($A$4:$A283,$A284,$B$4:$B283,$B284,$I$4:$I283,"&lt;&gt;Complete")=0,$A284&amp;"|"&amp;$B284,""),"")</f>
        <v>|</v>
      </c>
      <c r="P284" t="str">
        <f ca="1">IF($K284="Yes",COUNTIFS($K$4:$K284,"Yes"),"")</f>
        <v/>
      </c>
      <c r="Q284">
        <f t="shared" ca="1" si="15"/>
        <v>0</v>
      </c>
      <c r="R284" t="str">
        <f ca="1">IF($Q284=1,SUM($Q$4:$Q284),"")</f>
        <v/>
      </c>
    </row>
    <row r="285" spans="1:18" ht="14.25" customHeight="1" x14ac:dyDescent="0.3">
      <c r="A285" s="2"/>
      <c r="B285" s="2"/>
      <c r="C285" s="3"/>
      <c r="D285" s="3"/>
      <c r="E285" s="2"/>
      <c r="F285" s="2"/>
      <c r="G285" s="5"/>
      <c r="H285" s="5"/>
      <c r="I285" s="4"/>
      <c r="J285" s="6" t="str">
        <f t="shared" si="14"/>
        <v/>
      </c>
      <c r="K285" s="4" t="str">
        <f t="shared" ca="1" si="16"/>
        <v/>
      </c>
      <c r="L285" s="7" t="str">
        <f>IF($H285="","",$H285-'[2]Read Me'!$B$4)</f>
        <v/>
      </c>
      <c r="M285" s="4" t="str">
        <f>IF($I285="Complete","Green",IF($H285="","Amber",IF($H285&lt;'[2]Read Me'!$B$4,"Red",IF($H285-'[2]Read Me'!$B$4&lt;=21,"Amber","Green"))))</f>
        <v>Amber</v>
      </c>
      <c r="N285" s="3"/>
      <c r="O285" t="str">
        <f>IF($I285&lt;&gt;"Complete",IF(COUNTIFS($A$4:$A284,$A285,$B$4:$B284,$B285,$I$4:$I284,"&lt;&gt;Complete")=0,$A285&amp;"|"&amp;$B285,""),"")</f>
        <v>|</v>
      </c>
      <c r="P285" t="str">
        <f ca="1">IF($K285="Yes",COUNTIFS($K$4:$K285,"Yes"),"")</f>
        <v/>
      </c>
      <c r="Q285">
        <f t="shared" ca="1" si="15"/>
        <v>0</v>
      </c>
      <c r="R285" t="str">
        <f ca="1">IF($Q285=1,SUM($Q$4:$Q285),"")</f>
        <v/>
      </c>
    </row>
    <row r="286" spans="1:18" ht="14.25" customHeight="1" x14ac:dyDescent="0.3">
      <c r="A286" s="2"/>
      <c r="B286" s="2"/>
      <c r="C286" s="3"/>
      <c r="D286" s="3"/>
      <c r="E286" s="2"/>
      <c r="F286" s="2"/>
      <c r="G286" s="5"/>
      <c r="H286" s="5"/>
      <c r="I286" s="4"/>
      <c r="J286" s="6" t="str">
        <f t="shared" si="14"/>
        <v/>
      </c>
      <c r="K286" s="4" t="str">
        <f t="shared" ca="1" si="16"/>
        <v/>
      </c>
      <c r="L286" s="7" t="str">
        <f>IF($H286="","",$H286-'[2]Read Me'!$B$4)</f>
        <v/>
      </c>
      <c r="M286" s="4" t="str">
        <f>IF($I286="Complete","Green",IF($H286="","Amber",IF($H286&lt;'[2]Read Me'!$B$4,"Red",IF($H286-'[2]Read Me'!$B$4&lt;=21,"Amber","Green"))))</f>
        <v>Amber</v>
      </c>
      <c r="N286" s="3"/>
      <c r="O286" t="str">
        <f>IF($I286&lt;&gt;"Complete",IF(COUNTIFS($A$4:$A285,$A286,$B$4:$B285,$B286,$I$4:$I285,"&lt;&gt;Complete")=0,$A286&amp;"|"&amp;$B286,""),"")</f>
        <v>|</v>
      </c>
      <c r="P286" t="str">
        <f ca="1">IF($K286="Yes",COUNTIFS($K$4:$K286,"Yes"),"")</f>
        <v/>
      </c>
      <c r="Q286">
        <f t="shared" ca="1" si="15"/>
        <v>0</v>
      </c>
      <c r="R286" t="str">
        <f ca="1">IF($Q286=1,SUM($Q$4:$Q286),"")</f>
        <v/>
      </c>
    </row>
    <row r="287" spans="1:18" ht="14.25" customHeight="1" x14ac:dyDescent="0.3">
      <c r="A287" s="2"/>
      <c r="B287" s="2"/>
      <c r="C287" s="3"/>
      <c r="D287" s="3"/>
      <c r="E287" s="2"/>
      <c r="F287" s="2"/>
      <c r="G287" s="5"/>
      <c r="H287" s="5"/>
      <c r="I287" s="4"/>
      <c r="J287" s="6" t="str">
        <f t="shared" si="14"/>
        <v/>
      </c>
      <c r="K287" s="4" t="str">
        <f t="shared" ca="1" si="16"/>
        <v/>
      </c>
      <c r="L287" s="7" t="str">
        <f>IF($H287="","",$H287-'[2]Read Me'!$B$4)</f>
        <v/>
      </c>
      <c r="M287" s="4" t="str">
        <f>IF($I287="Complete","Green",IF($H287="","Amber",IF($H287&lt;'[2]Read Me'!$B$4,"Red",IF($H287-'[2]Read Me'!$B$4&lt;=21,"Amber","Green"))))</f>
        <v>Amber</v>
      </c>
      <c r="N287" s="3"/>
      <c r="O287" t="str">
        <f>IF($I287&lt;&gt;"Complete",IF(COUNTIFS($A$4:$A286,$A287,$B$4:$B286,$B287,$I$4:$I286,"&lt;&gt;Complete")=0,$A287&amp;"|"&amp;$B287,""),"")</f>
        <v>|</v>
      </c>
      <c r="P287" t="str">
        <f ca="1">IF($K287="Yes",COUNTIFS($K$4:$K287,"Yes"),"")</f>
        <v/>
      </c>
      <c r="Q287">
        <f t="shared" ca="1" si="15"/>
        <v>0</v>
      </c>
      <c r="R287" t="str">
        <f ca="1">IF($Q287=1,SUM($Q$4:$Q287),"")</f>
        <v/>
      </c>
    </row>
    <row r="288" spans="1:18" ht="14.25" customHeight="1" x14ac:dyDescent="0.3">
      <c r="A288" s="2"/>
      <c r="B288" s="2"/>
      <c r="C288" s="3"/>
      <c r="D288" s="3"/>
      <c r="E288" s="2"/>
      <c r="F288" s="2"/>
      <c r="G288" s="5"/>
      <c r="H288" s="5"/>
      <c r="I288" s="4"/>
      <c r="J288" s="6" t="str">
        <f t="shared" si="14"/>
        <v/>
      </c>
      <c r="K288" s="4" t="str">
        <f t="shared" ca="1" si="16"/>
        <v/>
      </c>
      <c r="L288" s="7" t="str">
        <f>IF($H288="","",$H288-'[2]Read Me'!$B$4)</f>
        <v/>
      </c>
      <c r="M288" s="4" t="str">
        <f>IF($I288="Complete","Green",IF($H288="","Amber",IF($H288&lt;'[2]Read Me'!$B$4,"Red",IF($H288-'[2]Read Me'!$B$4&lt;=21,"Amber","Green"))))</f>
        <v>Amber</v>
      </c>
      <c r="N288" s="3"/>
      <c r="O288" t="str">
        <f>IF($I288&lt;&gt;"Complete",IF(COUNTIFS($A$4:$A287,$A288,$B$4:$B287,$B288,$I$4:$I287,"&lt;&gt;Complete")=0,$A288&amp;"|"&amp;$B288,""),"")</f>
        <v>|</v>
      </c>
      <c r="P288" t="str">
        <f ca="1">IF($K288="Yes",COUNTIFS($K$4:$K288,"Yes"),"")</f>
        <v/>
      </c>
      <c r="Q288">
        <f t="shared" ca="1" si="15"/>
        <v>0</v>
      </c>
      <c r="R288" t="str">
        <f ca="1">IF($Q288=1,SUM($Q$4:$Q288),"")</f>
        <v/>
      </c>
    </row>
    <row r="289" spans="1:18" ht="14.25" customHeight="1" x14ac:dyDescent="0.3">
      <c r="A289" s="2"/>
      <c r="B289" s="2"/>
      <c r="C289" s="3"/>
      <c r="D289" s="3"/>
      <c r="E289" s="2"/>
      <c r="F289" s="2"/>
      <c r="G289" s="5"/>
      <c r="H289" s="5"/>
      <c r="I289" s="4"/>
      <c r="J289" s="6" t="str">
        <f t="shared" si="14"/>
        <v/>
      </c>
      <c r="K289" s="4" t="str">
        <f t="shared" ca="1" si="16"/>
        <v/>
      </c>
      <c r="L289" s="7" t="str">
        <f>IF($H289="","",$H289-'[2]Read Me'!$B$4)</f>
        <v/>
      </c>
      <c r="M289" s="4" t="str">
        <f>IF($I289="Complete","Green",IF($H289="","Amber",IF($H289&lt;'[2]Read Me'!$B$4,"Red",IF($H289-'[2]Read Me'!$B$4&lt;=21,"Amber","Green"))))</f>
        <v>Amber</v>
      </c>
      <c r="N289" s="3"/>
      <c r="O289" t="str">
        <f>IF($I289&lt;&gt;"Complete",IF(COUNTIFS($A$4:$A288,$A289,$B$4:$B288,$B289,$I$4:$I288,"&lt;&gt;Complete")=0,$A289&amp;"|"&amp;$B289,""),"")</f>
        <v>|</v>
      </c>
      <c r="P289" t="str">
        <f ca="1">IF($K289="Yes",COUNTIFS($K$4:$K289,"Yes"),"")</f>
        <v/>
      </c>
      <c r="Q289">
        <f t="shared" ca="1" si="15"/>
        <v>0</v>
      </c>
      <c r="R289" t="str">
        <f ca="1">IF($Q289=1,SUM($Q$4:$Q289),"")</f>
        <v/>
      </c>
    </row>
    <row r="290" spans="1:18" ht="14.25" customHeight="1" x14ac:dyDescent="0.3">
      <c r="A290" s="2"/>
      <c r="B290" s="2"/>
      <c r="C290" s="3"/>
      <c r="D290" s="3"/>
      <c r="E290" s="2"/>
      <c r="F290" s="2"/>
      <c r="G290" s="5"/>
      <c r="H290" s="5"/>
      <c r="I290" s="4"/>
      <c r="J290" s="6" t="str">
        <f t="shared" si="14"/>
        <v/>
      </c>
      <c r="K290" s="4" t="str">
        <f t="shared" ca="1" si="16"/>
        <v/>
      </c>
      <c r="L290" s="7" t="str">
        <f>IF($H290="","",$H290-'[2]Read Me'!$B$4)</f>
        <v/>
      </c>
      <c r="M290" s="4" t="str">
        <f>IF($I290="Complete","Green",IF($H290="","Amber",IF($H290&lt;'[2]Read Me'!$B$4,"Red",IF($H290-'[2]Read Me'!$B$4&lt;=21,"Amber","Green"))))</f>
        <v>Amber</v>
      </c>
      <c r="N290" s="3"/>
      <c r="O290" t="str">
        <f>IF($I290&lt;&gt;"Complete",IF(COUNTIFS($A$4:$A289,$A290,$B$4:$B289,$B290,$I$4:$I289,"&lt;&gt;Complete")=0,$A290&amp;"|"&amp;$B290,""),"")</f>
        <v>|</v>
      </c>
      <c r="P290" t="str">
        <f ca="1">IF($K290="Yes",COUNTIFS($K$4:$K290,"Yes"),"")</f>
        <v/>
      </c>
      <c r="Q290">
        <f t="shared" ca="1" si="15"/>
        <v>0</v>
      </c>
      <c r="R290" t="str">
        <f ca="1">IF($Q290=1,SUM($Q$4:$Q290),"")</f>
        <v/>
      </c>
    </row>
    <row r="291" spans="1:18" ht="14.25" customHeight="1" x14ac:dyDescent="0.3">
      <c r="A291" s="2"/>
      <c r="B291" s="2"/>
      <c r="C291" s="3"/>
      <c r="D291" s="3"/>
      <c r="E291" s="2"/>
      <c r="F291" s="2"/>
      <c r="G291" s="5"/>
      <c r="H291" s="5"/>
      <c r="I291" s="4"/>
      <c r="J291" s="6" t="str">
        <f t="shared" si="14"/>
        <v/>
      </c>
      <c r="K291" s="4" t="str">
        <f t="shared" ca="1" si="16"/>
        <v/>
      </c>
      <c r="L291" s="7" t="str">
        <f>IF($H291="","",$H291-'[2]Read Me'!$B$4)</f>
        <v/>
      </c>
      <c r="M291" s="4" t="str">
        <f>IF($I291="Complete","Green",IF($H291="","Amber",IF($H291&lt;'[2]Read Me'!$B$4,"Red",IF($H291-'[2]Read Me'!$B$4&lt;=21,"Amber","Green"))))</f>
        <v>Amber</v>
      </c>
      <c r="N291" s="3"/>
      <c r="O291" t="str">
        <f>IF($I291&lt;&gt;"Complete",IF(COUNTIFS($A$4:$A290,$A291,$B$4:$B290,$B291,$I$4:$I290,"&lt;&gt;Complete")=0,$A291&amp;"|"&amp;$B291,""),"")</f>
        <v>|</v>
      </c>
      <c r="P291" t="str">
        <f ca="1">IF($K291="Yes",COUNTIFS($K$4:$K291,"Yes"),"")</f>
        <v/>
      </c>
      <c r="Q291">
        <f t="shared" ca="1" si="15"/>
        <v>0</v>
      </c>
      <c r="R291" t="str">
        <f ca="1">IF($Q291=1,SUM($Q$4:$Q291),"")</f>
        <v/>
      </c>
    </row>
    <row r="292" spans="1:18" ht="14.25" customHeight="1" x14ac:dyDescent="0.3">
      <c r="A292" s="2"/>
      <c r="B292" s="2"/>
      <c r="C292" s="3"/>
      <c r="D292" s="3"/>
      <c r="E292" s="2"/>
      <c r="F292" s="2"/>
      <c r="G292" s="5"/>
      <c r="H292" s="5"/>
      <c r="I292" s="4"/>
      <c r="J292" s="6" t="str">
        <f t="shared" si="14"/>
        <v/>
      </c>
      <c r="K292" s="4" t="str">
        <f t="shared" ca="1" si="16"/>
        <v/>
      </c>
      <c r="L292" s="7" t="str">
        <f>IF($H292="","",$H292-'[2]Read Me'!$B$4)</f>
        <v/>
      </c>
      <c r="M292" s="4" t="str">
        <f>IF($I292="Complete","Green",IF($H292="","Amber",IF($H292&lt;'[2]Read Me'!$B$4,"Red",IF($H292-'[2]Read Me'!$B$4&lt;=21,"Amber","Green"))))</f>
        <v>Amber</v>
      </c>
      <c r="N292" s="3"/>
      <c r="O292" t="str">
        <f>IF($I292&lt;&gt;"Complete",IF(COUNTIFS($A$4:$A291,$A292,$B$4:$B291,$B292,$I$4:$I291,"&lt;&gt;Complete")=0,$A292&amp;"|"&amp;$B292,""),"")</f>
        <v>|</v>
      </c>
      <c r="P292" t="str">
        <f ca="1">IF($K292="Yes",COUNTIFS($K$4:$K292,"Yes"),"")</f>
        <v/>
      </c>
      <c r="Q292">
        <f t="shared" ca="1" si="15"/>
        <v>0</v>
      </c>
      <c r="R292" t="str">
        <f ca="1">IF($Q292=1,SUM($Q$4:$Q292),"")</f>
        <v/>
      </c>
    </row>
    <row r="293" spans="1:18" ht="22.5" customHeight="1" x14ac:dyDescent="0.3">
      <c r="A293" s="2"/>
      <c r="B293" s="2"/>
      <c r="C293" s="3"/>
      <c r="D293" s="3"/>
      <c r="E293" s="2"/>
      <c r="F293" s="2"/>
      <c r="G293" s="5"/>
      <c r="H293" s="5"/>
      <c r="I293" s="4"/>
      <c r="J293" s="6" t="str">
        <f t="shared" si="14"/>
        <v/>
      </c>
      <c r="K293" s="4" t="str">
        <f t="shared" ca="1" si="16"/>
        <v/>
      </c>
      <c r="L293" s="7" t="str">
        <f>IF($H293="","",$H293-'[2]Read Me'!$B$4)</f>
        <v/>
      </c>
      <c r="M293" s="4" t="str">
        <f>IF($I293="Complete","Green",IF($H293="","Amber",IF($H293&lt;'[2]Read Me'!$B$4,"Red",IF($H293-'[2]Read Me'!$B$4&lt;=21,"Amber","Green"))))</f>
        <v>Amber</v>
      </c>
      <c r="N293" s="3"/>
      <c r="O293" t="str">
        <f>IF($I293&lt;&gt;"Complete",IF(COUNTIFS($A$4:$A292,$A293,$B$4:$B292,$B293,$I$4:$I292,"&lt;&gt;Complete")=0,$A293&amp;"|"&amp;$B293,""),"")</f>
        <v>|</v>
      </c>
      <c r="P293" t="str">
        <f ca="1">IF($K293="Yes",COUNTIFS($K$4:$K293,"Yes"),"")</f>
        <v/>
      </c>
      <c r="Q293">
        <f t="shared" ca="1" si="15"/>
        <v>0</v>
      </c>
      <c r="R293" t="str">
        <f ca="1">IF($Q293=1,SUM($Q$4:$Q293),"")</f>
        <v/>
      </c>
    </row>
    <row r="294" spans="1:18" ht="22.5" customHeight="1" x14ac:dyDescent="0.3">
      <c r="A294" s="2"/>
      <c r="B294" s="2"/>
      <c r="C294" s="3"/>
      <c r="D294" s="3"/>
      <c r="E294" s="2"/>
      <c r="F294" s="2"/>
      <c r="G294" s="5"/>
      <c r="H294" s="5"/>
      <c r="I294" s="4"/>
      <c r="J294" s="6" t="str">
        <f t="shared" si="14"/>
        <v/>
      </c>
      <c r="K294" s="4" t="str">
        <f t="shared" ca="1" si="16"/>
        <v/>
      </c>
      <c r="L294" s="7" t="str">
        <f>IF($H294="","",$H294-'[2]Read Me'!$B$4)</f>
        <v/>
      </c>
      <c r="M294" s="4" t="str">
        <f>IF($I294="Complete","Green",IF($H294="","Amber",IF($H294&lt;'[2]Read Me'!$B$4,"Red",IF($H294-'[2]Read Me'!$B$4&lt;=21,"Amber","Green"))))</f>
        <v>Amber</v>
      </c>
      <c r="N294" s="3"/>
      <c r="O294" t="str">
        <f>IF($I294&lt;&gt;"Complete",IF(COUNTIFS($A$4:$A293,$A294,$B$4:$B293,$B294,$I$4:$I293,"&lt;&gt;Complete")=0,$A294&amp;"|"&amp;$B294,""),"")</f>
        <v>|</v>
      </c>
      <c r="P294" t="str">
        <f ca="1">IF($K294="Yes",COUNTIFS($K$4:$K294,"Yes"),"")</f>
        <v/>
      </c>
      <c r="Q294">
        <f t="shared" ca="1" si="15"/>
        <v>0</v>
      </c>
      <c r="R294" t="str">
        <f ca="1">IF($Q294=1,SUM($Q$4:$Q294),"")</f>
        <v/>
      </c>
    </row>
    <row r="295" spans="1:18" ht="22.5" customHeight="1" x14ac:dyDescent="0.3">
      <c r="A295" s="2"/>
      <c r="B295" s="2"/>
      <c r="C295" s="3"/>
      <c r="D295" s="3"/>
      <c r="E295" s="2"/>
      <c r="F295" s="2"/>
      <c r="G295" s="5"/>
      <c r="H295" s="5"/>
      <c r="I295" s="4"/>
      <c r="J295" s="6" t="str">
        <f t="shared" si="14"/>
        <v/>
      </c>
      <c r="K295" s="4" t="str">
        <f t="shared" ca="1" si="16"/>
        <v/>
      </c>
      <c r="L295" s="7" t="str">
        <f>IF($H295="","",$H295-'[2]Read Me'!$B$4)</f>
        <v/>
      </c>
      <c r="M295" s="4" t="str">
        <f>IF($I295="Complete","Green",IF($H295="","Amber",IF($H295&lt;'[2]Read Me'!$B$4,"Red",IF($H295-'[2]Read Me'!$B$4&lt;=21,"Amber","Green"))))</f>
        <v>Amber</v>
      </c>
      <c r="N295" s="3"/>
      <c r="O295" t="str">
        <f>IF($I295&lt;&gt;"Complete",IF(COUNTIFS($A$4:$A294,$A295,$B$4:$B294,$B295,$I$4:$I294,"&lt;&gt;Complete")=0,$A295&amp;"|"&amp;$B295,""),"")</f>
        <v>|</v>
      </c>
      <c r="P295" t="str">
        <f ca="1">IF($K295="Yes",COUNTIFS($K$4:$K295,"Yes"),"")</f>
        <v/>
      </c>
      <c r="Q295">
        <f t="shared" ca="1" si="15"/>
        <v>0</v>
      </c>
      <c r="R295" t="str">
        <f ca="1">IF($Q295=1,SUM($Q$4:$Q295),"")</f>
        <v/>
      </c>
    </row>
    <row r="296" spans="1:18" ht="22.5" customHeight="1" x14ac:dyDescent="0.3">
      <c r="A296" s="2"/>
      <c r="B296" s="2"/>
      <c r="C296" s="3"/>
      <c r="D296" s="3"/>
      <c r="E296" s="2"/>
      <c r="F296" s="2"/>
      <c r="G296" s="5"/>
      <c r="H296" s="5"/>
      <c r="I296" s="4"/>
      <c r="J296" s="6" t="str">
        <f t="shared" si="14"/>
        <v/>
      </c>
      <c r="K296" s="4" t="str">
        <f t="shared" ca="1" si="16"/>
        <v/>
      </c>
      <c r="L296" s="7" t="str">
        <f>IF($H296="","",$H296-'[2]Read Me'!$B$4)</f>
        <v/>
      </c>
      <c r="M296" s="4" t="str">
        <f>IF($I296="Complete","Green",IF($H296="","Amber",IF($H296&lt;'[2]Read Me'!$B$4,"Red",IF($H296-'[2]Read Me'!$B$4&lt;=21,"Amber","Green"))))</f>
        <v>Amber</v>
      </c>
      <c r="N296" s="3"/>
      <c r="O296" t="str">
        <f>IF($I296&lt;&gt;"Complete",IF(COUNTIFS($A$4:$A295,$A296,$B$4:$B295,$B296,$I$4:$I295,"&lt;&gt;Complete")=0,$A296&amp;"|"&amp;$B296,""),"")</f>
        <v>|</v>
      </c>
      <c r="P296" t="str">
        <f ca="1">IF($K296="Yes",COUNTIFS($K$4:$K296,"Yes"),"")</f>
        <v/>
      </c>
      <c r="Q296">
        <f t="shared" ca="1" si="15"/>
        <v>0</v>
      </c>
      <c r="R296" t="str">
        <f ca="1">IF($Q296=1,SUM($Q$4:$Q296),"")</f>
        <v/>
      </c>
    </row>
    <row r="297" spans="1:18" ht="22.5" customHeight="1" x14ac:dyDescent="0.3">
      <c r="A297" s="2"/>
      <c r="B297" s="2"/>
      <c r="C297" s="3"/>
      <c r="D297" s="3"/>
      <c r="E297" s="2"/>
      <c r="F297" s="2"/>
      <c r="G297" s="5"/>
      <c r="H297" s="5"/>
      <c r="I297" s="4"/>
      <c r="J297" s="6" t="str">
        <f t="shared" si="14"/>
        <v/>
      </c>
      <c r="K297" s="4" t="str">
        <f t="shared" ca="1" si="16"/>
        <v/>
      </c>
      <c r="L297" s="7" t="str">
        <f>IF($H297="","",$H297-'[2]Read Me'!$B$4)</f>
        <v/>
      </c>
      <c r="M297" s="4" t="str">
        <f>IF($I297="Complete","Green",IF($H297="","Amber",IF($H297&lt;'[2]Read Me'!$B$4,"Red",IF($H297-'[2]Read Me'!$B$4&lt;=21,"Amber","Green"))))</f>
        <v>Amber</v>
      </c>
      <c r="N297" s="3"/>
      <c r="O297" t="str">
        <f>IF($I297&lt;&gt;"Complete",IF(COUNTIFS($A$4:$A296,$A297,$B$4:$B296,$B297,$I$4:$I296,"&lt;&gt;Complete")=0,$A297&amp;"|"&amp;$B297,""),"")</f>
        <v>|</v>
      </c>
      <c r="P297" t="str">
        <f ca="1">IF($K297="Yes",COUNTIFS($K$4:$K297,"Yes"),"")</f>
        <v/>
      </c>
      <c r="Q297">
        <f t="shared" ca="1" si="15"/>
        <v>0</v>
      </c>
      <c r="R297" t="str">
        <f ca="1">IF($Q297=1,SUM($Q$4:$Q297),"")</f>
        <v/>
      </c>
    </row>
    <row r="298" spans="1:18" ht="22.5" customHeight="1" x14ac:dyDescent="0.3">
      <c r="A298" s="2"/>
      <c r="B298" s="2"/>
      <c r="C298" s="3"/>
      <c r="D298" s="3"/>
      <c r="E298" s="2"/>
      <c r="F298" s="2"/>
      <c r="G298" s="5"/>
      <c r="H298" s="5"/>
      <c r="I298" s="4"/>
      <c r="J298" s="6" t="str">
        <f t="shared" si="14"/>
        <v/>
      </c>
      <c r="K298" s="4" t="str">
        <f t="shared" ca="1" si="16"/>
        <v/>
      </c>
      <c r="L298" s="7" t="str">
        <f>IF($H298="","",$H298-'[2]Read Me'!$B$4)</f>
        <v/>
      </c>
      <c r="M298" s="4" t="str">
        <f>IF($I298="Complete","Green",IF($H298="","Amber",IF($H298&lt;'[2]Read Me'!$B$4,"Red",IF($H298-'[2]Read Me'!$B$4&lt;=21,"Amber","Green"))))</f>
        <v>Amber</v>
      </c>
      <c r="N298" s="3"/>
      <c r="O298" t="str">
        <f>IF($I298&lt;&gt;"Complete",IF(COUNTIFS($A$4:$A297,$A298,$B$4:$B297,$B298,$I$4:$I297,"&lt;&gt;Complete")=0,$A298&amp;"|"&amp;$B298,""),"")</f>
        <v>|</v>
      </c>
      <c r="P298" t="str">
        <f ca="1">IF($K298="Yes",COUNTIFS($K$4:$K298,"Yes"),"")</f>
        <v/>
      </c>
      <c r="Q298">
        <f t="shared" ca="1" si="15"/>
        <v>0</v>
      </c>
      <c r="R298" t="str">
        <f ca="1">IF($Q298=1,SUM($Q$4:$Q298),"")</f>
        <v/>
      </c>
    </row>
    <row r="299" spans="1:18" ht="22.5" customHeight="1" x14ac:dyDescent="0.3">
      <c r="A299" s="2"/>
      <c r="B299" s="2"/>
      <c r="C299" s="3"/>
      <c r="D299" s="3"/>
      <c r="E299" s="2"/>
      <c r="F299" s="2"/>
      <c r="G299" s="5"/>
      <c r="H299" s="5"/>
      <c r="I299" s="4"/>
      <c r="J299" s="6" t="str">
        <f t="shared" si="14"/>
        <v/>
      </c>
      <c r="K299" s="4" t="str">
        <f t="shared" ca="1" si="16"/>
        <v/>
      </c>
      <c r="L299" s="7" t="str">
        <f>IF($H299="","",$H299-'[2]Read Me'!$B$4)</f>
        <v/>
      </c>
      <c r="M299" s="4" t="str">
        <f>IF($I299="Complete","Green",IF($H299="","Amber",IF($H299&lt;'[2]Read Me'!$B$4,"Red",IF($H299-'[2]Read Me'!$B$4&lt;=21,"Amber","Green"))))</f>
        <v>Amber</v>
      </c>
      <c r="N299" s="3"/>
      <c r="O299" t="str">
        <f>IF($I299&lt;&gt;"Complete",IF(COUNTIFS($A$4:$A298,$A299,$B$4:$B298,$B299,$I$4:$I298,"&lt;&gt;Complete")=0,$A299&amp;"|"&amp;$B299,""),"")</f>
        <v>|</v>
      </c>
      <c r="P299" t="str">
        <f ca="1">IF($K299="Yes",COUNTIFS($K$4:$K299,"Yes"),"")</f>
        <v/>
      </c>
      <c r="Q299">
        <f t="shared" ca="1" si="15"/>
        <v>0</v>
      </c>
      <c r="R299" t="str">
        <f ca="1">IF($Q299=1,SUM($Q$4:$Q299),"")</f>
        <v/>
      </c>
    </row>
    <row r="300" spans="1:18" ht="22.5" customHeight="1" x14ac:dyDescent="0.3">
      <c r="A300" s="2"/>
      <c r="B300" s="2"/>
      <c r="C300" s="3"/>
      <c r="D300" s="3"/>
      <c r="E300" s="2"/>
      <c r="F300" s="2"/>
      <c r="G300" s="5"/>
      <c r="H300" s="5"/>
      <c r="I300" s="4"/>
      <c r="J300" s="6" t="str">
        <f t="shared" si="14"/>
        <v/>
      </c>
      <c r="K300" s="4" t="str">
        <f t="shared" ca="1" si="16"/>
        <v/>
      </c>
      <c r="L300" s="7" t="str">
        <f>IF($H300="","",$H300-'[2]Read Me'!$B$4)</f>
        <v/>
      </c>
      <c r="M300" s="4" t="str">
        <f>IF($I300="Complete","Green",IF($H300="","Amber",IF($H300&lt;'[2]Read Me'!$B$4,"Red",IF($H300-'[2]Read Me'!$B$4&lt;=21,"Amber","Green"))))</f>
        <v>Amber</v>
      </c>
      <c r="N300" s="3"/>
      <c r="O300" t="str">
        <f>IF($I300&lt;&gt;"Complete",IF(COUNTIFS($A$4:$A299,$A300,$B$4:$B299,$B300,$I$4:$I299,"&lt;&gt;Complete")=0,$A300&amp;"|"&amp;$B300,""),"")</f>
        <v>|</v>
      </c>
      <c r="P300" t="str">
        <f ca="1">IF($K300="Yes",COUNTIFS($K$4:$K300,"Yes"),"")</f>
        <v/>
      </c>
      <c r="Q300">
        <f t="shared" ca="1" si="15"/>
        <v>0</v>
      </c>
      <c r="R300" t="str">
        <f ca="1">IF($Q300=1,SUM($Q$4:$Q300),"")</f>
        <v/>
      </c>
    </row>
    <row r="301" spans="1:18" ht="22.5" customHeight="1" x14ac:dyDescent="0.3">
      <c r="A301" s="2"/>
      <c r="B301" s="2"/>
      <c r="C301" s="3"/>
      <c r="D301" s="3"/>
      <c r="E301" s="2"/>
      <c r="F301" s="2"/>
      <c r="G301" s="5"/>
      <c r="H301" s="5"/>
      <c r="I301" s="4"/>
      <c r="J301" s="6" t="str">
        <f t="shared" si="14"/>
        <v/>
      </c>
      <c r="K301" s="4" t="str">
        <f t="shared" ca="1" si="16"/>
        <v/>
      </c>
      <c r="L301" s="7" t="str">
        <f>IF($H301="","",$H301-'[2]Read Me'!$B$4)</f>
        <v/>
      </c>
      <c r="M301" s="4" t="str">
        <f>IF($I301="Complete","Green",IF($H301="","Amber",IF($H301&lt;'[2]Read Me'!$B$4,"Red",IF($H301-'[2]Read Me'!$B$4&lt;=21,"Amber","Green"))))</f>
        <v>Amber</v>
      </c>
      <c r="N301" s="3"/>
      <c r="O301" t="str">
        <f>IF($I301&lt;&gt;"Complete",IF(COUNTIFS($A$4:$A300,$A301,$B$4:$B300,$B301,$I$4:$I300,"&lt;&gt;Complete")=0,$A301&amp;"|"&amp;$B301,""),"")</f>
        <v>|</v>
      </c>
      <c r="P301" t="str">
        <f ca="1">IF($K301="Yes",COUNTIFS($K$4:$K301,"Yes"),"")</f>
        <v/>
      </c>
      <c r="Q301">
        <f t="shared" ca="1" si="15"/>
        <v>0</v>
      </c>
      <c r="R301" t="str">
        <f ca="1">IF($Q301=1,SUM($Q$4:$Q301),"")</f>
        <v/>
      </c>
    </row>
    <row r="302" spans="1:18" ht="22.5" customHeight="1" x14ac:dyDescent="0.3">
      <c r="A302" s="2"/>
      <c r="B302" s="2"/>
      <c r="C302" s="3"/>
      <c r="D302" s="3"/>
      <c r="E302" s="2"/>
      <c r="F302" s="2"/>
      <c r="G302" s="5"/>
      <c r="H302" s="5"/>
      <c r="I302" s="4"/>
      <c r="J302" s="6" t="str">
        <f t="shared" si="14"/>
        <v/>
      </c>
      <c r="K302" s="4" t="str">
        <f t="shared" ca="1" si="16"/>
        <v/>
      </c>
      <c r="L302" s="7" t="str">
        <f>IF($H302="","",$H302-'[2]Read Me'!$B$4)</f>
        <v/>
      </c>
      <c r="M302" s="4" t="str">
        <f>IF($I302="Complete","Green",IF($H302="","Amber",IF($H302&lt;'[2]Read Me'!$B$4,"Red",IF($H302-'[2]Read Me'!$B$4&lt;=21,"Amber","Green"))))</f>
        <v>Amber</v>
      </c>
      <c r="N302" s="3"/>
      <c r="O302" t="str">
        <f>IF($I302&lt;&gt;"Complete",IF(COUNTIFS($A$4:$A301,$A302,$B$4:$B301,$B302,$I$4:$I301,"&lt;&gt;Complete")=0,$A302&amp;"|"&amp;$B302,""),"")</f>
        <v>|</v>
      </c>
      <c r="P302" t="str">
        <f ca="1">IF($K302="Yes",COUNTIFS($K$4:$K302,"Yes"),"")</f>
        <v/>
      </c>
      <c r="Q302">
        <f t="shared" ca="1" si="15"/>
        <v>0</v>
      </c>
      <c r="R302" t="str">
        <f ca="1">IF($Q302=1,SUM($Q$4:$Q302),"")</f>
        <v/>
      </c>
    </row>
    <row r="303" spans="1:18" ht="22.5" customHeight="1" x14ac:dyDescent="0.3">
      <c r="A303" s="2"/>
      <c r="B303" s="2"/>
      <c r="C303" s="3"/>
      <c r="D303" s="3"/>
      <c r="E303" s="2"/>
      <c r="F303" s="2"/>
      <c r="G303" s="5"/>
      <c r="H303" s="5"/>
      <c r="I303" s="4"/>
      <c r="J303" s="6" t="str">
        <f t="shared" si="14"/>
        <v/>
      </c>
      <c r="K303" s="4" t="str">
        <f t="shared" ca="1" si="16"/>
        <v/>
      </c>
      <c r="L303" s="7" t="str">
        <f>IF($H303="","",$H303-'[2]Read Me'!$B$4)</f>
        <v/>
      </c>
      <c r="M303" s="4" t="str">
        <f>IF($I303="Complete","Green",IF($H303="","Amber",IF($H303&lt;'[2]Read Me'!$B$4,"Red",IF($H303-'[2]Read Me'!$B$4&lt;=21,"Amber","Green"))))</f>
        <v>Amber</v>
      </c>
      <c r="N303" s="3"/>
      <c r="O303" t="str">
        <f>IF($I303&lt;&gt;"Complete",IF(COUNTIFS($A$4:$A302,$A303,$B$4:$B302,$B303,$I$4:$I302,"&lt;&gt;Complete")=0,$A303&amp;"|"&amp;$B303,""),"")</f>
        <v>|</v>
      </c>
      <c r="P303" t="str">
        <f ca="1">IF($K303="Yes",COUNTIFS($K$4:$K303,"Yes"),"")</f>
        <v/>
      </c>
      <c r="Q303">
        <f t="shared" ca="1" si="15"/>
        <v>0</v>
      </c>
      <c r="R303" t="str">
        <f ca="1">IF($Q303=1,SUM($Q$4:$Q303),"")</f>
        <v/>
      </c>
    </row>
    <row r="304" spans="1:18" ht="22.5" customHeight="1" x14ac:dyDescent="0.3">
      <c r="A304" s="2"/>
      <c r="B304" s="2"/>
      <c r="C304" s="3"/>
      <c r="D304" s="3"/>
      <c r="E304" s="2"/>
      <c r="F304" s="2"/>
      <c r="G304" s="5"/>
      <c r="H304" s="5"/>
      <c r="I304" s="4"/>
      <c r="J304" s="6" t="str">
        <f t="shared" si="14"/>
        <v/>
      </c>
      <c r="K304" s="4" t="str">
        <f t="shared" ca="1" si="16"/>
        <v/>
      </c>
      <c r="L304" s="7" t="str">
        <f>IF($H304="","",$H304-'[2]Read Me'!$B$4)</f>
        <v/>
      </c>
      <c r="M304" s="4" t="str">
        <f>IF($I304="Complete","Green",IF($H304="","Amber",IF($H304&lt;'[2]Read Me'!$B$4,"Red",IF($H304-'[2]Read Me'!$B$4&lt;=21,"Amber","Green"))))</f>
        <v>Amber</v>
      </c>
      <c r="N304" s="3"/>
      <c r="O304" t="str">
        <f>IF($I304&lt;&gt;"Complete",IF(COUNTIFS($A$4:$A303,$A304,$B$4:$B303,$B304,$I$4:$I303,"&lt;&gt;Complete")=0,$A304&amp;"|"&amp;$B304,""),"")</f>
        <v>|</v>
      </c>
      <c r="P304" t="str">
        <f ca="1">IF($K304="Yes",COUNTIFS($K$4:$K304,"Yes"),"")</f>
        <v/>
      </c>
      <c r="Q304">
        <f t="shared" ca="1" si="15"/>
        <v>0</v>
      </c>
      <c r="R304" t="str">
        <f ca="1">IF($Q304=1,SUM($Q$4:$Q304),"")</f>
        <v/>
      </c>
    </row>
    <row r="305" spans="1:18" ht="22.5" customHeight="1" x14ac:dyDescent="0.3">
      <c r="A305" s="2"/>
      <c r="B305" s="2"/>
      <c r="C305" s="3"/>
      <c r="D305" s="3"/>
      <c r="E305" s="2"/>
      <c r="F305" s="2"/>
      <c r="G305" s="5"/>
      <c r="H305" s="5"/>
      <c r="I305" s="4"/>
      <c r="J305" s="6" t="str">
        <f t="shared" si="14"/>
        <v/>
      </c>
      <c r="K305" s="4" t="str">
        <f t="shared" ca="1" si="16"/>
        <v/>
      </c>
      <c r="L305" s="7" t="str">
        <f>IF($H305="","",$H305-'[2]Read Me'!$B$4)</f>
        <v/>
      </c>
      <c r="M305" s="4" t="str">
        <f>IF($I305="Complete","Green",IF($H305="","Amber",IF($H305&lt;'[2]Read Me'!$B$4,"Red",IF($H305-'[2]Read Me'!$B$4&lt;=21,"Amber","Green"))))</f>
        <v>Amber</v>
      </c>
      <c r="N305" s="3"/>
      <c r="O305" t="str">
        <f>IF($I305&lt;&gt;"Complete",IF(COUNTIFS($A$4:$A304,$A305,$B$4:$B304,$B305,$I$4:$I304,"&lt;&gt;Complete")=0,$A305&amp;"|"&amp;$B305,""),"")</f>
        <v>|</v>
      </c>
      <c r="P305" t="str">
        <f ca="1">IF($K305="Yes",COUNTIFS($K$4:$K305,"Yes"),"")</f>
        <v/>
      </c>
      <c r="Q305">
        <f t="shared" ca="1" si="15"/>
        <v>0</v>
      </c>
      <c r="R305" t="str">
        <f ca="1">IF($Q305=1,SUM($Q$4:$Q305),"")</f>
        <v/>
      </c>
    </row>
    <row r="306" spans="1:18" ht="22.5" customHeight="1" x14ac:dyDescent="0.3">
      <c r="A306" s="2"/>
      <c r="B306" s="2"/>
      <c r="C306" s="3"/>
      <c r="D306" s="3"/>
      <c r="E306" s="2"/>
      <c r="F306" s="2"/>
      <c r="G306" s="5"/>
      <c r="H306" s="5"/>
      <c r="I306" s="4"/>
      <c r="J306" s="6" t="str">
        <f t="shared" si="14"/>
        <v/>
      </c>
      <c r="K306" s="4" t="str">
        <f t="shared" ca="1" si="16"/>
        <v/>
      </c>
      <c r="L306" s="7" t="str">
        <f>IF($H306="","",$H306-'[2]Read Me'!$B$4)</f>
        <v/>
      </c>
      <c r="M306" s="4" t="str">
        <f>IF($I306="Complete","Green",IF($H306="","Amber",IF($H306&lt;'[2]Read Me'!$B$4,"Red",IF($H306-'[2]Read Me'!$B$4&lt;=21,"Amber","Green"))))</f>
        <v>Amber</v>
      </c>
      <c r="N306" s="3"/>
      <c r="O306" t="str">
        <f>IF($I306&lt;&gt;"Complete",IF(COUNTIFS($A$4:$A305,$A306,$B$4:$B305,$B306,$I$4:$I305,"&lt;&gt;Complete")=0,$A306&amp;"|"&amp;$B306,""),"")</f>
        <v>|</v>
      </c>
      <c r="P306" t="str">
        <f ca="1">IF($K306="Yes",COUNTIFS($K$4:$K306,"Yes"),"")</f>
        <v/>
      </c>
      <c r="Q306">
        <f t="shared" ca="1" si="15"/>
        <v>0</v>
      </c>
      <c r="R306" t="str">
        <f ca="1">IF($Q306=1,SUM($Q$4:$Q306),"")</f>
        <v/>
      </c>
    </row>
    <row r="307" spans="1:18" ht="22.5" customHeight="1" x14ac:dyDescent="0.3">
      <c r="A307" s="2"/>
      <c r="B307" s="2"/>
      <c r="C307" s="3"/>
      <c r="D307" s="3"/>
      <c r="E307" s="2"/>
      <c r="F307" s="2"/>
      <c r="G307" s="5"/>
      <c r="H307" s="5"/>
      <c r="I307" s="4"/>
      <c r="J307" s="6" t="str">
        <f t="shared" si="14"/>
        <v/>
      </c>
      <c r="K307" s="4" t="str">
        <f t="shared" ca="1" si="16"/>
        <v/>
      </c>
      <c r="L307" s="7" t="str">
        <f>IF($H307="","",$H307-'[2]Read Me'!$B$4)</f>
        <v/>
      </c>
      <c r="M307" s="4" t="str">
        <f>IF($I307="Complete","Green",IF($H307="","Amber",IF($H307&lt;'[2]Read Me'!$B$4,"Red",IF($H307-'[2]Read Me'!$B$4&lt;=21,"Amber","Green"))))</f>
        <v>Amber</v>
      </c>
      <c r="N307" s="3"/>
      <c r="O307" t="str">
        <f>IF($I307&lt;&gt;"Complete",IF(COUNTIFS($A$4:$A306,$A307,$B$4:$B306,$B307,$I$4:$I306,"&lt;&gt;Complete")=0,$A307&amp;"|"&amp;$B307,""),"")</f>
        <v>|</v>
      </c>
      <c r="P307" t="str">
        <f ca="1">IF($K307="Yes",COUNTIFS($K$4:$K307,"Yes"),"")</f>
        <v/>
      </c>
      <c r="Q307">
        <f t="shared" ca="1" si="15"/>
        <v>0</v>
      </c>
      <c r="R307" t="str">
        <f ca="1">IF($Q307=1,SUM($Q$4:$Q307),"")</f>
        <v/>
      </c>
    </row>
    <row r="308" spans="1:18" ht="22.5" customHeight="1" x14ac:dyDescent="0.3">
      <c r="A308" s="2"/>
      <c r="B308" s="2"/>
      <c r="C308" s="3"/>
      <c r="D308" s="3"/>
      <c r="E308" s="2"/>
      <c r="F308" s="2"/>
      <c r="G308" s="5"/>
      <c r="H308" s="5"/>
      <c r="I308" s="4"/>
      <c r="J308" s="6" t="str">
        <f t="shared" si="14"/>
        <v/>
      </c>
      <c r="K308" s="4" t="str">
        <f t="shared" ca="1" si="16"/>
        <v/>
      </c>
      <c r="L308" s="7" t="str">
        <f>IF($H308="","",$H308-'[2]Read Me'!$B$4)</f>
        <v/>
      </c>
      <c r="M308" s="4" t="str">
        <f>IF($I308="Complete","Green",IF($H308="","Amber",IF($H308&lt;'[2]Read Me'!$B$4,"Red",IF($H308-'[2]Read Me'!$B$4&lt;=21,"Amber","Green"))))</f>
        <v>Amber</v>
      </c>
      <c r="N308" s="3"/>
      <c r="O308" t="str">
        <f>IF($I308&lt;&gt;"Complete",IF(COUNTIFS($A$4:$A307,$A308,$B$4:$B307,$B308,$I$4:$I307,"&lt;&gt;Complete")=0,$A308&amp;"|"&amp;$B308,""),"")</f>
        <v>|</v>
      </c>
      <c r="P308" t="str">
        <f ca="1">IF($K308="Yes",COUNTIFS($K$4:$K308,"Yes"),"")</f>
        <v/>
      </c>
      <c r="Q308">
        <f t="shared" ca="1" si="15"/>
        <v>0</v>
      </c>
      <c r="R308" t="str">
        <f ca="1">IF($Q308=1,SUM($Q$4:$Q308),"")</f>
        <v/>
      </c>
    </row>
    <row r="309" spans="1:18" ht="22.5" customHeight="1" x14ac:dyDescent="0.3">
      <c r="A309" s="2"/>
      <c r="B309" s="2"/>
      <c r="C309" s="3"/>
      <c r="D309" s="3"/>
      <c r="E309" s="2"/>
      <c r="F309" s="2"/>
      <c r="G309" s="5"/>
      <c r="H309" s="5"/>
      <c r="I309" s="4"/>
      <c r="J309" s="6" t="str">
        <f t="shared" si="14"/>
        <v/>
      </c>
      <c r="K309" s="4" t="str">
        <f t="shared" ca="1" si="16"/>
        <v/>
      </c>
      <c r="L309" s="7" t="str">
        <f>IF($H309="","",$H309-'[2]Read Me'!$B$4)</f>
        <v/>
      </c>
      <c r="M309" s="4" t="str">
        <f>IF($I309="Complete","Green",IF($H309="","Amber",IF($H309&lt;'[2]Read Me'!$B$4,"Red",IF($H309-'[2]Read Me'!$B$4&lt;=21,"Amber","Green"))))</f>
        <v>Amber</v>
      </c>
      <c r="N309" s="3"/>
      <c r="O309" t="str">
        <f>IF($I309&lt;&gt;"Complete",IF(COUNTIFS($A$4:$A308,$A309,$B$4:$B308,$B309,$I$4:$I308,"&lt;&gt;Complete")=0,$A309&amp;"|"&amp;$B309,""),"")</f>
        <v>|</v>
      </c>
      <c r="P309" t="str">
        <f ca="1">IF($K309="Yes",COUNTIFS($K$4:$K309,"Yes"),"")</f>
        <v/>
      </c>
      <c r="Q309">
        <f t="shared" ca="1" si="15"/>
        <v>0</v>
      </c>
      <c r="R309" t="str">
        <f ca="1">IF($Q309=1,SUM($Q$4:$Q309),"")</f>
        <v/>
      </c>
    </row>
    <row r="310" spans="1:18" ht="14.25" customHeight="1" x14ac:dyDescent="0.3">
      <c r="A310" s="2"/>
      <c r="B310" s="2"/>
      <c r="C310" s="3"/>
      <c r="D310" s="3"/>
      <c r="E310" s="2"/>
      <c r="F310" s="2"/>
      <c r="G310" s="5"/>
      <c r="H310" s="5"/>
      <c r="I310" s="4"/>
      <c r="J310" s="6" t="str">
        <f t="shared" si="14"/>
        <v/>
      </c>
      <c r="K310" s="4" t="str">
        <f t="shared" ca="1" si="16"/>
        <v/>
      </c>
      <c r="L310" s="7" t="str">
        <f>IF($H310="","",$H310-'[2]Read Me'!$B$4)</f>
        <v/>
      </c>
      <c r="M310" s="4" t="str">
        <f>IF($I310="Complete","Green",IF($H310="","Amber",IF($H310&lt;'[2]Read Me'!$B$4,"Red",IF($H310-'[2]Read Me'!$B$4&lt;=21,"Amber","Green"))))</f>
        <v>Amber</v>
      </c>
      <c r="N310" s="3"/>
      <c r="O310" t="str">
        <f>IF($I310&lt;&gt;"Complete",IF(COUNTIFS($A$4:$A309,$A310,$B$4:$B309,$B310,$I$4:$I309,"&lt;&gt;Complete")=0,$A310&amp;"|"&amp;$B310,""),"")</f>
        <v>|</v>
      </c>
      <c r="P310" t="str">
        <f ca="1">IF($K310="Yes",COUNTIFS($K$4:$K310,"Yes"),"")</f>
        <v/>
      </c>
      <c r="Q310">
        <f t="shared" ca="1" si="15"/>
        <v>0</v>
      </c>
      <c r="R310" t="str">
        <f ca="1">IF($Q310=1,SUM($Q$4:$Q310),"")</f>
        <v/>
      </c>
    </row>
    <row r="311" spans="1:18" ht="14.25" customHeight="1" x14ac:dyDescent="0.3">
      <c r="A311" s="2"/>
      <c r="B311" s="2"/>
      <c r="C311" s="3"/>
      <c r="D311" s="3"/>
      <c r="E311" s="2"/>
      <c r="F311" s="2"/>
      <c r="G311" s="5"/>
      <c r="H311" s="5"/>
      <c r="I311" s="4"/>
      <c r="J311" s="6" t="str">
        <f t="shared" si="14"/>
        <v/>
      </c>
      <c r="K311" s="4" t="str">
        <f t="shared" ca="1" si="16"/>
        <v/>
      </c>
      <c r="L311" s="7" t="str">
        <f>IF($H311="","",$H311-'[2]Read Me'!$B$4)</f>
        <v/>
      </c>
      <c r="M311" s="4" t="str">
        <f>IF($I311="Complete","Green",IF($H311="","Amber",IF($H311&lt;'[2]Read Me'!$B$4,"Red",IF($H311-'[2]Read Me'!$B$4&lt;=21,"Amber","Green"))))</f>
        <v>Amber</v>
      </c>
      <c r="N311" s="3"/>
      <c r="O311" t="str">
        <f>IF($I311&lt;&gt;"Complete",IF(COUNTIFS($A$4:$A310,$A311,$B$4:$B310,$B311,$I$4:$I310,"&lt;&gt;Complete")=0,$A311&amp;"|"&amp;$B311,""),"")</f>
        <v>|</v>
      </c>
      <c r="P311" t="str">
        <f ca="1">IF($K311="Yes",COUNTIFS($K$4:$K311,"Yes"),"")</f>
        <v/>
      </c>
      <c r="Q311">
        <f t="shared" ca="1" si="15"/>
        <v>0</v>
      </c>
      <c r="R311" t="str">
        <f ca="1">IF($Q311=1,SUM($Q$4:$Q311),"")</f>
        <v/>
      </c>
    </row>
    <row r="312" spans="1:18" ht="14.25" customHeight="1" x14ac:dyDescent="0.3">
      <c r="A312" s="2"/>
      <c r="B312" s="2"/>
      <c r="C312" s="3"/>
      <c r="D312" s="3"/>
      <c r="E312" s="2"/>
      <c r="F312" s="2"/>
      <c r="G312" s="5"/>
      <c r="H312" s="5"/>
      <c r="I312" s="4"/>
      <c r="J312" s="6" t="str">
        <f t="shared" si="14"/>
        <v/>
      </c>
      <c r="K312" s="4" t="str">
        <f t="shared" ca="1" si="16"/>
        <v/>
      </c>
      <c r="L312" s="7" t="str">
        <f>IF($H312="","",$H312-'[2]Read Me'!$B$4)</f>
        <v/>
      </c>
      <c r="M312" s="4" t="str">
        <f>IF($I312="Complete","Green",IF($H312="","Amber",IF($H312&lt;'[2]Read Me'!$B$4,"Red",IF($H312-'[2]Read Me'!$B$4&lt;=21,"Amber","Green"))))</f>
        <v>Amber</v>
      </c>
      <c r="N312" s="3"/>
      <c r="O312" t="str">
        <f>IF($I312&lt;&gt;"Complete",IF(COUNTIFS($A$4:$A311,$A312,$B$4:$B311,$B312,$I$4:$I311,"&lt;&gt;Complete")=0,$A312&amp;"|"&amp;$B312,""),"")</f>
        <v>|</v>
      </c>
      <c r="P312" t="str">
        <f ca="1">IF($K312="Yes",COUNTIFS($K$4:$K312,"Yes"),"")</f>
        <v/>
      </c>
      <c r="Q312">
        <f t="shared" ca="1" si="15"/>
        <v>0</v>
      </c>
      <c r="R312" t="str">
        <f ca="1">IF($Q312=1,SUM($Q$4:$Q312),"")</f>
        <v/>
      </c>
    </row>
    <row r="313" spans="1:18" x14ac:dyDescent="0.3">
      <c r="G313" s="9"/>
      <c r="H313" s="9"/>
    </row>
    <row r="314" spans="1:18" x14ac:dyDescent="0.3">
      <c r="G314" s="9"/>
      <c r="H314" s="9"/>
    </row>
    <row r="315" spans="1:18" x14ac:dyDescent="0.3">
      <c r="G315" s="9"/>
      <c r="H315" s="9"/>
    </row>
    <row r="316" spans="1:18" x14ac:dyDescent="0.3">
      <c r="G316" s="9"/>
      <c r="H316" s="9"/>
    </row>
    <row r="317" spans="1:18" x14ac:dyDescent="0.3">
      <c r="G317" s="9"/>
      <c r="H317" s="9"/>
    </row>
    <row r="318" spans="1:18" x14ac:dyDescent="0.3">
      <c r="G318" s="9"/>
      <c r="H318" s="9"/>
    </row>
    <row r="319" spans="1:18" x14ac:dyDescent="0.3">
      <c r="G319" s="9"/>
      <c r="H319" s="9"/>
    </row>
    <row r="320" spans="1:18" x14ac:dyDescent="0.3">
      <c r="G320" s="9"/>
      <c r="H320" s="9"/>
    </row>
    <row r="321" spans="7:8" x14ac:dyDescent="0.3">
      <c r="G321" s="9"/>
      <c r="H321" s="9"/>
    </row>
    <row r="322" spans="7:8" x14ac:dyDescent="0.3">
      <c r="G322" s="9"/>
      <c r="H322" s="9"/>
    </row>
    <row r="323" spans="7:8" x14ac:dyDescent="0.3">
      <c r="G323" s="9"/>
      <c r="H323" s="9"/>
    </row>
    <row r="324" spans="7:8" x14ac:dyDescent="0.3">
      <c r="G324" s="9"/>
      <c r="H324" s="9"/>
    </row>
    <row r="325" spans="7:8" x14ac:dyDescent="0.3">
      <c r="G325" s="9"/>
      <c r="H325" s="9"/>
    </row>
    <row r="326" spans="7:8" x14ac:dyDescent="0.3">
      <c r="G326" s="9"/>
      <c r="H326" s="9"/>
    </row>
    <row r="327" spans="7:8" x14ac:dyDescent="0.3">
      <c r="G327" s="9"/>
      <c r="H327" s="9"/>
    </row>
    <row r="328" spans="7:8" x14ac:dyDescent="0.3">
      <c r="G328" s="9"/>
      <c r="H328" s="9"/>
    </row>
    <row r="329" spans="7:8" x14ac:dyDescent="0.3">
      <c r="G329" s="9"/>
      <c r="H329" s="9"/>
    </row>
    <row r="330" spans="7:8" x14ac:dyDescent="0.3">
      <c r="G330" s="9"/>
      <c r="H330" s="9"/>
    </row>
    <row r="331" spans="7:8" x14ac:dyDescent="0.3">
      <c r="G331" s="9"/>
      <c r="H331" s="9"/>
    </row>
    <row r="332" spans="7:8" x14ac:dyDescent="0.3">
      <c r="G332" s="9"/>
      <c r="H332" s="9"/>
    </row>
    <row r="333" spans="7:8" x14ac:dyDescent="0.3">
      <c r="G333" s="9"/>
      <c r="H333" s="9"/>
    </row>
    <row r="334" spans="7:8" x14ac:dyDescent="0.3">
      <c r="G334" s="9"/>
      <c r="H334" s="9"/>
    </row>
    <row r="335" spans="7:8" x14ac:dyDescent="0.3">
      <c r="G335" s="9"/>
      <c r="H335" s="9"/>
    </row>
    <row r="336" spans="7:8" x14ac:dyDescent="0.3">
      <c r="G336" s="9"/>
      <c r="H336" s="9"/>
    </row>
    <row r="337" spans="7:8" x14ac:dyDescent="0.3">
      <c r="G337" s="9"/>
      <c r="H337" s="9"/>
    </row>
    <row r="338" spans="7:8" x14ac:dyDescent="0.3">
      <c r="G338" s="9"/>
      <c r="H338" s="9"/>
    </row>
    <row r="339" spans="7:8" x14ac:dyDescent="0.3">
      <c r="G339" s="9"/>
      <c r="H339" s="9"/>
    </row>
    <row r="340" spans="7:8" x14ac:dyDescent="0.3">
      <c r="G340" s="9"/>
      <c r="H340" s="9"/>
    </row>
    <row r="341" spans="7:8" x14ac:dyDescent="0.3">
      <c r="G341" s="9"/>
      <c r="H341" s="9"/>
    </row>
    <row r="342" spans="7:8" x14ac:dyDescent="0.3">
      <c r="G342" s="9"/>
      <c r="H342" s="9"/>
    </row>
    <row r="343" spans="7:8" x14ac:dyDescent="0.3">
      <c r="G343" s="9"/>
      <c r="H343" s="9"/>
    </row>
    <row r="344" spans="7:8" x14ac:dyDescent="0.3">
      <c r="G344" s="9"/>
      <c r="H344" s="9"/>
    </row>
    <row r="345" spans="7:8" x14ac:dyDescent="0.3">
      <c r="G345" s="9"/>
      <c r="H345" s="9"/>
    </row>
    <row r="346" spans="7:8" x14ac:dyDescent="0.3">
      <c r="G346" s="9"/>
      <c r="H346" s="9"/>
    </row>
    <row r="347" spans="7:8" x14ac:dyDescent="0.3">
      <c r="G347" s="9"/>
      <c r="H347" s="9"/>
    </row>
    <row r="348" spans="7:8" x14ac:dyDescent="0.3">
      <c r="G348" s="9"/>
      <c r="H348" s="9"/>
    </row>
    <row r="349" spans="7:8" x14ac:dyDescent="0.3">
      <c r="G349" s="9"/>
      <c r="H349" s="9"/>
    </row>
    <row r="350" spans="7:8" x14ac:dyDescent="0.3">
      <c r="G350" s="9"/>
      <c r="H350" s="9"/>
    </row>
    <row r="351" spans="7:8" x14ac:dyDescent="0.3">
      <c r="G351" s="9"/>
      <c r="H351" s="9"/>
    </row>
    <row r="352" spans="7:8" x14ac:dyDescent="0.3">
      <c r="G352" s="9"/>
      <c r="H352" s="9"/>
    </row>
    <row r="353" spans="7:8" x14ac:dyDescent="0.3">
      <c r="G353" s="9"/>
      <c r="H353" s="9"/>
    </row>
    <row r="354" spans="7:8" x14ac:dyDescent="0.3">
      <c r="G354" s="9"/>
      <c r="H354" s="9"/>
    </row>
    <row r="355" spans="7:8" x14ac:dyDescent="0.3">
      <c r="G355" s="9"/>
      <c r="H355" s="9"/>
    </row>
    <row r="356" spans="7:8" x14ac:dyDescent="0.3">
      <c r="G356" s="9"/>
      <c r="H356" s="9"/>
    </row>
    <row r="357" spans="7:8" x14ac:dyDescent="0.3">
      <c r="G357" s="9"/>
      <c r="H357" s="9"/>
    </row>
    <row r="358" spans="7:8" x14ac:dyDescent="0.3">
      <c r="G358" s="9"/>
      <c r="H358" s="9"/>
    </row>
    <row r="359" spans="7:8" x14ac:dyDescent="0.3">
      <c r="G359" s="9"/>
      <c r="H359" s="9"/>
    </row>
    <row r="360" spans="7:8" x14ac:dyDescent="0.3">
      <c r="G360" s="9"/>
      <c r="H360" s="9"/>
    </row>
    <row r="361" spans="7:8" x14ac:dyDescent="0.3">
      <c r="G361" s="9"/>
      <c r="H361" s="9"/>
    </row>
    <row r="362" spans="7:8" x14ac:dyDescent="0.3">
      <c r="G362" s="9"/>
      <c r="H362" s="9"/>
    </row>
    <row r="363" spans="7:8" x14ac:dyDescent="0.3">
      <c r="G363" s="9"/>
      <c r="H363" s="9"/>
    </row>
    <row r="364" spans="7:8" x14ac:dyDescent="0.3">
      <c r="G364" s="9"/>
      <c r="H364" s="9"/>
    </row>
    <row r="365" spans="7:8" x14ac:dyDescent="0.3">
      <c r="G365" s="9"/>
      <c r="H365" s="9"/>
    </row>
    <row r="366" spans="7:8" x14ac:dyDescent="0.3">
      <c r="G366" s="9"/>
      <c r="H366" s="9"/>
    </row>
    <row r="367" spans="7:8" x14ac:dyDescent="0.3">
      <c r="G367" s="9"/>
      <c r="H367" s="9"/>
    </row>
    <row r="368" spans="7:8" x14ac:dyDescent="0.3">
      <c r="G368" s="9"/>
      <c r="H368" s="9"/>
    </row>
    <row r="369" spans="7:8" x14ac:dyDescent="0.3">
      <c r="G369" s="9"/>
      <c r="H369" s="9"/>
    </row>
    <row r="370" spans="7:8" x14ac:dyDescent="0.3">
      <c r="G370" s="9"/>
      <c r="H370" s="9"/>
    </row>
    <row r="371" spans="7:8" x14ac:dyDescent="0.3">
      <c r="G371" s="9"/>
      <c r="H371" s="9"/>
    </row>
    <row r="372" spans="7:8" x14ac:dyDescent="0.3">
      <c r="G372" s="9"/>
      <c r="H372" s="9"/>
    </row>
    <row r="373" spans="7:8" x14ac:dyDescent="0.3">
      <c r="G373" s="9"/>
      <c r="H373" s="9"/>
    </row>
    <row r="374" spans="7:8" x14ac:dyDescent="0.3">
      <c r="G374" s="9"/>
      <c r="H374" s="9"/>
    </row>
    <row r="375" spans="7:8" x14ac:dyDescent="0.3">
      <c r="G375" s="9"/>
      <c r="H375" s="9"/>
    </row>
    <row r="376" spans="7:8" x14ac:dyDescent="0.3">
      <c r="G376" s="9"/>
      <c r="H376" s="9"/>
    </row>
    <row r="377" spans="7:8" x14ac:dyDescent="0.3">
      <c r="G377" s="9"/>
      <c r="H377" s="9"/>
    </row>
    <row r="378" spans="7:8" x14ac:dyDescent="0.3">
      <c r="G378" s="9"/>
      <c r="H378" s="9"/>
    </row>
    <row r="379" spans="7:8" x14ac:dyDescent="0.3">
      <c r="G379" s="9"/>
      <c r="H379" s="9"/>
    </row>
    <row r="380" spans="7:8" x14ac:dyDescent="0.3">
      <c r="G380" s="9"/>
      <c r="H380" s="9"/>
    </row>
    <row r="381" spans="7:8" x14ac:dyDescent="0.3">
      <c r="G381" s="9"/>
      <c r="H381" s="9"/>
    </row>
    <row r="382" spans="7:8" x14ac:dyDescent="0.3">
      <c r="G382" s="9"/>
      <c r="H382" s="9"/>
    </row>
    <row r="383" spans="7:8" x14ac:dyDescent="0.3">
      <c r="G383" s="9"/>
      <c r="H383" s="9"/>
    </row>
    <row r="384" spans="7:8" x14ac:dyDescent="0.3">
      <c r="G384" s="9"/>
      <c r="H384" s="9"/>
    </row>
    <row r="385" spans="7:8" x14ac:dyDescent="0.3">
      <c r="G385" s="9"/>
      <c r="H385" s="9"/>
    </row>
    <row r="386" spans="7:8" x14ac:dyDescent="0.3">
      <c r="G386" s="9"/>
      <c r="H386" s="9"/>
    </row>
    <row r="387" spans="7:8" x14ac:dyDescent="0.3">
      <c r="G387" s="9"/>
      <c r="H387" s="9"/>
    </row>
    <row r="388" spans="7:8" x14ac:dyDescent="0.3">
      <c r="G388" s="9"/>
      <c r="H388" s="9"/>
    </row>
    <row r="389" spans="7:8" x14ac:dyDescent="0.3">
      <c r="G389" s="9"/>
      <c r="H389" s="9"/>
    </row>
    <row r="390" spans="7:8" x14ac:dyDescent="0.3">
      <c r="G390" s="9"/>
      <c r="H390" s="9"/>
    </row>
    <row r="391" spans="7:8" x14ac:dyDescent="0.3">
      <c r="G391" s="9"/>
      <c r="H391" s="9"/>
    </row>
    <row r="392" spans="7:8" x14ac:dyDescent="0.3">
      <c r="G392" s="9"/>
      <c r="H392" s="9"/>
    </row>
    <row r="393" spans="7:8" x14ac:dyDescent="0.3">
      <c r="G393" s="9"/>
      <c r="H393" s="9"/>
    </row>
    <row r="394" spans="7:8" x14ac:dyDescent="0.3">
      <c r="G394" s="9"/>
      <c r="H394" s="9"/>
    </row>
    <row r="395" spans="7:8" x14ac:dyDescent="0.3">
      <c r="G395" s="9"/>
      <c r="H395" s="9"/>
    </row>
    <row r="396" spans="7:8" x14ac:dyDescent="0.3">
      <c r="G396" s="9"/>
      <c r="H396" s="9"/>
    </row>
    <row r="397" spans="7:8" x14ac:dyDescent="0.3">
      <c r="G397" s="9"/>
      <c r="H397" s="9"/>
    </row>
    <row r="398" spans="7:8" x14ac:dyDescent="0.3">
      <c r="G398" s="9"/>
      <c r="H398" s="9"/>
    </row>
    <row r="399" spans="7:8" x14ac:dyDescent="0.3">
      <c r="G399" s="9"/>
      <c r="H399" s="9"/>
    </row>
    <row r="400" spans="7:8" x14ac:dyDescent="0.3">
      <c r="G400" s="9"/>
      <c r="H400" s="9"/>
    </row>
    <row r="401" spans="7:8" x14ac:dyDescent="0.3">
      <c r="G401" s="9"/>
      <c r="H401" s="9"/>
    </row>
    <row r="402" spans="7:8" x14ac:dyDescent="0.3">
      <c r="G402" s="9"/>
      <c r="H402" s="9"/>
    </row>
    <row r="403" spans="7:8" x14ac:dyDescent="0.3">
      <c r="G403" s="9"/>
      <c r="H403" s="9"/>
    </row>
    <row r="404" spans="7:8" x14ac:dyDescent="0.3">
      <c r="G404" s="9"/>
      <c r="H404" s="9"/>
    </row>
    <row r="405" spans="7:8" x14ac:dyDescent="0.3">
      <c r="G405" s="9"/>
      <c r="H405" s="9"/>
    </row>
    <row r="406" spans="7:8" x14ac:dyDescent="0.3">
      <c r="G406" s="9"/>
      <c r="H406" s="9"/>
    </row>
    <row r="407" spans="7:8" x14ac:dyDescent="0.3">
      <c r="G407" s="9"/>
      <c r="H407" s="9"/>
    </row>
    <row r="408" spans="7:8" x14ac:dyDescent="0.3">
      <c r="G408" s="9"/>
      <c r="H408" s="9"/>
    </row>
    <row r="409" spans="7:8" x14ac:dyDescent="0.3">
      <c r="G409" s="9"/>
      <c r="H409" s="9"/>
    </row>
  </sheetData>
  <autoFilter ref="A3:N312" xr:uid="{00000000-0001-0000-0700-000000000000}"/>
  <mergeCells count="1">
    <mergeCell ref="A2:N2"/>
  </mergeCells>
  <conditionalFormatting sqref="A4:A2000">
    <cfRule type="expression" dxfId="153" priority="22" stopIfTrue="1">
      <formula>A4=""</formula>
    </cfRule>
    <cfRule type="expression" dxfId="152" priority="24">
      <formula>C4=""</formula>
    </cfRule>
  </conditionalFormatting>
  <conditionalFormatting sqref="B4:H2000">
    <cfRule type="expression" dxfId="151" priority="9" stopIfTrue="1">
      <formula>$A4=""</formula>
    </cfRule>
    <cfRule type="expression" dxfId="150" priority="10">
      <formula>$C4=""</formula>
    </cfRule>
  </conditionalFormatting>
  <conditionalFormatting sqref="I4:I142">
    <cfRule type="expression" dxfId="149" priority="7">
      <formula>EXACT($I4,"Completed")</formula>
    </cfRule>
    <cfRule type="expression" dxfId="148" priority="8">
      <formula>EXACT($I4,"Inprogress")</formula>
    </cfRule>
    <cfRule type="expression" dxfId="147" priority="29">
      <formula>EXACT($I4,"Overdue")</formula>
    </cfRule>
    <cfRule type="expression" dxfId="146" priority="28">
      <formula>EXACT($I4,"Not Started")</formula>
    </cfRule>
  </conditionalFormatting>
  <conditionalFormatting sqref="I4:I2000">
    <cfRule type="expression" dxfId="145" priority="31">
      <formula>$C4=""</formula>
    </cfRule>
    <cfRule type="expression" dxfId="144" priority="30" stopIfTrue="1">
      <formula>$A4=""</formula>
    </cfRule>
  </conditionalFormatting>
  <conditionalFormatting sqref="J4:J2000">
    <cfRule type="expression" dxfId="143" priority="5" stopIfTrue="1">
      <formula>$A4=""</formula>
    </cfRule>
    <cfRule type="expression" dxfId="142" priority="6">
      <formula>$C4=""</formula>
    </cfRule>
  </conditionalFormatting>
  <conditionalFormatting sqref="K4:K243">
    <cfRule type="expression" dxfId="141" priority="3">
      <formula>EXACT($K4,"No")</formula>
    </cfRule>
    <cfRule type="expression" dxfId="140" priority="4">
      <formula>EXACT($K4,"Yes")</formula>
    </cfRule>
    <cfRule type="expression" dxfId="139" priority="32">
      <formula>EXACT($K4,"-")</formula>
    </cfRule>
  </conditionalFormatting>
  <conditionalFormatting sqref="K4:K2000">
    <cfRule type="expression" dxfId="138" priority="34">
      <formula>$C4=""</formula>
    </cfRule>
    <cfRule type="expression" dxfId="137" priority="33" stopIfTrue="1">
      <formula>$A4=""</formula>
    </cfRule>
  </conditionalFormatting>
  <conditionalFormatting sqref="L4:L2000">
    <cfRule type="expression" dxfId="136" priority="1" stopIfTrue="1">
      <formula>$A4=""</formula>
    </cfRule>
    <cfRule type="expression" dxfId="135" priority="2">
      <formula>$C4=""</formula>
    </cfRule>
  </conditionalFormatting>
  <conditionalFormatting sqref="M4:M312">
    <cfRule type="cellIs" dxfId="134" priority="25" operator="equal">
      <formula>"Green"</formula>
    </cfRule>
    <cfRule type="cellIs" dxfId="133" priority="26" operator="equal">
      <formula>"Amber"</formula>
    </cfRule>
    <cfRule type="cellIs" dxfId="132" priority="27" operator="equal">
      <formula>"Red"</formula>
    </cfRule>
  </conditionalFormatting>
  <dataValidations count="1">
    <dataValidation type="list" allowBlank="1" sqref="I4:I312" xr:uid="{3894BF03-FBDE-4DD1-B7B5-A4AE7DD386D6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913B-27BE-4521-A7F3-8E38D66AF5F8}">
  <sheetPr codeName="Sheet6">
    <tabColor rgb="FF777777"/>
  </sheetPr>
  <dimension ref="A1:R409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4" sqref="H4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5.109375" bestFit="1" customWidth="1"/>
    <col min="8" max="8" width="16.77734375" customWidth="1"/>
    <col min="9" max="9" width="12" customWidth="1"/>
    <col min="10" max="11" width="8" customWidth="1"/>
    <col min="12" max="13" width="7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403</v>
      </c>
      <c r="B1" s="10"/>
      <c r="C1" s="10"/>
      <c r="D1" s="10"/>
      <c r="E1" s="10"/>
      <c r="F1" s="10"/>
      <c r="G1" s="11">
        <f>+MAX(G4:G2000)</f>
        <v>46511</v>
      </c>
      <c r="H1" s="11">
        <f>+MAX(H4:H2000)</f>
        <v>46511</v>
      </c>
      <c r="I1" s="10"/>
      <c r="J1" s="12">
        <f t="shared" ref="J1" si="0">IF(OR($G1="",$H1=""),"",$H1-$G1)</f>
        <v>0</v>
      </c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405</v>
      </c>
      <c r="B4" s="2" t="s">
        <v>62</v>
      </c>
      <c r="C4" s="3"/>
      <c r="D4" s="3"/>
      <c r="E4" s="2"/>
      <c r="F4" s="2"/>
      <c r="G4" s="5">
        <v>45945.5</v>
      </c>
      <c r="H4" s="5">
        <v>45460</v>
      </c>
      <c r="I4" s="2"/>
      <c r="J4" s="6">
        <f t="shared" ref="J4:J67" si="1">IF(OR($G4="",$H4=""),"",$H4-$G4)</f>
        <v>-485.5</v>
      </c>
      <c r="K4" s="4" t="str">
        <f t="shared" ref="K4:K67" ca="1" si="2">IF(C4="","",IF(H4="","",IF($I4="completed","-",IF($H4&gt;TODAY(),"No","Yes"))))</f>
        <v/>
      </c>
      <c r="L4" s="7">
        <f>IF(I4="Completed","0",IF($H4="","",$H4-'[2]Read Me'!$B$4))</f>
        <v>-727</v>
      </c>
      <c r="M4" s="4" t="str">
        <f>IF($I4="Complete","Green",IF($H4="","Amber",IF($H4&lt;'[2]Read Me'!$B$4,"Red",IF($H4-'[2]Read Me'!$B$4&lt;=21,"Amber","Green"))))</f>
        <v>Red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405</v>
      </c>
      <c r="B5" s="2" t="s">
        <v>62</v>
      </c>
      <c r="C5" s="3" t="s">
        <v>406</v>
      </c>
      <c r="D5" s="3" t="s">
        <v>407</v>
      </c>
      <c r="E5" s="2"/>
      <c r="F5" s="2"/>
      <c r="G5" s="5">
        <v>45306</v>
      </c>
      <c r="H5" s="5">
        <v>45306</v>
      </c>
      <c r="I5" s="2" t="s">
        <v>31</v>
      </c>
      <c r="J5" s="6">
        <f t="shared" si="1"/>
        <v>0</v>
      </c>
      <c r="K5" s="4" t="str">
        <f t="shared" ca="1" si="2"/>
        <v>-</v>
      </c>
      <c r="L5" s="7" t="str">
        <f>IF(I5="Completed","0",IF($H5="","",$H5-'[2]Read Me'!$B$4))</f>
        <v>0</v>
      </c>
      <c r="M5" s="4" t="str">
        <f>IF($I5="Complete","Green",IF($H5="","Amber",IF($H5&lt;'[2]Read Me'!$B$4,"Red",IF($H5-'[2]Read Me'!$B$4&lt;=21,"Amber","Green"))))</f>
        <v>Red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405</v>
      </c>
      <c r="B6" s="2" t="s">
        <v>62</v>
      </c>
      <c r="C6" s="3" t="s">
        <v>406</v>
      </c>
      <c r="D6" s="3" t="s">
        <v>58</v>
      </c>
      <c r="E6" s="2"/>
      <c r="F6" s="2"/>
      <c r="G6" s="5">
        <v>45320</v>
      </c>
      <c r="H6" s="5">
        <v>45320</v>
      </c>
      <c r="I6" s="2" t="s">
        <v>31</v>
      </c>
      <c r="J6" s="6">
        <f t="shared" si="1"/>
        <v>0</v>
      </c>
      <c r="K6" s="4" t="str">
        <f t="shared" ca="1" si="2"/>
        <v>-</v>
      </c>
      <c r="L6" s="7" t="str">
        <f>IF(I6="Completed","0",IF($H6="","",$H6-'[2]Read Me'!$B$4))</f>
        <v>0</v>
      </c>
      <c r="M6" s="4" t="str">
        <f>IF($I6="Complete","Green",IF($H6="","Amber",IF($H6&lt;'[2]Read Me'!$B$4,"Red",IF($H6-'[2]Read Me'!$B$4&lt;=21,"Amber","Green"))))</f>
        <v>Red</v>
      </c>
      <c r="N6" s="3"/>
      <c r="O6" t="str">
        <f>IF($I6&lt;&gt;"Complete",IF(COUNTIFS($A$4:$A5,$A6,$B$4:$B5,$B6,$I$4:$I5,"&lt;&gt;Complete")=0,$A6&amp;"|"&amp;$B6,""),"")</f>
        <v/>
      </c>
      <c r="P6" t="str">
        <f ca="1">IF($K6="Yes",COUNTIFS($K$4:$K6,"Yes"),"")</f>
        <v/>
      </c>
      <c r="Q6">
        <f t="shared" ca="1" si="3"/>
        <v>0</v>
      </c>
      <c r="R6" t="str">
        <f ca="1">IF($Q6=1,SUM($Q$4:$Q6),"")</f>
        <v/>
      </c>
    </row>
    <row r="7" spans="1:18" ht="33.75" customHeight="1" x14ac:dyDescent="0.3">
      <c r="A7" s="2" t="s">
        <v>405</v>
      </c>
      <c r="B7" s="2" t="s">
        <v>62</v>
      </c>
      <c r="C7" s="3" t="s">
        <v>406</v>
      </c>
      <c r="D7" s="3" t="s">
        <v>408</v>
      </c>
      <c r="E7" s="2"/>
      <c r="F7" s="2"/>
      <c r="G7" s="5">
        <v>45348</v>
      </c>
      <c r="H7" s="5">
        <v>45348</v>
      </c>
      <c r="I7" s="2" t="s">
        <v>31</v>
      </c>
      <c r="J7" s="6">
        <f t="shared" si="1"/>
        <v>0</v>
      </c>
      <c r="K7" s="4" t="str">
        <f t="shared" ca="1" si="2"/>
        <v>-</v>
      </c>
      <c r="L7" s="7" t="str">
        <f>IF(I7="Completed","0",IF($H7="","",$H7-'[2]Read Me'!$B$4))</f>
        <v>0</v>
      </c>
      <c r="M7" s="4" t="str">
        <f>IF($I7="Complete","Green",IF($H7="","Amber",IF($H7&lt;'[2]Read Me'!$B$4,"Red",IF($H7-'[2]Read Me'!$B$4&lt;=21,"Amber","Green"))))</f>
        <v>Red</v>
      </c>
      <c r="N7" s="3"/>
      <c r="O7" t="str">
        <f>IF($I7&lt;&gt;"Complete",IF(COUNTIFS($A$4:$A6,$A7,$B$4:$B6,$B7,$I$4:$I6,"&lt;&gt;Complete")=0,$A7&amp;"|"&amp;$B7,""),"")</f>
        <v/>
      </c>
      <c r="P7" t="str">
        <f ca="1">IF($K7="Yes",COUNTIFS($K$4:$K7,"Yes"),"")</f>
        <v/>
      </c>
      <c r="Q7">
        <f t="shared" ca="1" si="3"/>
        <v>0</v>
      </c>
      <c r="R7" t="str">
        <f ca="1">IF($Q7=1,SUM($Q$4:$Q7),"")</f>
        <v/>
      </c>
    </row>
    <row r="8" spans="1:18" ht="33.75" customHeight="1" x14ac:dyDescent="0.3">
      <c r="A8" s="2" t="s">
        <v>405</v>
      </c>
      <c r="B8" s="2" t="s">
        <v>62</v>
      </c>
      <c r="C8" s="3" t="s">
        <v>406</v>
      </c>
      <c r="D8" s="3" t="s">
        <v>58</v>
      </c>
      <c r="E8" s="2"/>
      <c r="F8" s="2"/>
      <c r="G8" s="5">
        <v>45362</v>
      </c>
      <c r="H8" s="5">
        <v>45362</v>
      </c>
      <c r="I8" s="2" t="s">
        <v>31</v>
      </c>
      <c r="J8" s="6">
        <f t="shared" si="1"/>
        <v>0</v>
      </c>
      <c r="K8" s="4" t="str">
        <f t="shared" ca="1" si="2"/>
        <v>-</v>
      </c>
      <c r="L8" s="7" t="str">
        <f>IF(I8="Completed","0",IF($H8="","",$H8-'[2]Read Me'!$B$4))</f>
        <v>0</v>
      </c>
      <c r="M8" s="4" t="str">
        <f>IF($I8="Complete","Green",IF($H8="","Amber",IF($H8&lt;'[2]Read Me'!$B$4,"Red",IF($H8-'[2]Read Me'!$B$4&lt;=21,"Amber","Green"))))</f>
        <v>Red</v>
      </c>
      <c r="N8" s="3"/>
      <c r="O8" t="str">
        <f>IF($I8&lt;&gt;"Complete",IF(COUNTIFS($A$4:$A7,$A8,$B$4:$B7,$B8,$I$4:$I7,"&lt;&gt;Complete")=0,$A8&amp;"|"&amp;$B8,""),"")</f>
        <v/>
      </c>
      <c r="P8" t="str">
        <f ca="1">IF($K8="Yes",COUNTIFS($K$4:$K8,"Yes"),"")</f>
        <v/>
      </c>
      <c r="Q8">
        <f t="shared" ca="1" si="3"/>
        <v>0</v>
      </c>
      <c r="R8" t="str">
        <f ca="1">IF($Q8=1,SUM($Q$4:$Q8),"")</f>
        <v/>
      </c>
    </row>
    <row r="9" spans="1:18" ht="33.75" customHeight="1" x14ac:dyDescent="0.3">
      <c r="A9" s="2" t="s">
        <v>405</v>
      </c>
      <c r="B9" s="2" t="s">
        <v>62</v>
      </c>
      <c r="C9" s="3" t="s">
        <v>406</v>
      </c>
      <c r="D9" s="3" t="s">
        <v>409</v>
      </c>
      <c r="E9" s="2"/>
      <c r="F9" s="2"/>
      <c r="G9" s="5">
        <v>45362</v>
      </c>
      <c r="H9" s="5">
        <v>45362</v>
      </c>
      <c r="I9" s="2" t="s">
        <v>31</v>
      </c>
      <c r="J9" s="6">
        <f t="shared" si="1"/>
        <v>0</v>
      </c>
      <c r="K9" s="4" t="str">
        <f t="shared" ca="1" si="2"/>
        <v>-</v>
      </c>
      <c r="L9" s="7" t="str">
        <f>IF(I9="Completed","0",IF($H9="","",$H9-'[2]Read Me'!$B$4))</f>
        <v>0</v>
      </c>
      <c r="M9" s="4" t="str">
        <f>IF($I9="Complete","Green",IF($H9="","Amber",IF($H9&lt;'[2]Read Me'!$B$4,"Red",IF($H9-'[2]Read Me'!$B$4&lt;=21,"Amber","Green"))))</f>
        <v>Red</v>
      </c>
      <c r="N9" s="3"/>
      <c r="O9" t="str">
        <f>IF($I9&lt;&gt;"Complete",IF(COUNTIFS($A$4:$A8,$A9,$B$4:$B8,$B9,$I$4:$I8,"&lt;&gt;Complete")=0,$A9&amp;"|"&amp;$B9,""),"")</f>
        <v/>
      </c>
      <c r="P9" t="str">
        <f ca="1">IF($K9="Yes",COUNTIFS($K$4:$K9,"Yes"),"")</f>
        <v/>
      </c>
      <c r="Q9">
        <f t="shared" ca="1" si="3"/>
        <v>0</v>
      </c>
      <c r="R9" t="str">
        <f ca="1">IF($Q9=1,SUM($Q$4:$Q9),"")</f>
        <v/>
      </c>
    </row>
    <row r="10" spans="1:18" ht="33.75" customHeight="1" x14ac:dyDescent="0.3">
      <c r="A10" s="2" t="s">
        <v>405</v>
      </c>
      <c r="B10" s="2" t="s">
        <v>62</v>
      </c>
      <c r="C10" s="3" t="s">
        <v>406</v>
      </c>
      <c r="D10" s="3" t="s">
        <v>410</v>
      </c>
      <c r="E10" s="2"/>
      <c r="F10" s="2"/>
      <c r="G10" s="5">
        <v>45390</v>
      </c>
      <c r="H10" s="5">
        <v>45390</v>
      </c>
      <c r="I10" s="2" t="s">
        <v>31</v>
      </c>
      <c r="J10" s="6">
        <f t="shared" si="1"/>
        <v>0</v>
      </c>
      <c r="K10" s="4" t="str">
        <f t="shared" ca="1" si="2"/>
        <v>-</v>
      </c>
      <c r="L10" s="7" t="str">
        <f>IF(I10="Completed","0",IF($H10="","",$H10-'[2]Read Me'!$B$4))</f>
        <v>0</v>
      </c>
      <c r="M10" s="4" t="str">
        <f>IF($I10="Complete","Green",IF($H10="","Amber",IF($H10&lt;'[2]Read Me'!$B$4,"Red",IF($H10-'[2]Read Me'!$B$4&lt;=21,"Amber","Green"))))</f>
        <v>Red</v>
      </c>
      <c r="N10" s="3"/>
      <c r="O10" t="str">
        <f>IF($I10&lt;&gt;"Complete",IF(COUNTIFS($A$4:$A9,$A10,$B$4:$B9,$B10,$I$4:$I9,"&lt;&gt;Complete")=0,$A10&amp;"|"&amp;$B10,""),"")</f>
        <v/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405</v>
      </c>
      <c r="B11" s="2" t="s">
        <v>62</v>
      </c>
      <c r="C11" s="3" t="s">
        <v>406</v>
      </c>
      <c r="D11" s="3" t="s">
        <v>58</v>
      </c>
      <c r="E11" s="2"/>
      <c r="F11" s="2"/>
      <c r="G11" s="5">
        <v>45404</v>
      </c>
      <c r="H11" s="5">
        <v>45404</v>
      </c>
      <c r="I11" s="2" t="s">
        <v>31</v>
      </c>
      <c r="J11" s="6">
        <f t="shared" si="1"/>
        <v>0</v>
      </c>
      <c r="K11" s="4" t="str">
        <f t="shared" ca="1" si="2"/>
        <v>-</v>
      </c>
      <c r="L11" s="7" t="str">
        <f>IF(I11="Completed","0",IF($H11="","",$H11-'[2]Read Me'!$B$4))</f>
        <v>0</v>
      </c>
      <c r="M11" s="4" t="str">
        <f>IF($I11="Complete","Green",IF($H11="","Amber",IF($H11&lt;'[2]Read Me'!$B$4,"Red",IF($H11-'[2]Read Me'!$B$4&lt;=21,"Amber","Green"))))</f>
        <v>Red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405</v>
      </c>
      <c r="B12" s="2" t="s">
        <v>62</v>
      </c>
      <c r="C12" s="3" t="s">
        <v>406</v>
      </c>
      <c r="D12" s="3" t="s">
        <v>411</v>
      </c>
      <c r="E12" s="2"/>
      <c r="F12" s="2"/>
      <c r="G12" s="5">
        <v>45418</v>
      </c>
      <c r="H12" s="5">
        <v>45418</v>
      </c>
      <c r="I12" s="2" t="s">
        <v>31</v>
      </c>
      <c r="J12" s="6">
        <f t="shared" si="1"/>
        <v>0</v>
      </c>
      <c r="K12" s="4" t="str">
        <f t="shared" ca="1" si="2"/>
        <v>-</v>
      </c>
      <c r="L12" s="7" t="str">
        <f>IF(I12="Completed","0",IF($H12="","",$H12-'[2]Read Me'!$B$4))</f>
        <v>0</v>
      </c>
      <c r="M12" s="4" t="str">
        <f>IF($I12="Complete","Green",IF($H12="","Amber",IF($H12&lt;'[2]Read Me'!$B$4,"Red",IF($H12-'[2]Read Me'!$B$4&lt;=21,"Amber","Green"))))</f>
        <v>Red</v>
      </c>
      <c r="N12" s="3"/>
      <c r="O12" t="str">
        <f>IF($I12&lt;&gt;"Complete",IF(COUNTIFS($A$4:$A11,$A12,$B$4:$B11,$B12,$I$4:$I11,"&lt;&gt;Complete")=0,$A12&amp;"|"&amp;$B12,""),"")</f>
        <v/>
      </c>
      <c r="P12" t="str">
        <f ca="1">IF($K12="Yes",COUNTIFS($K$4:$K12,"Yes"),"")</f>
        <v/>
      </c>
      <c r="Q12">
        <f t="shared" ca="1" si="3"/>
        <v>0</v>
      </c>
      <c r="R12" t="str">
        <f ca="1">IF($Q12=1,SUM($Q$4:$Q12),"")</f>
        <v/>
      </c>
    </row>
    <row r="13" spans="1:18" ht="33.75" customHeight="1" x14ac:dyDescent="0.3">
      <c r="A13" s="2" t="s">
        <v>405</v>
      </c>
      <c r="B13" s="2" t="s">
        <v>62</v>
      </c>
      <c r="C13" s="3" t="s">
        <v>406</v>
      </c>
      <c r="D13" s="3" t="s">
        <v>58</v>
      </c>
      <c r="E13" s="2"/>
      <c r="F13" s="2"/>
      <c r="G13" s="5">
        <v>45432</v>
      </c>
      <c r="H13" s="5">
        <v>45432</v>
      </c>
      <c r="I13" s="2" t="s">
        <v>31</v>
      </c>
      <c r="J13" s="6">
        <f t="shared" si="1"/>
        <v>0</v>
      </c>
      <c r="K13" s="4" t="str">
        <f t="shared" ca="1" si="2"/>
        <v>-</v>
      </c>
      <c r="L13" s="7" t="str">
        <f>IF(I13="Completed","0",IF($H13="","",$H13-'[2]Read Me'!$B$4))</f>
        <v>0</v>
      </c>
      <c r="M13" s="4" t="str">
        <f>IF($I13="Complete","Green",IF($H13="","Amber",IF($H13&lt;'[2]Read Me'!$B$4,"Red",IF($H13-'[2]Read Me'!$B$4&lt;=21,"Amber","Green"))))</f>
        <v>Red</v>
      </c>
      <c r="N13" s="3"/>
      <c r="O13" t="str">
        <f>IF($I13&lt;&gt;"Complete",IF(COUNTIFS($A$4:$A12,$A13,$B$4:$B12,$B13,$I$4:$I12,"&lt;&gt;Complete")=0,$A13&amp;"|"&amp;$B13,""),"")</f>
        <v/>
      </c>
      <c r="P13" t="str">
        <f ca="1">IF($K13="Yes",COUNTIFS($K$4:$K13,"Yes"),"")</f>
        <v/>
      </c>
      <c r="Q13">
        <f t="shared" ca="1" si="3"/>
        <v>0</v>
      </c>
      <c r="R13" t="str">
        <f ca="1">IF($Q13=1,SUM($Q$4:$Q13),"")</f>
        <v/>
      </c>
    </row>
    <row r="14" spans="1:18" ht="33.75" customHeight="1" x14ac:dyDescent="0.3">
      <c r="A14" s="2" t="s">
        <v>405</v>
      </c>
      <c r="B14" s="2" t="s">
        <v>62</v>
      </c>
      <c r="C14" s="3" t="s">
        <v>406</v>
      </c>
      <c r="D14" s="3" t="s">
        <v>412</v>
      </c>
      <c r="E14" s="2"/>
      <c r="F14" s="2"/>
      <c r="G14" s="5">
        <v>45432</v>
      </c>
      <c r="H14" s="5">
        <v>45432</v>
      </c>
      <c r="I14" s="2" t="s">
        <v>31</v>
      </c>
      <c r="J14" s="6">
        <f t="shared" si="1"/>
        <v>0</v>
      </c>
      <c r="K14" s="4" t="str">
        <f t="shared" ca="1" si="2"/>
        <v>-</v>
      </c>
      <c r="L14" s="7" t="str">
        <f>IF(I14="Completed","0",IF($H14="","",$H14-'[2]Read Me'!$B$4))</f>
        <v>0</v>
      </c>
      <c r="M14" s="4" t="str">
        <f>IF($I14="Complete","Green",IF($H14="","Amber",IF($H14&lt;'[2]Read Me'!$B$4,"Red",IF($H14-'[2]Read Me'!$B$4&lt;=21,"Amber","Green"))))</f>
        <v>Red</v>
      </c>
      <c r="N14" s="3"/>
      <c r="O14" t="str">
        <f>IF($I14&lt;&gt;"Complete",IF(COUNTIFS($A$4:$A13,$A14,$B$4:$B13,$B14,$I$4:$I13,"&lt;&gt;Complete")=0,$A14&amp;"|"&amp;$B14,""),"")</f>
        <v/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405</v>
      </c>
      <c r="B15" s="2" t="s">
        <v>62</v>
      </c>
      <c r="C15" s="3" t="s">
        <v>406</v>
      </c>
      <c r="D15" s="3" t="s">
        <v>22</v>
      </c>
      <c r="E15" s="2"/>
      <c r="F15" s="2"/>
      <c r="G15" s="5">
        <v>45404</v>
      </c>
      <c r="H15" s="5">
        <v>45404</v>
      </c>
      <c r="I15" s="2" t="s">
        <v>31</v>
      </c>
      <c r="J15" s="6">
        <f t="shared" si="1"/>
        <v>0</v>
      </c>
      <c r="K15" s="4" t="str">
        <f t="shared" ca="1" si="2"/>
        <v>-</v>
      </c>
      <c r="L15" s="7" t="str">
        <f>IF(I15="Completed","0",IF($H15="","",$H15-'[2]Read Me'!$B$4))</f>
        <v>0</v>
      </c>
      <c r="M15" s="4" t="str">
        <f>IF($I15="Complete","Green",IF($H15="","Amber",IF($H15&lt;'[2]Read Me'!$B$4,"Red",IF($H15-'[2]Read Me'!$B$4&lt;=21,"Amber","Green"))))</f>
        <v>Red</v>
      </c>
      <c r="N15" s="3"/>
      <c r="O15" t="str">
        <f>IF($I15&lt;&gt;"Complete",IF(COUNTIFS($A$4:$A14,$A15,$B$4:$B14,$B15,$I$4:$I14,"&lt;&gt;Complete")=0,$A15&amp;"|"&amp;$B15,""),"")</f>
        <v/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405</v>
      </c>
      <c r="B16" s="2" t="s">
        <v>62</v>
      </c>
      <c r="C16" s="3" t="s">
        <v>406</v>
      </c>
      <c r="D16" s="3" t="s">
        <v>16</v>
      </c>
      <c r="E16" s="2"/>
      <c r="F16" s="2"/>
      <c r="G16" s="5">
        <v>45446</v>
      </c>
      <c r="H16" s="5">
        <v>45446</v>
      </c>
      <c r="I16" s="2" t="s">
        <v>31</v>
      </c>
      <c r="J16" s="6">
        <f t="shared" si="1"/>
        <v>0</v>
      </c>
      <c r="K16" s="4" t="str">
        <f t="shared" ca="1" si="2"/>
        <v>-</v>
      </c>
      <c r="L16" s="7" t="str">
        <f>IF(I16="Completed","0",IF($H16="","",$H16-'[2]Read Me'!$B$4))</f>
        <v>0</v>
      </c>
      <c r="M16" s="4" t="str">
        <f>IF($I16="Complete","Green",IF($H16="","Amber",IF($H16&lt;'[2]Read Me'!$B$4,"Red",IF($H16-'[2]Read Me'!$B$4&lt;=21,"Amber","Green"))))</f>
        <v>Red</v>
      </c>
      <c r="N16" s="3"/>
      <c r="O16" t="str">
        <f>IF($I16&lt;&gt;"Complete",IF(COUNTIFS($A$4:$A15,$A16,$B$4:$B15,$B16,$I$4:$I15,"&lt;&gt;Complete")=0,$A16&amp;"|"&amp;$B16,""),"")</f>
        <v/>
      </c>
      <c r="P16" t="str">
        <f ca="1">IF($K16="Yes",COUNTIFS($K$4:$K16,"Yes"),"")</f>
        <v/>
      </c>
      <c r="Q16">
        <f t="shared" ca="1" si="3"/>
        <v>0</v>
      </c>
      <c r="R16" t="str">
        <f ca="1">IF($Q16=1,SUM($Q$4:$Q16),"")</f>
        <v/>
      </c>
    </row>
    <row r="17" spans="1:18" ht="33.75" customHeight="1" x14ac:dyDescent="0.3">
      <c r="A17" s="2" t="s">
        <v>405</v>
      </c>
      <c r="B17" s="2" t="s">
        <v>62</v>
      </c>
      <c r="C17" s="3" t="s">
        <v>406</v>
      </c>
      <c r="D17" s="3" t="s">
        <v>58</v>
      </c>
      <c r="E17" s="2"/>
      <c r="F17" s="2"/>
      <c r="G17" s="5">
        <v>45460</v>
      </c>
      <c r="H17" s="5">
        <v>45460</v>
      </c>
      <c r="I17" s="2" t="s">
        <v>31</v>
      </c>
      <c r="J17" s="6">
        <f t="shared" si="1"/>
        <v>0</v>
      </c>
      <c r="K17" s="4" t="str">
        <f t="shared" ca="1" si="2"/>
        <v>-</v>
      </c>
      <c r="L17" s="7" t="str">
        <f>IF(I17="Completed","0",IF($H17="","",$H17-'[2]Read Me'!$B$4))</f>
        <v>0</v>
      </c>
      <c r="M17" s="4" t="str">
        <f>IF($I17="Complete","Green",IF($H17="","Amber",IF($H17&lt;'[2]Read Me'!$B$4,"Red",IF($H17-'[2]Read Me'!$B$4&lt;=21,"Amber","Green"))))</f>
        <v>Red</v>
      </c>
      <c r="N17" s="3"/>
      <c r="O17" t="str">
        <f>IF($I17&lt;&gt;"Complete",IF(COUNTIFS($A$4:$A16,$A17,$B$4:$B16,$B17,$I$4:$I16,"&lt;&gt;Complete")=0,$A17&amp;"|"&amp;$B17,""),"")</f>
        <v/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405</v>
      </c>
      <c r="B18" s="2" t="s">
        <v>49</v>
      </c>
      <c r="C18" s="3"/>
      <c r="D18" s="3"/>
      <c r="E18" s="2"/>
      <c r="F18" s="2"/>
      <c r="G18" s="5">
        <v>45945.5</v>
      </c>
      <c r="H18" s="5">
        <v>46099</v>
      </c>
      <c r="I18" s="2"/>
      <c r="J18" s="6">
        <f t="shared" si="1"/>
        <v>153.5</v>
      </c>
      <c r="K18" s="4" t="str">
        <f t="shared" ca="1" si="2"/>
        <v/>
      </c>
      <c r="L18" s="7">
        <f>IF(I18="Completed","0",IF($H18="","",$H18-'[2]Read Me'!$B$4))</f>
        <v>-88</v>
      </c>
      <c r="M18" s="4" t="str">
        <f>IF($I18="Complete","Green",IF($H18="","Amber",IF($H18&lt;'[2]Read Me'!$B$4,"Red",IF($H18-'[2]Read Me'!$B$4&lt;=21,"Amber","Green"))))</f>
        <v>Red</v>
      </c>
      <c r="N18" s="3"/>
      <c r="O18" t="str">
        <f>IF($I18&lt;&gt;"Complete",IF(COUNTIFS($A$4:$A17,$A18,$B$4:$B17,$B18,$I$4:$I17,"&lt;&gt;Complete")=0,$A18&amp;"|"&amp;$B18,""),"")</f>
        <v>Ph.01&amp;02|Authorities</v>
      </c>
      <c r="P18" t="str">
        <f ca="1">IF($K18="Yes",COUNTIFS($K$4:$K18,"Yes"),"")</f>
        <v/>
      </c>
      <c r="Q18">
        <f t="shared" ca="1" si="3"/>
        <v>0</v>
      </c>
      <c r="R18" t="str">
        <f ca="1">IF($Q18=1,SUM($Q$4:$Q18),"")</f>
        <v/>
      </c>
    </row>
    <row r="19" spans="1:18" ht="33.75" customHeight="1" x14ac:dyDescent="0.3">
      <c r="A19" s="2" t="s">
        <v>405</v>
      </c>
      <c r="B19" s="2" t="s">
        <v>49</v>
      </c>
      <c r="C19" s="3" t="s">
        <v>50</v>
      </c>
      <c r="D19" s="3" t="s">
        <v>287</v>
      </c>
      <c r="E19" s="2"/>
      <c r="F19" s="2"/>
      <c r="G19" s="5">
        <v>45568.5</v>
      </c>
      <c r="H19" s="5">
        <v>45763.5</v>
      </c>
      <c r="I19" s="2" t="s">
        <v>31</v>
      </c>
      <c r="J19" s="6">
        <f t="shared" si="1"/>
        <v>195</v>
      </c>
      <c r="K19" s="4" t="str">
        <f t="shared" ca="1" si="2"/>
        <v>-</v>
      </c>
      <c r="L19" s="7" t="str">
        <f>IF(I19="Completed","0",IF($H19="","",$H19-'[2]Read Me'!$B$4))</f>
        <v>0</v>
      </c>
      <c r="M19" s="4" t="str">
        <f>IF($I19="Complete","Green",IF($H19="","Amber",IF($H19&lt;'[2]Read Me'!$B$4,"Red",IF($H19-'[2]Read Me'!$B$4&lt;=21,"Amber","Green"))))</f>
        <v>Red</v>
      </c>
      <c r="N19" s="3"/>
      <c r="O19" t="str">
        <f>IF($I19&lt;&gt;"Complete",IF(COUNTIFS($A$4:$A18,$A19,$B$4:$B18,$B19,$I$4:$I18,"&lt;&gt;Complete")=0,$A19&amp;"|"&amp;$B19,""),"")</f>
        <v/>
      </c>
      <c r="P19" t="str">
        <f ca="1">IF($K19="Yes",COUNTIFS($K$4:$K19,"Yes"),"")</f>
        <v/>
      </c>
      <c r="Q19">
        <f t="shared" ca="1" si="3"/>
        <v>0</v>
      </c>
      <c r="R19" t="str">
        <f ca="1">IF($Q19=1,SUM($Q$4:$Q19),"")</f>
        <v/>
      </c>
    </row>
    <row r="20" spans="1:18" ht="33.75" customHeight="1" x14ac:dyDescent="0.3">
      <c r="A20" s="2" t="s">
        <v>405</v>
      </c>
      <c r="B20" s="2" t="s">
        <v>49</v>
      </c>
      <c r="C20" s="3" t="s">
        <v>50</v>
      </c>
      <c r="D20" s="3" t="s">
        <v>288</v>
      </c>
      <c r="E20" s="2"/>
      <c r="F20" s="2"/>
      <c r="G20" s="5">
        <v>45614</v>
      </c>
      <c r="H20" s="5">
        <v>45809</v>
      </c>
      <c r="I20" s="2" t="s">
        <v>31</v>
      </c>
      <c r="J20" s="6">
        <f t="shared" si="1"/>
        <v>195</v>
      </c>
      <c r="K20" s="4" t="str">
        <f t="shared" ca="1" si="2"/>
        <v>-</v>
      </c>
      <c r="L20" s="7" t="str">
        <f>IF(I20="Completed","0",IF($H20="","",$H20-'[2]Read Me'!$B$4))</f>
        <v>0</v>
      </c>
      <c r="M20" s="4" t="str">
        <f>IF($I20="Complete","Green",IF($H20="","Amber",IF($H20&lt;'[2]Read Me'!$B$4,"Red",IF($H20-'[2]Read Me'!$B$4&lt;=21,"Amber","Green"))))</f>
        <v>Red</v>
      </c>
      <c r="N20" s="3"/>
      <c r="O20" t="str">
        <f>IF($I20&lt;&gt;"Complete",IF(COUNTIFS($A$4:$A19,$A20,$B$4:$B19,$B20,$I$4:$I19,"&lt;&gt;Complete")=0,$A20&amp;"|"&amp;$B20,""),"")</f>
        <v/>
      </c>
      <c r="P20" t="str">
        <f ca="1">IF($K20="Yes",COUNTIFS($K$4:$K20,"Yes"),"")</f>
        <v/>
      </c>
      <c r="Q20">
        <f t="shared" ca="1" si="3"/>
        <v>0</v>
      </c>
      <c r="R20" t="str">
        <f ca="1">IF($Q20=1,SUM($Q$4:$Q20),"")</f>
        <v/>
      </c>
    </row>
    <row r="21" spans="1:18" ht="33.75" customHeight="1" x14ac:dyDescent="0.3">
      <c r="A21" s="2" t="s">
        <v>405</v>
      </c>
      <c r="B21" s="2" t="s">
        <v>49</v>
      </c>
      <c r="C21" s="3" t="s">
        <v>50</v>
      </c>
      <c r="D21" s="3" t="s">
        <v>51</v>
      </c>
      <c r="E21" s="2"/>
      <c r="F21" s="2"/>
      <c r="G21" s="5">
        <v>45659.5</v>
      </c>
      <c r="H21" s="5">
        <v>45854.5</v>
      </c>
      <c r="I21" s="2" t="s">
        <v>31</v>
      </c>
      <c r="J21" s="6">
        <f t="shared" si="1"/>
        <v>195</v>
      </c>
      <c r="K21" s="4" t="str">
        <f t="shared" ca="1" si="2"/>
        <v>-</v>
      </c>
      <c r="L21" s="7" t="str">
        <f>IF(I21="Completed","0",IF($H21="","",$H21-'[2]Read Me'!$B$4))</f>
        <v>0</v>
      </c>
      <c r="M21" s="4" t="str">
        <f>IF($I21="Complete","Green",IF($H21="","Amber",IF($H21&lt;'[2]Read Me'!$B$4,"Red",IF($H21-'[2]Read Me'!$B$4&lt;=21,"Amber","Green"))))</f>
        <v>Red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405</v>
      </c>
      <c r="B22" s="2" t="s">
        <v>49</v>
      </c>
      <c r="C22" s="3" t="s">
        <v>50</v>
      </c>
      <c r="D22" s="3" t="s">
        <v>413</v>
      </c>
      <c r="E22" s="2"/>
      <c r="F22" s="2"/>
      <c r="G22" s="5">
        <v>45945.5</v>
      </c>
      <c r="H22" s="5">
        <v>45992</v>
      </c>
      <c r="I22" s="2" t="s">
        <v>31</v>
      </c>
      <c r="J22" s="6">
        <f t="shared" si="1"/>
        <v>46.5</v>
      </c>
      <c r="K22" s="4" t="str">
        <f t="shared" ca="1" si="2"/>
        <v>-</v>
      </c>
      <c r="L22" s="7" t="str">
        <f>IF(I22="Completed","0",IF($H22="","",$H22-'[2]Read Me'!$B$4))</f>
        <v>0</v>
      </c>
      <c r="M22" s="4" t="str">
        <f>IF($I22="Complete","Green",IF($H22="","Amber",IF($H22&lt;'[2]Read Me'!$B$4,"Red",IF($H22-'[2]Read Me'!$B$4&lt;=21,"Amber","Green"))))</f>
        <v>Red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405</v>
      </c>
      <c r="B23" s="2" t="s">
        <v>49</v>
      </c>
      <c r="C23" s="3" t="s">
        <v>50</v>
      </c>
      <c r="D23" s="3" t="s">
        <v>414</v>
      </c>
      <c r="E23" s="2"/>
      <c r="F23" s="2"/>
      <c r="G23" s="5">
        <v>45945.5</v>
      </c>
      <c r="H23" s="5">
        <v>46022</v>
      </c>
      <c r="I23" s="2" t="s">
        <v>31</v>
      </c>
      <c r="J23" s="6">
        <f t="shared" si="1"/>
        <v>76.5</v>
      </c>
      <c r="K23" s="4" t="str">
        <f t="shared" ca="1" si="2"/>
        <v>-</v>
      </c>
      <c r="L23" s="7" t="str">
        <f>IF(I23="Completed","0",IF($H23="","",$H23-'[2]Read Me'!$B$4))</f>
        <v>0</v>
      </c>
      <c r="M23" s="4" t="str">
        <f>IF($I23="Complete","Green",IF($H23="","Amber",IF($H23&lt;'[2]Read Me'!$B$4,"Red",IF($H23-'[2]Read Me'!$B$4&lt;=21,"Amber","Green"))))</f>
        <v>Red</v>
      </c>
      <c r="N23" s="3"/>
      <c r="O23" t="str">
        <f>IF($I23&lt;&gt;"Complete",IF(COUNTIFS($A$4:$A22,$A23,$B$4:$B22,$B23,$I$4:$I22,"&lt;&gt;Complete")=0,$A23&amp;"|"&amp;$B23,""),"")</f>
        <v/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405</v>
      </c>
      <c r="B24" s="2" t="s">
        <v>49</v>
      </c>
      <c r="C24" s="3" t="s">
        <v>50</v>
      </c>
      <c r="D24" s="3" t="s">
        <v>415</v>
      </c>
      <c r="E24" s="2"/>
      <c r="F24" s="2"/>
      <c r="G24" s="5"/>
      <c r="H24" s="5">
        <v>46099</v>
      </c>
      <c r="I24" s="2" t="s">
        <v>31</v>
      </c>
      <c r="J24" s="6" t="str">
        <f t="shared" si="1"/>
        <v/>
      </c>
      <c r="K24" s="4" t="str">
        <f t="shared" ca="1" si="2"/>
        <v>-</v>
      </c>
      <c r="L24" s="7" t="str">
        <f>IF(I24="Completed","0",IF($H24="","",$H24-'[2]Read Me'!$B$4))</f>
        <v>0</v>
      </c>
      <c r="M24" s="4" t="str">
        <f>IF($I24="Complete","Green",IF($H24="","Amber",IF($H24&lt;'[2]Read Me'!$B$4,"Red",IF($H24-'[2]Read Me'!$B$4&lt;=21,"Amber","Green"))))</f>
        <v>Red</v>
      </c>
      <c r="N24" s="3"/>
      <c r="O24" t="str">
        <f>IF($I24&lt;&gt;"Complete",IF(COUNTIFS($A$4:$A23,$A24,$B$4:$B23,$B24,$I$4:$I23,"&lt;&gt;Complete")=0,$A24&amp;"|"&amp;$B24,""),"")</f>
        <v/>
      </c>
      <c r="P24" t="str">
        <f ca="1">IF($K24="Yes",COUNTIFS($K$4:$K24,"Yes"),"")</f>
        <v/>
      </c>
      <c r="Q24">
        <f t="shared" ca="1" si="3"/>
        <v>0</v>
      </c>
      <c r="R24" t="str">
        <f ca="1">IF($Q24=1,SUM($Q$4:$Q24),"")</f>
        <v/>
      </c>
    </row>
    <row r="25" spans="1:18" ht="33.75" customHeight="1" x14ac:dyDescent="0.3">
      <c r="A25" s="2" t="s">
        <v>405</v>
      </c>
      <c r="B25" s="2" t="s">
        <v>140</v>
      </c>
      <c r="C25" s="3"/>
      <c r="D25" s="3"/>
      <c r="E25" s="2"/>
      <c r="F25" s="2"/>
      <c r="G25" s="5">
        <v>45515.875</v>
      </c>
      <c r="H25" s="5">
        <v>45515.875</v>
      </c>
      <c r="I25" s="2"/>
      <c r="J25" s="6">
        <f t="shared" si="1"/>
        <v>0</v>
      </c>
      <c r="K25" s="4" t="str">
        <f t="shared" ca="1" si="2"/>
        <v/>
      </c>
      <c r="L25" s="7">
        <f>IF(I25="Completed","0",IF($H25="","",$H25-'[2]Read Me'!$B$4))</f>
        <v>-671.125</v>
      </c>
      <c r="M25" s="4" t="str">
        <f>IF($I25="Complete","Green",IF($H25="","Amber",IF($H25&lt;'[2]Read Me'!$B$4,"Red",IF($H25-'[2]Read Me'!$B$4&lt;=21,"Amber","Green"))))</f>
        <v>Red</v>
      </c>
      <c r="N25" s="3"/>
      <c r="O25" t="str">
        <f>IF($I25&lt;&gt;"Complete",IF(COUNTIFS($A$4:$A24,$A25,$B$4:$B24,$B25,$I$4:$I24,"&lt;&gt;Complete")=0,$A25&amp;"|"&amp;$B25,""),"")</f>
        <v>Ph.01&amp;02|Masterplan</v>
      </c>
      <c r="P25" t="str">
        <f ca="1">IF($K25="Yes",COUNTIFS($K$4:$K25,"Yes"),"")</f>
        <v/>
      </c>
      <c r="Q25">
        <f t="shared" ca="1" si="3"/>
        <v>0</v>
      </c>
      <c r="R25" t="str">
        <f ca="1">IF($Q25=1,SUM($Q$4:$Q25),"")</f>
        <v/>
      </c>
    </row>
    <row r="26" spans="1:18" ht="33.75" customHeight="1" x14ac:dyDescent="0.3">
      <c r="A26" s="2" t="s">
        <v>405</v>
      </c>
      <c r="B26" s="2" t="s">
        <v>140</v>
      </c>
      <c r="C26" s="3" t="s">
        <v>416</v>
      </c>
      <c r="D26" s="3" t="s">
        <v>58</v>
      </c>
      <c r="E26" s="2"/>
      <c r="F26" s="2"/>
      <c r="G26" s="5">
        <v>45522.875</v>
      </c>
      <c r="H26" s="5">
        <v>45522.875</v>
      </c>
      <c r="I26" s="2" t="s">
        <v>31</v>
      </c>
      <c r="J26" s="6">
        <f t="shared" si="1"/>
        <v>0</v>
      </c>
      <c r="K26" s="4" t="str">
        <f t="shared" ca="1" si="2"/>
        <v>-</v>
      </c>
      <c r="L26" s="7" t="str">
        <f>IF(I26="Completed","0",IF($H26="","",$H26-'[2]Read Me'!$B$4))</f>
        <v>0</v>
      </c>
      <c r="M26" s="4" t="str">
        <f>IF($I26="Complete","Green",IF($H26="","Amber",IF($H26&lt;'[2]Read Me'!$B$4,"Red",IF($H26-'[2]Read Me'!$B$4&lt;=21,"Amber","Green"))))</f>
        <v>Red</v>
      </c>
      <c r="N26" s="3"/>
      <c r="O26" t="str">
        <f>IF($I26&lt;&gt;"Complete",IF(COUNTIFS($A$4:$A25,$A26,$B$4:$B25,$B26,$I$4:$I25,"&lt;&gt;Complete")=0,$A26&amp;"|"&amp;$B26,""),"")</f>
        <v/>
      </c>
      <c r="P26" t="str">
        <f ca="1">IF($K26="Yes",COUNTIFS($K$4:$K26,"Yes"),"")</f>
        <v/>
      </c>
      <c r="Q26">
        <f t="shared" ca="1" si="3"/>
        <v>0</v>
      </c>
      <c r="R26" t="str">
        <f ca="1">IF($Q26=1,SUM($Q$4:$Q26),"")</f>
        <v/>
      </c>
    </row>
    <row r="27" spans="1:18" ht="33.75" customHeight="1" x14ac:dyDescent="0.3">
      <c r="A27" s="2" t="s">
        <v>405</v>
      </c>
      <c r="B27" s="2" t="s">
        <v>140</v>
      </c>
      <c r="C27" s="3" t="s">
        <v>416</v>
      </c>
      <c r="D27" s="3" t="s">
        <v>417</v>
      </c>
      <c r="E27" s="2"/>
      <c r="F27" s="2"/>
      <c r="G27" s="5">
        <v>45536.875</v>
      </c>
      <c r="H27" s="5">
        <v>45536.875</v>
      </c>
      <c r="I27" s="2" t="s">
        <v>31</v>
      </c>
      <c r="J27" s="6">
        <f t="shared" si="1"/>
        <v>0</v>
      </c>
      <c r="K27" s="4" t="str">
        <f t="shared" ca="1" si="2"/>
        <v>-</v>
      </c>
      <c r="L27" s="7" t="str">
        <f>IF(I27="Completed","0",IF($H27="","",$H27-'[2]Read Me'!$B$4))</f>
        <v>0</v>
      </c>
      <c r="M27" s="4" t="str">
        <f>IF($I27="Complete","Green",IF($H27="","Amber",IF($H27&lt;'[2]Read Me'!$B$4,"Red",IF($H27-'[2]Read Me'!$B$4&lt;=21,"Amber","Green"))))</f>
        <v>Red</v>
      </c>
      <c r="N27" s="3"/>
      <c r="O27" t="str">
        <f>IF($I27&lt;&gt;"Complete",IF(COUNTIFS($A$4:$A26,$A27,$B$4:$B26,$B27,$I$4:$I26,"&lt;&gt;Complete")=0,$A27&amp;"|"&amp;$B27,""),"")</f>
        <v/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405</v>
      </c>
      <c r="B28" s="2" t="s">
        <v>140</v>
      </c>
      <c r="C28" s="3" t="s">
        <v>416</v>
      </c>
      <c r="D28" s="3" t="s">
        <v>58</v>
      </c>
      <c r="E28" s="2"/>
      <c r="F28" s="2"/>
      <c r="G28" s="5">
        <v>45550.875</v>
      </c>
      <c r="H28" s="5">
        <v>45550.875</v>
      </c>
      <c r="I28" s="2" t="s">
        <v>31</v>
      </c>
      <c r="J28" s="6">
        <f t="shared" si="1"/>
        <v>0</v>
      </c>
      <c r="K28" s="4" t="str">
        <f t="shared" ca="1" si="2"/>
        <v>-</v>
      </c>
      <c r="L28" s="7" t="str">
        <f>IF(I28="Completed","0",IF($H28="","",$H28-'[2]Read Me'!$B$4))</f>
        <v>0</v>
      </c>
      <c r="M28" s="4" t="str">
        <f>IF($I28="Complete","Green",IF($H28="","Amber",IF($H28&lt;'[2]Read Me'!$B$4,"Red",IF($H28-'[2]Read Me'!$B$4&lt;=21,"Amber","Green"))))</f>
        <v>Red</v>
      </c>
      <c r="N28" s="3"/>
      <c r="O28" t="str">
        <f>IF($I28&lt;&gt;"Complete",IF(COUNTIFS($A$4:$A27,$A28,$B$4:$B27,$B28,$I$4:$I27,"&lt;&gt;Complete")=0,$A28&amp;"|"&amp;$B28,""),"")</f>
        <v/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405</v>
      </c>
      <c r="B29" s="2" t="s">
        <v>140</v>
      </c>
      <c r="C29" s="3" t="s">
        <v>416</v>
      </c>
      <c r="D29" s="3" t="s">
        <v>418</v>
      </c>
      <c r="E29" s="2"/>
      <c r="F29" s="2"/>
      <c r="G29" s="5">
        <v>45578.875</v>
      </c>
      <c r="H29" s="5">
        <v>45578.875</v>
      </c>
      <c r="I29" s="2" t="s">
        <v>31</v>
      </c>
      <c r="J29" s="6">
        <f t="shared" si="1"/>
        <v>0</v>
      </c>
      <c r="K29" s="4" t="str">
        <f t="shared" ca="1" si="2"/>
        <v>-</v>
      </c>
      <c r="L29" s="7" t="str">
        <f>IF(I29="Completed","0",IF($H29="","",$H29-'[2]Read Me'!$B$4))</f>
        <v>0</v>
      </c>
      <c r="M29" s="4" t="str">
        <f>IF($I29="Complete","Green",IF($H29="","Amber",IF($H29&lt;'[2]Read Me'!$B$4,"Red",IF($H29-'[2]Read Me'!$B$4&lt;=21,"Amber","Green"))))</f>
        <v>Red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405</v>
      </c>
      <c r="B30" s="2" t="s">
        <v>140</v>
      </c>
      <c r="C30" s="3" t="s">
        <v>416</v>
      </c>
      <c r="D30" s="3" t="s">
        <v>58</v>
      </c>
      <c r="E30" s="2"/>
      <c r="F30" s="2"/>
      <c r="G30" s="5">
        <v>45592.875</v>
      </c>
      <c r="H30" s="5">
        <v>45592.875</v>
      </c>
      <c r="I30" s="2" t="s">
        <v>31</v>
      </c>
      <c r="J30" s="6">
        <f t="shared" si="1"/>
        <v>0</v>
      </c>
      <c r="K30" s="4" t="str">
        <f t="shared" ca="1" si="2"/>
        <v>-</v>
      </c>
      <c r="L30" s="7" t="str">
        <f>IF(I30="Completed","0",IF($H30="","",$H30-'[2]Read Me'!$B$4))</f>
        <v>0</v>
      </c>
      <c r="M30" s="4" t="str">
        <f>IF($I30="Complete","Green",IF($H30="","Amber",IF($H30&lt;'[2]Read Me'!$B$4,"Red",IF($H30-'[2]Read Me'!$B$4&lt;=21,"Amber","Green"))))</f>
        <v>Red</v>
      </c>
      <c r="N30" s="3"/>
      <c r="O30" t="str">
        <f>IF($I30&lt;&gt;"Complete",IF(COUNTIFS($A$4:$A29,$A30,$B$4:$B29,$B30,$I$4:$I29,"&lt;&gt;Complete")=0,$A30&amp;"|"&amp;$B30,""),"")</f>
        <v/>
      </c>
      <c r="P30" t="str">
        <f ca="1">IF($K30="Yes",COUNTIFS($K$4:$K30,"Yes"),"")</f>
        <v/>
      </c>
      <c r="Q30">
        <f t="shared" ca="1" si="3"/>
        <v>0</v>
      </c>
      <c r="R30" t="str">
        <f ca="1">IF($Q30=1,SUM($Q$4:$Q30),"")</f>
        <v/>
      </c>
    </row>
    <row r="31" spans="1:18" ht="14.25" customHeight="1" x14ac:dyDescent="0.3">
      <c r="A31" s="2" t="s">
        <v>405</v>
      </c>
      <c r="B31" s="2" t="s">
        <v>140</v>
      </c>
      <c r="C31" s="3" t="s">
        <v>416</v>
      </c>
      <c r="D31" s="3" t="s">
        <v>57</v>
      </c>
      <c r="E31" s="2"/>
      <c r="F31" s="2"/>
      <c r="G31" s="5">
        <v>45606.875</v>
      </c>
      <c r="H31" s="5">
        <v>45606.875</v>
      </c>
      <c r="I31" s="2" t="s">
        <v>31</v>
      </c>
      <c r="J31" s="6">
        <f t="shared" si="1"/>
        <v>0</v>
      </c>
      <c r="K31" s="4" t="str">
        <f t="shared" ca="1" si="2"/>
        <v>-</v>
      </c>
      <c r="L31" s="7" t="str">
        <f>IF(I31="Completed","0",IF($H31="","",$H31-'[2]Read Me'!$B$4))</f>
        <v>0</v>
      </c>
      <c r="M31" s="4" t="str">
        <f>IF($I31="Complete","Green",IF($H31="","Amber",IF($H31&lt;'[2]Read Me'!$B$4,"Red",IF($H31-'[2]Read Me'!$B$4&lt;=21,"Amber","Green"))))</f>
        <v>Red</v>
      </c>
      <c r="N31" s="3"/>
      <c r="O31" t="str">
        <f>IF($I31&lt;&gt;"Complete",IF(COUNTIFS($A$4:$A30,$A31,$B$4:$B30,$B31,$I$4:$I30,"&lt;&gt;Complete")=0,$A31&amp;"|"&amp;$B31,""),"")</f>
        <v/>
      </c>
      <c r="P31" t="str">
        <f ca="1">IF($K31="Yes",COUNTIFS($K$4:$K31,"Yes"),"")</f>
        <v/>
      </c>
      <c r="Q31">
        <f t="shared" ca="1" si="3"/>
        <v>0</v>
      </c>
      <c r="R31" t="str">
        <f ca="1">IF($Q31=1,SUM($Q$4:$Q31),"")</f>
        <v/>
      </c>
    </row>
    <row r="32" spans="1:18" ht="14.25" customHeight="1" x14ac:dyDescent="0.3">
      <c r="A32" s="2" t="s">
        <v>405</v>
      </c>
      <c r="B32" s="2" t="s">
        <v>140</v>
      </c>
      <c r="C32" s="3" t="s">
        <v>416</v>
      </c>
      <c r="D32" s="3" t="s">
        <v>58</v>
      </c>
      <c r="E32" s="2"/>
      <c r="F32" s="2"/>
      <c r="G32" s="5">
        <v>45620.875</v>
      </c>
      <c r="H32" s="5">
        <v>45620.875</v>
      </c>
      <c r="I32" s="2" t="s">
        <v>31</v>
      </c>
      <c r="J32" s="6">
        <f t="shared" si="1"/>
        <v>0</v>
      </c>
      <c r="K32" s="4" t="str">
        <f t="shared" ca="1" si="2"/>
        <v>-</v>
      </c>
      <c r="L32" s="7" t="str">
        <f>IF(I32="Completed","0",IF($H32="","",$H32-'[2]Read Me'!$B$4))</f>
        <v>0</v>
      </c>
      <c r="M32" s="4" t="str">
        <f>IF($I32="Complete","Green",IF($H32="","Amber",IF($H32&lt;'[2]Read Me'!$B$4,"Red",IF($H32-'[2]Read Me'!$B$4&lt;=21,"Amber","Green"))))</f>
        <v>Red</v>
      </c>
      <c r="N32" s="3"/>
      <c r="O32" t="str">
        <f>IF($I32&lt;&gt;"Complete",IF(COUNTIFS($A$4:$A31,$A32,$B$4:$B31,$B32,$I$4:$I31,"&lt;&gt;Complete")=0,$A32&amp;"|"&amp;$B32,""),"")</f>
        <v/>
      </c>
      <c r="P32" t="str">
        <f ca="1">IF($K32="Yes",COUNTIFS($K$4:$K32,"Yes"),"")</f>
        <v/>
      </c>
      <c r="Q32">
        <f t="shared" ca="1" si="3"/>
        <v>0</v>
      </c>
      <c r="R32" t="str">
        <f ca="1">IF($Q32=1,SUM($Q$4:$Q32),"")</f>
        <v/>
      </c>
    </row>
    <row r="33" spans="1:18" ht="14.25" customHeight="1" x14ac:dyDescent="0.3">
      <c r="A33" s="2" t="s">
        <v>405</v>
      </c>
      <c r="B33" s="2" t="s">
        <v>140</v>
      </c>
      <c r="C33" s="3" t="s">
        <v>416</v>
      </c>
      <c r="D33" s="3" t="s">
        <v>388</v>
      </c>
      <c r="E33" s="2"/>
      <c r="F33" s="2"/>
      <c r="G33" s="5">
        <v>45634.875</v>
      </c>
      <c r="H33" s="5">
        <v>45634.875</v>
      </c>
      <c r="I33" s="2" t="s">
        <v>31</v>
      </c>
      <c r="J33" s="6">
        <f t="shared" si="1"/>
        <v>0</v>
      </c>
      <c r="K33" s="4" t="str">
        <f t="shared" ca="1" si="2"/>
        <v>-</v>
      </c>
      <c r="L33" s="7" t="str">
        <f>IF(I33="Completed","0",IF($H33="","",$H33-'[2]Read Me'!$B$4))</f>
        <v>0</v>
      </c>
      <c r="M33" s="4" t="str">
        <f>IF($I33="Complete","Green",IF($H33="","Amber",IF($H33&lt;'[2]Read Me'!$B$4,"Red",IF($H33-'[2]Read Me'!$B$4&lt;=21,"Amber","Green"))))</f>
        <v>Red</v>
      </c>
      <c r="N33" s="3"/>
      <c r="O33" t="str">
        <f>IF($I33&lt;&gt;"Complete",IF(COUNTIFS($A$4:$A32,$A33,$B$4:$B32,$B33,$I$4:$I32,"&lt;&gt;Complete")=0,$A33&amp;"|"&amp;$B33,""),"")</f>
        <v/>
      </c>
      <c r="P33" t="str">
        <f ca="1">IF($K33="Yes",COUNTIFS($K$4:$K33,"Yes"),"")</f>
        <v/>
      </c>
      <c r="Q33">
        <f t="shared" ca="1" si="3"/>
        <v>0</v>
      </c>
      <c r="R33" t="str">
        <f ca="1">IF($Q33=1,SUM($Q$4:$Q33),"")</f>
        <v/>
      </c>
    </row>
    <row r="34" spans="1:18" ht="14.25" customHeight="1" x14ac:dyDescent="0.3">
      <c r="A34" s="2" t="s">
        <v>419</v>
      </c>
      <c r="B34" s="2" t="s">
        <v>62</v>
      </c>
      <c r="C34" s="3"/>
      <c r="D34" s="3"/>
      <c r="E34" s="2"/>
      <c r="F34" s="2"/>
      <c r="G34" s="5">
        <v>46132</v>
      </c>
      <c r="H34" s="5">
        <v>46314</v>
      </c>
      <c r="I34" s="2"/>
      <c r="J34" s="6">
        <f t="shared" si="1"/>
        <v>182</v>
      </c>
      <c r="K34" s="4" t="str">
        <f t="shared" ca="1" si="2"/>
        <v/>
      </c>
      <c r="L34" s="7">
        <f>IF(I34="Completed","0",IF($H34="","",$H34-'[2]Read Me'!$B$4))</f>
        <v>127</v>
      </c>
      <c r="M34" s="4" t="str">
        <f>IF($I34="Complete","Green",IF($H34="","Amber",IF($H34&lt;'[2]Read Me'!$B$4,"Red",IF($H34-'[2]Read Me'!$B$4&lt;=21,"Amber","Green"))))</f>
        <v>Green</v>
      </c>
      <c r="N34" s="3"/>
      <c r="O34" t="str">
        <f>IF($I34&lt;&gt;"Complete",IF(COUNTIFS($A$4:$A33,$A34,$B$4:$B33,$B34,$I$4:$I33,"&lt;&gt;Complete")=0,$A34&amp;"|"&amp;$B34,""),"")</f>
        <v>Ph.03&amp;04|Buildings</v>
      </c>
      <c r="P34" t="str">
        <f ca="1">IF($K34="Yes",COUNTIFS($K$4:$K34,"Yes"),"")</f>
        <v/>
      </c>
      <c r="Q34">
        <f t="shared" ca="1" si="3"/>
        <v>0</v>
      </c>
      <c r="R34" t="str">
        <f ca="1">IF($Q34=1,SUM($Q$4:$Q34),"")</f>
        <v/>
      </c>
    </row>
    <row r="35" spans="1:18" ht="14.25" customHeight="1" x14ac:dyDescent="0.3">
      <c r="A35" s="2" t="s">
        <v>419</v>
      </c>
      <c r="B35" s="2" t="s">
        <v>62</v>
      </c>
      <c r="C35" s="3" t="s">
        <v>420</v>
      </c>
      <c r="D35" s="3" t="s">
        <v>407</v>
      </c>
      <c r="E35" s="2"/>
      <c r="F35" s="2" t="s">
        <v>197</v>
      </c>
      <c r="G35" s="5">
        <v>45728</v>
      </c>
      <c r="H35" s="5">
        <v>45761</v>
      </c>
      <c r="I35" s="2" t="s">
        <v>31</v>
      </c>
      <c r="J35" s="6">
        <f t="shared" si="1"/>
        <v>33</v>
      </c>
      <c r="K35" s="4" t="str">
        <f t="shared" ca="1" si="2"/>
        <v>-</v>
      </c>
      <c r="L35" s="7" t="str">
        <f>IF(I35="Completed","0",IF($H35="","",$H35-'[2]Read Me'!$B$4))</f>
        <v>0</v>
      </c>
      <c r="M35" s="4" t="str">
        <f>IF($I35="Complete","Green",IF($H35="","Amber",IF($H35&lt;'[2]Read Me'!$B$4,"Red",IF($H35-'[2]Read Me'!$B$4&lt;=21,"Amber","Green"))))</f>
        <v>Red</v>
      </c>
      <c r="N35" s="3"/>
      <c r="O35" t="str">
        <f>IF($I35&lt;&gt;"Complete",IF(COUNTIFS($A$4:$A34,$A35,$B$4:$B34,$B35,$I$4:$I34,"&lt;&gt;Complete")=0,$A35&amp;"|"&amp;$B35,""),"")</f>
        <v/>
      </c>
      <c r="P35" t="str">
        <f ca="1">IF($K35="Yes",COUNTIFS($K$4:$K35,"Yes"),"")</f>
        <v/>
      </c>
      <c r="Q35">
        <f t="shared" ca="1" si="3"/>
        <v>0</v>
      </c>
      <c r="R35" t="str">
        <f ca="1">IF($Q35=1,SUM($Q$4:$Q35),"")</f>
        <v/>
      </c>
    </row>
    <row r="36" spans="1:18" ht="14.25" customHeight="1" x14ac:dyDescent="0.3">
      <c r="A36" s="2" t="s">
        <v>419</v>
      </c>
      <c r="B36" s="2" t="s">
        <v>62</v>
      </c>
      <c r="C36" s="3" t="s">
        <v>420</v>
      </c>
      <c r="D36" s="3" t="s">
        <v>58</v>
      </c>
      <c r="E36" s="2"/>
      <c r="F36" s="2"/>
      <c r="G36" s="5">
        <v>45742</v>
      </c>
      <c r="H36" s="5">
        <v>45778</v>
      </c>
      <c r="I36" s="2" t="s">
        <v>31</v>
      </c>
      <c r="J36" s="6">
        <f t="shared" si="1"/>
        <v>36</v>
      </c>
      <c r="K36" s="4" t="str">
        <f t="shared" ca="1" si="2"/>
        <v>-</v>
      </c>
      <c r="L36" s="7" t="str">
        <f>IF(I36="Completed","0",IF($H36="","",$H36-'[2]Read Me'!$B$4))</f>
        <v>0</v>
      </c>
      <c r="M36" s="4" t="str">
        <f>IF($I36="Complete","Green",IF($H36="","Amber",IF($H36&lt;'[2]Read Me'!$B$4,"Red",IF($H36-'[2]Read Me'!$B$4&lt;=21,"Amber","Green"))))</f>
        <v>Red</v>
      </c>
      <c r="N36" s="3"/>
      <c r="O36" t="str">
        <f>IF($I36&lt;&gt;"Complete",IF(COUNTIFS($A$4:$A35,$A36,$B$4:$B35,$B36,$I$4:$I35,"&lt;&gt;Complete")=0,$A36&amp;"|"&amp;$B36,""),"")</f>
        <v/>
      </c>
      <c r="P36" t="str">
        <f ca="1">IF($K36="Yes",COUNTIFS($K$4:$K36,"Yes"),"")</f>
        <v/>
      </c>
      <c r="Q36">
        <f t="shared" ca="1" si="3"/>
        <v>0</v>
      </c>
      <c r="R36" t="str">
        <f ca="1">IF($Q36=1,SUM($Q$4:$Q36),"")</f>
        <v/>
      </c>
    </row>
    <row r="37" spans="1:18" ht="14.25" customHeight="1" x14ac:dyDescent="0.3">
      <c r="A37" s="2" t="s">
        <v>419</v>
      </c>
      <c r="B37" s="2" t="s">
        <v>62</v>
      </c>
      <c r="C37" s="3" t="s">
        <v>420</v>
      </c>
      <c r="D37" s="3" t="s">
        <v>408</v>
      </c>
      <c r="E37" s="2"/>
      <c r="F37" s="2" t="s">
        <v>197</v>
      </c>
      <c r="G37" s="5">
        <v>45770</v>
      </c>
      <c r="H37" s="5">
        <v>45808</v>
      </c>
      <c r="I37" s="2" t="s">
        <v>31</v>
      </c>
      <c r="J37" s="6">
        <f t="shared" si="1"/>
        <v>38</v>
      </c>
      <c r="K37" s="4" t="str">
        <f t="shared" ca="1" si="2"/>
        <v>-</v>
      </c>
      <c r="L37" s="7" t="str">
        <f>IF(I37="Completed","0",IF($H37="","",$H37-'[2]Read Me'!$B$4))</f>
        <v>0</v>
      </c>
      <c r="M37" s="4" t="str">
        <f>IF($I37="Complete","Green",IF($H37="","Amber",IF($H37&lt;'[2]Read Me'!$B$4,"Red",IF($H37-'[2]Read Me'!$B$4&lt;=21,"Amber","Green"))))</f>
        <v>Red</v>
      </c>
      <c r="N37" s="3"/>
      <c r="O37" t="str">
        <f>IF($I37&lt;&gt;"Complete",IF(COUNTIFS($A$4:$A36,$A37,$B$4:$B36,$B37,$I$4:$I36,"&lt;&gt;Complete")=0,$A37&amp;"|"&amp;$B37,""),"")</f>
        <v/>
      </c>
      <c r="P37" t="str">
        <f ca="1">IF($K37="Yes",COUNTIFS($K$4:$K37,"Yes"),"")</f>
        <v/>
      </c>
      <c r="Q37">
        <f t="shared" ca="1" si="3"/>
        <v>0</v>
      </c>
      <c r="R37" t="str">
        <f ca="1">IF($Q37=1,SUM($Q$4:$Q37),"")</f>
        <v/>
      </c>
    </row>
    <row r="38" spans="1:18" ht="14.25" customHeight="1" x14ac:dyDescent="0.3">
      <c r="A38" s="2" t="s">
        <v>419</v>
      </c>
      <c r="B38" s="2" t="s">
        <v>62</v>
      </c>
      <c r="C38" s="3" t="s">
        <v>420</v>
      </c>
      <c r="D38" s="3" t="s">
        <v>58</v>
      </c>
      <c r="E38" s="2"/>
      <c r="F38" s="2"/>
      <c r="G38" s="5">
        <v>45784</v>
      </c>
      <c r="H38" s="5">
        <v>45822</v>
      </c>
      <c r="I38" s="2" t="s">
        <v>31</v>
      </c>
      <c r="J38" s="6">
        <f t="shared" si="1"/>
        <v>38</v>
      </c>
      <c r="K38" s="4" t="str">
        <f t="shared" ca="1" si="2"/>
        <v>-</v>
      </c>
      <c r="L38" s="7" t="str">
        <f>IF(I38="Completed","0",IF($H38="","",$H38-'[2]Read Me'!$B$4))</f>
        <v>0</v>
      </c>
      <c r="M38" s="4" t="str">
        <f>IF($I38="Complete","Green",IF($H38="","Amber",IF($H38&lt;'[2]Read Me'!$B$4,"Red",IF($H38-'[2]Read Me'!$B$4&lt;=21,"Amber","Green"))))</f>
        <v>Red</v>
      </c>
      <c r="N38" s="3"/>
      <c r="O38" t="str">
        <f>IF($I38&lt;&gt;"Complete",IF(COUNTIFS($A$4:$A37,$A38,$B$4:$B37,$B38,$I$4:$I37,"&lt;&gt;Complete")=0,$A38&amp;"|"&amp;$B38,""),"")</f>
        <v/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419</v>
      </c>
      <c r="B39" s="2" t="s">
        <v>62</v>
      </c>
      <c r="C39" s="3" t="s">
        <v>420</v>
      </c>
      <c r="D39" s="3" t="s">
        <v>409</v>
      </c>
      <c r="E39" s="2"/>
      <c r="F39" s="2"/>
      <c r="G39" s="5">
        <v>45784</v>
      </c>
      <c r="H39" s="5">
        <v>45822</v>
      </c>
      <c r="I39" s="2" t="s">
        <v>31</v>
      </c>
      <c r="J39" s="6">
        <f t="shared" si="1"/>
        <v>38</v>
      </c>
      <c r="K39" s="4" t="str">
        <f t="shared" ca="1" si="2"/>
        <v>-</v>
      </c>
      <c r="L39" s="7" t="str">
        <f>IF(I39="Completed","0",IF($H39="","",$H39-'[2]Read Me'!$B$4))</f>
        <v>0</v>
      </c>
      <c r="M39" s="4" t="str">
        <f>IF($I39="Complete","Green",IF($H39="","Amber",IF($H39&lt;'[2]Read Me'!$B$4,"Red",IF($H39-'[2]Read Me'!$B$4&lt;=21,"Amber","Green"))))</f>
        <v>Red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 t="s">
        <v>419</v>
      </c>
      <c r="B40" s="2" t="s">
        <v>62</v>
      </c>
      <c r="C40" s="3" t="s">
        <v>420</v>
      </c>
      <c r="D40" s="3" t="s">
        <v>410</v>
      </c>
      <c r="E40" s="2"/>
      <c r="F40" s="2" t="s">
        <v>197</v>
      </c>
      <c r="G40" s="5">
        <v>45812</v>
      </c>
      <c r="H40" s="5">
        <v>45852</v>
      </c>
      <c r="I40" s="2" t="s">
        <v>31</v>
      </c>
      <c r="J40" s="6">
        <f t="shared" si="1"/>
        <v>40</v>
      </c>
      <c r="K40" s="4" t="str">
        <f t="shared" ca="1" si="2"/>
        <v>-</v>
      </c>
      <c r="L40" s="7" t="str">
        <f>IF(I40="Completed","0",IF($H40="","",$H40-'[2]Read Me'!$B$4))</f>
        <v>0</v>
      </c>
      <c r="M40" s="4" t="str">
        <f>IF($I40="Complete","Green",IF($H40="","Amber",IF($H40&lt;'[2]Read Me'!$B$4,"Red",IF($H40-'[2]Read Me'!$B$4&lt;=21,"Amber","Green"))))</f>
        <v>Red</v>
      </c>
      <c r="N40" s="3"/>
      <c r="O40" t="str">
        <f>IF($I40&lt;&gt;"Complete",IF(COUNTIFS($A$4:$A39,$A40,$B$4:$B39,$B40,$I$4:$I39,"&lt;&gt;Complete")=0,$A40&amp;"|"&amp;$B40,""),"")</f>
        <v/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 t="s">
        <v>419</v>
      </c>
      <c r="B41" s="2" t="s">
        <v>62</v>
      </c>
      <c r="C41" s="3" t="s">
        <v>420</v>
      </c>
      <c r="D41" s="3" t="s">
        <v>58</v>
      </c>
      <c r="E41" s="2"/>
      <c r="F41" s="2"/>
      <c r="G41" s="5">
        <v>45826</v>
      </c>
      <c r="H41" s="5">
        <v>45868</v>
      </c>
      <c r="I41" s="2" t="s">
        <v>31</v>
      </c>
      <c r="J41" s="6">
        <f t="shared" si="1"/>
        <v>42</v>
      </c>
      <c r="K41" s="4" t="str">
        <f t="shared" ca="1" si="2"/>
        <v>-</v>
      </c>
      <c r="L41" s="7" t="str">
        <f>IF(I41="Completed","0",IF($H41="","",$H41-'[2]Read Me'!$B$4))</f>
        <v>0</v>
      </c>
      <c r="M41" s="4" t="str">
        <f>IF($I41="Complete","Green",IF($H41="","Amber",IF($H41&lt;'[2]Read Me'!$B$4,"Red",IF($H41-'[2]Read Me'!$B$4&lt;=21,"Amber","Green"))))</f>
        <v>Red</v>
      </c>
      <c r="N41" s="3"/>
      <c r="O41" t="str">
        <f>IF($I41&lt;&gt;"Complete",IF(COUNTIFS($A$4:$A40,$A41,$B$4:$B40,$B41,$I$4:$I40,"&lt;&gt;Complete")=0,$A41&amp;"|"&amp;$B41,""),"")</f>
        <v/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 t="s">
        <v>419</v>
      </c>
      <c r="B42" s="2" t="s">
        <v>62</v>
      </c>
      <c r="C42" s="3" t="s">
        <v>420</v>
      </c>
      <c r="D42" s="3" t="s">
        <v>411</v>
      </c>
      <c r="E42" s="2"/>
      <c r="F42" s="2" t="s">
        <v>197</v>
      </c>
      <c r="G42" s="5">
        <v>45840</v>
      </c>
      <c r="H42" s="5">
        <v>45901</v>
      </c>
      <c r="I42" s="2" t="s">
        <v>31</v>
      </c>
      <c r="J42" s="6">
        <f t="shared" si="1"/>
        <v>61</v>
      </c>
      <c r="K42" s="4" t="str">
        <f t="shared" ca="1" si="2"/>
        <v>-</v>
      </c>
      <c r="L42" s="7" t="str">
        <f>IF(I42="Completed","0",IF($H42="","",$H42-'[2]Read Me'!$B$4))</f>
        <v>0</v>
      </c>
      <c r="M42" s="4" t="str">
        <f>IF($I42="Complete","Green",IF($H42="","Amber",IF($H42&lt;'[2]Read Me'!$B$4,"Red",IF($H42-'[2]Read Me'!$B$4&lt;=21,"Amber","Green"))))</f>
        <v>Red</v>
      </c>
      <c r="N42" s="3"/>
      <c r="O42" t="str">
        <f>IF($I42&lt;&gt;"Complete",IF(COUNTIFS($A$4:$A41,$A42,$B$4:$B41,$B42,$I$4:$I41,"&lt;&gt;Complete")=0,$A42&amp;"|"&amp;$B42,""),"")</f>
        <v/>
      </c>
      <c r="P42" t="str">
        <f ca="1">IF($K42="Yes",COUNTIFS($K$4:$K42,"Yes"),"")</f>
        <v/>
      </c>
      <c r="Q42">
        <f t="shared" ca="1" si="3"/>
        <v>0</v>
      </c>
      <c r="R42" t="str">
        <f ca="1">IF($Q42=1,SUM($Q$4:$Q42),"")</f>
        <v/>
      </c>
    </row>
    <row r="43" spans="1:18" ht="22.5" customHeight="1" x14ac:dyDescent="0.3">
      <c r="A43" s="2" t="s">
        <v>419</v>
      </c>
      <c r="B43" s="2" t="s">
        <v>62</v>
      </c>
      <c r="C43" s="3" t="s">
        <v>420</v>
      </c>
      <c r="D43" s="3" t="s">
        <v>58</v>
      </c>
      <c r="E43" s="2"/>
      <c r="F43" s="2"/>
      <c r="G43" s="5">
        <v>45854</v>
      </c>
      <c r="H43" s="5">
        <v>45914</v>
      </c>
      <c r="I43" s="2" t="s">
        <v>31</v>
      </c>
      <c r="J43" s="6">
        <f t="shared" si="1"/>
        <v>60</v>
      </c>
      <c r="K43" s="4" t="str">
        <f t="shared" ca="1" si="2"/>
        <v>-</v>
      </c>
      <c r="L43" s="7" t="str">
        <f>IF(I43="Completed","0",IF($H43="","",$H43-'[2]Read Me'!$B$4))</f>
        <v>0</v>
      </c>
      <c r="M43" s="4" t="str">
        <f>IF($I43="Complete","Green",IF($H43="","Amber",IF($H43&lt;'[2]Read Me'!$B$4,"Red",IF($H43-'[2]Read Me'!$B$4&lt;=21,"Amber","Green"))))</f>
        <v>Red</v>
      </c>
      <c r="N43" s="3"/>
      <c r="O43" t="str">
        <f>IF($I43&lt;&gt;"Complete",IF(COUNTIFS($A$4:$A42,$A43,$B$4:$B42,$B43,$I$4:$I42,"&lt;&gt;Complete")=0,$A43&amp;"|"&amp;$B43,""),"")</f>
        <v/>
      </c>
      <c r="P43" t="str">
        <f ca="1">IF($K43="Yes",COUNTIFS($K$4:$K43,"Yes"),"")</f>
        <v/>
      </c>
      <c r="Q43">
        <f t="shared" ca="1" si="3"/>
        <v>0</v>
      </c>
      <c r="R43" t="str">
        <f ca="1">IF($Q43=1,SUM($Q$4:$Q43),"")</f>
        <v/>
      </c>
    </row>
    <row r="44" spans="1:18" ht="14.25" customHeight="1" x14ac:dyDescent="0.3">
      <c r="A44" s="2" t="s">
        <v>419</v>
      </c>
      <c r="B44" s="2" t="s">
        <v>62</v>
      </c>
      <c r="C44" s="3" t="s">
        <v>420</v>
      </c>
      <c r="D44" s="3" t="s">
        <v>412</v>
      </c>
      <c r="E44" s="2"/>
      <c r="F44" s="2"/>
      <c r="G44" s="5">
        <v>45854</v>
      </c>
      <c r="H44" s="5">
        <v>45915</v>
      </c>
      <c r="I44" s="4" t="s">
        <v>31</v>
      </c>
      <c r="J44" s="6">
        <f t="shared" si="1"/>
        <v>61</v>
      </c>
      <c r="K44" s="4" t="str">
        <f t="shared" ca="1" si="2"/>
        <v>-</v>
      </c>
      <c r="L44" s="7" t="str">
        <f>IF(I44="Completed","0",IF($H44="","",$H44-'[2]Read Me'!$B$4))</f>
        <v>0</v>
      </c>
      <c r="M44" s="4" t="str">
        <f>IF($I44="Complete","Green",IF($H44="","Amber",IF($H44&lt;'[2]Read Me'!$B$4,"Red",IF($H44-'[2]Read Me'!$B$4&lt;=21,"Amber","Green"))))</f>
        <v>Red</v>
      </c>
      <c r="N44" s="3"/>
      <c r="O44" t="str">
        <f>IF($I44&lt;&gt;"Complete",IF(COUNTIFS($A$4:$A43,$A44,$B$4:$B43,$B44,$I$4:$I43,"&lt;&gt;Complete")=0,$A44&amp;"|"&amp;$B44,""),"")</f>
        <v/>
      </c>
      <c r="P44" t="str">
        <f ca="1">IF($K44="Yes",COUNTIFS($K$4:$K44,"Yes"),"")</f>
        <v/>
      </c>
      <c r="Q44">
        <f t="shared" ca="1" si="3"/>
        <v>0</v>
      </c>
      <c r="R44" t="str">
        <f ca="1">IF($Q44=1,SUM($Q$4:$Q44),"")</f>
        <v/>
      </c>
    </row>
    <row r="45" spans="1:18" ht="14.25" customHeight="1" x14ac:dyDescent="0.3">
      <c r="A45" s="2" t="s">
        <v>419</v>
      </c>
      <c r="B45" s="2" t="s">
        <v>62</v>
      </c>
      <c r="C45" s="3" t="s">
        <v>420</v>
      </c>
      <c r="D45" s="3" t="s">
        <v>108</v>
      </c>
      <c r="E45" s="2"/>
      <c r="F45" s="2" t="s">
        <v>197</v>
      </c>
      <c r="G45" s="5">
        <v>45868</v>
      </c>
      <c r="H45" s="5">
        <v>46135</v>
      </c>
      <c r="I45" s="4" t="s">
        <v>31</v>
      </c>
      <c r="J45" s="6">
        <f t="shared" si="1"/>
        <v>267</v>
      </c>
      <c r="K45" s="4" t="str">
        <f t="shared" ca="1" si="2"/>
        <v>-</v>
      </c>
      <c r="L45" s="7" t="str">
        <f>IF(I45="Completed","0",IF($H45="","",$H45-'[2]Read Me'!$B$4))</f>
        <v>0</v>
      </c>
      <c r="M45" s="4" t="str">
        <f>IF($I45="Complete","Green",IF($H45="","Amber",IF($H45&lt;'[2]Read Me'!$B$4,"Red",IF($H45-'[2]Read Me'!$B$4&lt;=21,"Amber","Green"))))</f>
        <v>Red</v>
      </c>
      <c r="N45" s="3"/>
      <c r="O45" t="str">
        <f>IF($I45&lt;&gt;"Complete",IF(COUNTIFS($A$4:$A44,$A45,$B$4:$B44,$B45,$I$4:$I44,"&lt;&gt;Complete")=0,$A45&amp;"|"&amp;$B45,""),"")</f>
        <v/>
      </c>
      <c r="P45" t="str">
        <f ca="1">IF($K45="Yes",COUNTIFS($K$4:$K45,"Yes"),"")</f>
        <v/>
      </c>
      <c r="Q45">
        <f t="shared" ca="1" si="3"/>
        <v>0</v>
      </c>
      <c r="R45" t="str">
        <f ca="1">IF($Q45=1,SUM($Q$4:$Q45),"")</f>
        <v/>
      </c>
    </row>
    <row r="46" spans="1:18" ht="22.5" customHeight="1" x14ac:dyDescent="0.3">
      <c r="A46" s="2" t="s">
        <v>419</v>
      </c>
      <c r="B46" s="2" t="s">
        <v>62</v>
      </c>
      <c r="C46" s="3" t="s">
        <v>420</v>
      </c>
      <c r="D46" s="3" t="s">
        <v>58</v>
      </c>
      <c r="E46" s="2"/>
      <c r="F46" s="2"/>
      <c r="G46" s="5">
        <v>45942</v>
      </c>
      <c r="H46" s="5">
        <v>46146</v>
      </c>
      <c r="I46" s="4" t="s">
        <v>31</v>
      </c>
      <c r="J46" s="6">
        <f t="shared" si="1"/>
        <v>204</v>
      </c>
      <c r="K46" s="4" t="str">
        <f t="shared" ca="1" si="2"/>
        <v>-</v>
      </c>
      <c r="L46" s="7" t="str">
        <f>IF(I46="Completed","0",IF($H46="","",$H46-'[2]Read Me'!$B$4))</f>
        <v>0</v>
      </c>
      <c r="M46" s="4" t="str">
        <f>IF($I46="Complete","Green",IF($H46="","Amber",IF($H46&lt;'[2]Read Me'!$B$4,"Red",IF($H46-'[2]Read Me'!$B$4&lt;=21,"Amber","Green"))))</f>
        <v>Red</v>
      </c>
      <c r="N46" s="3"/>
      <c r="O46" t="str">
        <f>IF($I46&lt;&gt;"Complete",IF(COUNTIFS($A$4:$A45,$A46,$B$4:$B45,$B46,$I$4:$I45,"&lt;&gt;Complete")=0,$A46&amp;"|"&amp;$B46,""),"")</f>
        <v/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 t="s">
        <v>419</v>
      </c>
      <c r="B47" s="2" t="s">
        <v>62</v>
      </c>
      <c r="C47" s="3" t="s">
        <v>420</v>
      </c>
      <c r="D47" s="3" t="s">
        <v>421</v>
      </c>
      <c r="E47" s="2"/>
      <c r="F47" s="2"/>
      <c r="G47" s="5">
        <v>45868</v>
      </c>
      <c r="H47" s="5">
        <v>46079</v>
      </c>
      <c r="I47" s="4" t="s">
        <v>31</v>
      </c>
      <c r="J47" s="6">
        <f t="shared" si="1"/>
        <v>211</v>
      </c>
      <c r="K47" s="4" t="str">
        <f t="shared" ca="1" si="2"/>
        <v>-</v>
      </c>
      <c r="L47" s="7" t="str">
        <f>IF(I47="Completed","0",IF($H47="","",$H47-'[2]Read Me'!$B$4))</f>
        <v>0</v>
      </c>
      <c r="M47" s="4" t="str">
        <f>IF($I47="Complete","Green",IF($H47="","Amber",IF($H47&lt;'[2]Read Me'!$B$4,"Red",IF($H47-'[2]Read Me'!$B$4&lt;=21,"Amber","Green"))))</f>
        <v>Red</v>
      </c>
      <c r="N47" s="3"/>
      <c r="O47" t="str">
        <f>IF($I47&lt;&gt;"Complete",IF(COUNTIFS($A$4:$A46,$A47,$B$4:$B46,$B47,$I$4:$I46,"&lt;&gt;Complete")=0,$A47&amp;"|"&amp;$B47,""),"")</f>
        <v/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 t="s">
        <v>419</v>
      </c>
      <c r="B48" s="2" t="s">
        <v>62</v>
      </c>
      <c r="C48" s="3" t="s">
        <v>420</v>
      </c>
      <c r="D48" s="3" t="s">
        <v>58</v>
      </c>
      <c r="E48" s="2"/>
      <c r="F48" s="2"/>
      <c r="G48" s="5">
        <v>45942</v>
      </c>
      <c r="H48" s="5">
        <v>46096</v>
      </c>
      <c r="I48" s="4" t="s">
        <v>31</v>
      </c>
      <c r="J48" s="6">
        <f t="shared" si="1"/>
        <v>154</v>
      </c>
      <c r="K48" s="4" t="str">
        <f t="shared" ca="1" si="2"/>
        <v>-</v>
      </c>
      <c r="L48" s="7" t="str">
        <f>IF(I48="Completed","0",IF($H48="","",$H48-'[2]Read Me'!$B$4))</f>
        <v>0</v>
      </c>
      <c r="M48" s="4" t="str">
        <f>IF($I48="Complete","Green",IF($H48="","Amber",IF($H48&lt;'[2]Read Me'!$B$4,"Red",IF($H48-'[2]Read Me'!$B$4&lt;=21,"Amber","Green"))))</f>
        <v>Red</v>
      </c>
      <c r="N48" s="3"/>
      <c r="O48" t="str">
        <f>IF($I48&lt;&gt;"Complete",IF(COUNTIFS($A$4:$A47,$A48,$B$4:$B47,$B48,$I$4:$I47,"&lt;&gt;Complete")=0,$A48&amp;"|"&amp;$B48,""),"")</f>
        <v/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 t="s">
        <v>419</v>
      </c>
      <c r="B49" s="2" t="s">
        <v>49</v>
      </c>
      <c r="C49" s="3"/>
      <c r="D49" s="3"/>
      <c r="E49" s="2"/>
      <c r="F49" s="2"/>
      <c r="G49" s="5">
        <v>46132</v>
      </c>
      <c r="H49" s="5">
        <v>46225</v>
      </c>
      <c r="I49" s="4"/>
      <c r="J49" s="6">
        <f t="shared" si="1"/>
        <v>93</v>
      </c>
      <c r="K49" s="4" t="str">
        <f t="shared" ca="1" si="2"/>
        <v/>
      </c>
      <c r="L49" s="7">
        <f>IF(I49="Completed","0",IF($H49="","",$H49-'[2]Read Me'!$B$4))</f>
        <v>38</v>
      </c>
      <c r="M49" s="4" t="str">
        <f>IF($I49="Complete","Green",IF($H49="","Amber",IF($H49&lt;'[2]Read Me'!$B$4,"Red",IF($H49-'[2]Read Me'!$B$4&lt;=21,"Amber","Green"))))</f>
        <v>Green</v>
      </c>
      <c r="N49" s="3"/>
      <c r="O49" t="str">
        <f>IF($I49&lt;&gt;"Complete",IF(COUNTIFS($A$4:$A48,$A49,$B$4:$B48,$B49,$I$4:$I48,"&lt;&gt;Complete")=0,$A49&amp;"|"&amp;$B49,""),"")</f>
        <v>Ph.03&amp;04|Authorities</v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 t="s">
        <v>419</v>
      </c>
      <c r="B50" s="2" t="s">
        <v>49</v>
      </c>
      <c r="C50" s="3" t="s">
        <v>422</v>
      </c>
      <c r="D50" s="3" t="s">
        <v>287</v>
      </c>
      <c r="E50" s="2"/>
      <c r="F50" s="2"/>
      <c r="G50" s="5">
        <v>45950</v>
      </c>
      <c r="H50" s="5">
        <v>46091</v>
      </c>
      <c r="I50" s="4" t="s">
        <v>31</v>
      </c>
      <c r="J50" s="6">
        <f t="shared" si="1"/>
        <v>141</v>
      </c>
      <c r="K50" s="4" t="str">
        <f t="shared" ca="1" si="2"/>
        <v>-</v>
      </c>
      <c r="L50" s="7" t="str">
        <f>IF(I50="Completed","0",IF($H50="","",$H50-'[2]Read Me'!$B$4))</f>
        <v>0</v>
      </c>
      <c r="M50" s="4" t="str">
        <f>IF($I50="Complete","Green",IF($H50="","Amber",IF($H50&lt;'[2]Read Me'!$B$4,"Red",IF($H50-'[2]Read Me'!$B$4&lt;=21,"Amber","Green"))))</f>
        <v>Red</v>
      </c>
      <c r="N50" s="3"/>
      <c r="O50" t="str">
        <f>IF($I50&lt;&gt;"Complete",IF(COUNTIFS($A$4:$A49,$A50,$B$4:$B49,$B50,$I$4:$I49,"&lt;&gt;Complete")=0,$A50&amp;"|"&amp;$B50,""),"")</f>
        <v/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 t="s">
        <v>419</v>
      </c>
      <c r="B51" s="2" t="s">
        <v>49</v>
      </c>
      <c r="C51" s="3" t="s">
        <v>422</v>
      </c>
      <c r="D51" s="3" t="s">
        <v>423</v>
      </c>
      <c r="E51" s="2"/>
      <c r="F51" s="2"/>
      <c r="G51" s="5">
        <v>45995.5</v>
      </c>
      <c r="H51" s="5">
        <v>46124</v>
      </c>
      <c r="I51" s="4" t="s">
        <v>31</v>
      </c>
      <c r="J51" s="6">
        <f t="shared" si="1"/>
        <v>128.5</v>
      </c>
      <c r="K51" s="4" t="str">
        <f t="shared" ca="1" si="2"/>
        <v>-</v>
      </c>
      <c r="L51" s="7" t="str">
        <f>IF(I51="Completed","0",IF($H51="","",$H51-'[2]Read Me'!$B$4))</f>
        <v>0</v>
      </c>
      <c r="M51" s="4" t="str">
        <f>IF($I51="Complete","Green",IF($H51="","Amber",IF($H51&lt;'[2]Read Me'!$B$4,"Red",IF($H51-'[2]Read Me'!$B$4&lt;=21,"Amber","Green"))))</f>
        <v>Red</v>
      </c>
      <c r="N51" s="3"/>
      <c r="O51" t="str">
        <f>IF($I51&lt;&gt;"Complete",IF(COUNTIFS($A$4:$A50,$A51,$B$4:$B50,$B51,$I$4:$I50,"&lt;&gt;Complete")=0,$A51&amp;"|"&amp;$B51,""),"")</f>
        <v/>
      </c>
      <c r="P51" t="str">
        <f ca="1">IF($K51="Yes",COUNTIFS($K$4:$K51,"Yes"),"")</f>
        <v/>
      </c>
      <c r="Q51">
        <f t="shared" ca="1" si="3"/>
        <v>0</v>
      </c>
      <c r="R51" t="str">
        <f ca="1">IF($Q51=1,SUM($Q$4:$Q51),"")</f>
        <v/>
      </c>
    </row>
    <row r="52" spans="1:18" ht="33.75" customHeight="1" x14ac:dyDescent="0.3">
      <c r="A52" s="2" t="s">
        <v>419</v>
      </c>
      <c r="B52" s="2" t="s">
        <v>49</v>
      </c>
      <c r="C52" s="3" t="s">
        <v>422</v>
      </c>
      <c r="D52" s="3" t="s">
        <v>51</v>
      </c>
      <c r="E52" s="2"/>
      <c r="F52" s="2"/>
      <c r="G52" s="5">
        <v>46041</v>
      </c>
      <c r="H52" s="5">
        <v>46141</v>
      </c>
      <c r="I52" s="4" t="s">
        <v>31</v>
      </c>
      <c r="J52" s="6">
        <f t="shared" si="1"/>
        <v>100</v>
      </c>
      <c r="K52" s="4" t="str">
        <f t="shared" ca="1" si="2"/>
        <v>-</v>
      </c>
      <c r="L52" s="7" t="str">
        <f>IF(I52="Completed","0",IF($H52="","",$H52-'[2]Read Me'!$B$4))</f>
        <v>0</v>
      </c>
      <c r="M52" s="4" t="str">
        <f>IF($I52="Complete","Green",IF($H52="","Amber",IF($H52&lt;'[2]Read Me'!$B$4,"Red",IF($H52-'[2]Read Me'!$B$4&lt;=21,"Amber","Green"))))</f>
        <v>Red</v>
      </c>
      <c r="N52" s="3"/>
      <c r="O52" t="str">
        <f>IF($I52&lt;&gt;"Complete",IF(COUNTIFS($A$4:$A51,$A52,$B$4:$B51,$B52,$I$4:$I51,"&lt;&gt;Complete")=0,$A52&amp;"|"&amp;$B52,""),"")</f>
        <v/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 t="s">
        <v>419</v>
      </c>
      <c r="B53" s="2" t="s">
        <v>49</v>
      </c>
      <c r="C53" s="3" t="s">
        <v>422</v>
      </c>
      <c r="D53" s="3" t="s">
        <v>413</v>
      </c>
      <c r="E53" s="2"/>
      <c r="F53" s="2"/>
      <c r="G53" s="5">
        <v>46132</v>
      </c>
      <c r="H53" s="5">
        <v>46225</v>
      </c>
      <c r="I53" s="4" t="s">
        <v>46</v>
      </c>
      <c r="J53" s="6">
        <f t="shared" si="1"/>
        <v>93</v>
      </c>
      <c r="K53" s="4" t="str">
        <f t="shared" ca="1" si="2"/>
        <v>No</v>
      </c>
      <c r="L53" s="7">
        <f>IF(I53="Completed","0",IF($H53="","",$H53-'[2]Read Me'!$B$4))</f>
        <v>38</v>
      </c>
      <c r="M53" s="4" t="str">
        <f>IF($I53="Complete","Green",IF($H53="","Amber",IF($H53&lt;'[2]Read Me'!$B$4,"Red",IF($H53-'[2]Read Me'!$B$4&lt;=21,"Amber","Green"))))</f>
        <v>Green</v>
      </c>
      <c r="N53" s="3"/>
      <c r="O53" t="str">
        <f>IF($I53&lt;&gt;"Complete",IF(COUNTIFS($A$4:$A52,$A53,$B$4:$B52,$B53,$I$4:$I52,"&lt;&gt;Complete")=0,$A53&amp;"|"&amp;$B53,""),"")</f>
        <v/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 t="s">
        <v>424</v>
      </c>
      <c r="B54" s="2" t="s">
        <v>41</v>
      </c>
      <c r="C54" s="3"/>
      <c r="D54" s="3"/>
      <c r="E54" s="2"/>
      <c r="F54" s="2"/>
      <c r="G54" s="5">
        <v>46324</v>
      </c>
      <c r="H54" s="5">
        <v>46363</v>
      </c>
      <c r="I54" s="4"/>
      <c r="J54" s="6">
        <f t="shared" si="1"/>
        <v>39</v>
      </c>
      <c r="K54" s="4" t="str">
        <f t="shared" ca="1" si="2"/>
        <v/>
      </c>
      <c r="L54" s="7">
        <f>IF(I54="Completed","0",IF($H54="","",$H54-'[2]Read Me'!$B$4))</f>
        <v>176</v>
      </c>
      <c r="M54" s="4" t="str">
        <f>IF($I54="Complete","Green",IF($H54="","Amber",IF($H54&lt;'[2]Read Me'!$B$4,"Red",IF($H54-'[2]Read Me'!$B$4&lt;=21,"Amber","Green"))))</f>
        <v>Green</v>
      </c>
      <c r="N54" s="3"/>
      <c r="O54" t="str">
        <f>IF($I54&lt;&gt;"Complete",IF(COUNTIFS($A$4:$A53,$A54,$B$4:$B53,$B54,$I$4:$I53,"&lt;&gt;Complete")=0,$A54&amp;"|"&amp;$B54,""),"")</f>
        <v>Ph. 01, 02, 03 &amp; 04|Fit-out</v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 t="s">
        <v>424</v>
      </c>
      <c r="B55" s="2" t="s">
        <v>41</v>
      </c>
      <c r="C55" s="3" t="s">
        <v>425</v>
      </c>
      <c r="D55" s="3" t="s">
        <v>18</v>
      </c>
      <c r="E55" s="2" t="s">
        <v>426</v>
      </c>
      <c r="F55" s="2" t="s">
        <v>197</v>
      </c>
      <c r="G55" s="5">
        <v>46156</v>
      </c>
      <c r="H55" s="5">
        <v>46177</v>
      </c>
      <c r="I55" s="4" t="s">
        <v>31</v>
      </c>
      <c r="J55" s="6">
        <f t="shared" si="1"/>
        <v>21</v>
      </c>
      <c r="K55" s="4" t="str">
        <f t="shared" ca="1" si="2"/>
        <v>-</v>
      </c>
      <c r="L55" s="7" t="str">
        <f>IF(I55="Completed","0",IF($H55="","",$H55-'[2]Read Me'!$B$4))</f>
        <v>0</v>
      </c>
      <c r="M55" s="4" t="str">
        <f>IF($I55="Complete","Green",IF($H55="","Amber",IF($H55&lt;'[2]Read Me'!$B$4,"Red",IF($H55-'[2]Read Me'!$B$4&lt;=21,"Amber","Green"))))</f>
        <v>Red</v>
      </c>
      <c r="N55" s="3"/>
      <c r="O55" t="str">
        <f>IF($I55&lt;&gt;"Complete",IF(COUNTIFS($A$4:$A54,$A55,$B$4:$B54,$B55,$I$4:$I54,"&lt;&gt;Complete")=0,$A55&amp;"|"&amp;$B55,""),"")</f>
        <v/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 t="s">
        <v>424</v>
      </c>
      <c r="B56" s="2" t="s">
        <v>41</v>
      </c>
      <c r="C56" s="3" t="s">
        <v>425</v>
      </c>
      <c r="D56" s="3" t="s">
        <v>32</v>
      </c>
      <c r="E56" s="2" t="s">
        <v>426</v>
      </c>
      <c r="F56" s="2"/>
      <c r="G56" s="5">
        <v>46163</v>
      </c>
      <c r="H56" s="5">
        <v>46202</v>
      </c>
      <c r="I56" s="4" t="s">
        <v>46</v>
      </c>
      <c r="J56" s="6">
        <f t="shared" si="1"/>
        <v>39</v>
      </c>
      <c r="K56" s="4" t="str">
        <f t="shared" ca="1" si="2"/>
        <v>Yes</v>
      </c>
      <c r="L56" s="7">
        <f>IF(I56="Completed","0",IF($H56="","",$H56-'[2]Read Me'!$B$4))</f>
        <v>15</v>
      </c>
      <c r="M56" s="4" t="str">
        <f>IF($I56="Complete","Green",IF($H56="","Amber",IF($H56&lt;'[2]Read Me'!$B$4,"Red",IF($H56-'[2]Read Me'!$B$4&lt;=21,"Amber","Green"))))</f>
        <v>Amber</v>
      </c>
      <c r="N56" s="3"/>
      <c r="O56" t="str">
        <f>IF($I56&lt;&gt;"Complete",IF(COUNTIFS($A$4:$A55,$A56,$B$4:$B55,$B56,$I$4:$I55,"&lt;&gt;Complete")=0,$A56&amp;"|"&amp;$B56,""),"")</f>
        <v/>
      </c>
      <c r="P56">
        <f ca="1">IF($K56="Yes",COUNTIFS($K$4:$K56,"Yes"),"")</f>
        <v>1</v>
      </c>
      <c r="Q56">
        <f t="shared" ca="1" si="3"/>
        <v>1</v>
      </c>
      <c r="R56">
        <f ca="1">IF($Q56=1,SUM($Q$4:$Q56),"")</f>
        <v>1</v>
      </c>
    </row>
    <row r="57" spans="1:18" ht="14.25" customHeight="1" x14ac:dyDescent="0.3">
      <c r="A57" s="2" t="s">
        <v>424</v>
      </c>
      <c r="B57" s="2" t="s">
        <v>41</v>
      </c>
      <c r="C57" s="3" t="s">
        <v>425</v>
      </c>
      <c r="D57" s="3" t="s">
        <v>15</v>
      </c>
      <c r="E57" s="2" t="s">
        <v>426</v>
      </c>
      <c r="F57" s="2" t="s">
        <v>197</v>
      </c>
      <c r="G57" s="5">
        <v>46177</v>
      </c>
      <c r="H57" s="5">
        <v>46216</v>
      </c>
      <c r="I57" s="4" t="s">
        <v>17</v>
      </c>
      <c r="J57" s="6">
        <f t="shared" si="1"/>
        <v>39</v>
      </c>
      <c r="K57" s="4" t="str">
        <f t="shared" ca="1" si="2"/>
        <v>No</v>
      </c>
      <c r="L57" s="7">
        <f>IF(I57="Completed","0",IF($H57="","",$H57-'[2]Read Me'!$B$4))</f>
        <v>29</v>
      </c>
      <c r="M57" s="4" t="str">
        <f>IF($I57="Complete","Green",IF($H57="","Amber",IF($H57&lt;'[2]Read Me'!$B$4,"Red",IF($H57-'[2]Read Me'!$B$4&lt;=21,"Amber","Green"))))</f>
        <v>Green</v>
      </c>
      <c r="N57" s="3"/>
      <c r="O57" t="str">
        <f>IF($I57&lt;&gt;"Complete",IF(COUNTIFS($A$4:$A56,$A57,$B$4:$B56,$B57,$I$4:$I56,"&lt;&gt;Complete")=0,$A57&amp;"|"&amp;$B57,""),"")</f>
        <v/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 t="s">
        <v>424</v>
      </c>
      <c r="B58" s="2" t="s">
        <v>41</v>
      </c>
      <c r="C58" s="3" t="s">
        <v>425</v>
      </c>
      <c r="D58" s="3" t="s">
        <v>35</v>
      </c>
      <c r="E58" s="2" t="s">
        <v>426</v>
      </c>
      <c r="F58" s="2"/>
      <c r="G58" s="5">
        <v>46191</v>
      </c>
      <c r="H58" s="5">
        <v>46230</v>
      </c>
      <c r="I58" s="4" t="s">
        <v>17</v>
      </c>
      <c r="J58" s="6">
        <f t="shared" si="1"/>
        <v>39</v>
      </c>
      <c r="K58" s="4" t="str">
        <f t="shared" ca="1" si="2"/>
        <v>No</v>
      </c>
      <c r="L58" s="7">
        <f>IF(I58="Completed","0",IF($H58="","",$H58-'[2]Read Me'!$B$4))</f>
        <v>43</v>
      </c>
      <c r="M58" s="4" t="str">
        <f>IF($I58="Complete","Green",IF($H58="","Amber",IF($H58&lt;'[2]Read Me'!$B$4,"Red",IF($H58-'[2]Read Me'!$B$4&lt;=21,"Amber","Green"))))</f>
        <v>Green</v>
      </c>
      <c r="N58" s="3"/>
      <c r="O58" t="str">
        <f>IF($I58&lt;&gt;"Complete",IF(COUNTIFS($A$4:$A57,$A58,$B$4:$B57,$B58,$I$4:$I57,"&lt;&gt;Complete")=0,$A58&amp;"|"&amp;$B58,""),"")</f>
        <v/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 t="s">
        <v>424</v>
      </c>
      <c r="B59" s="2" t="s">
        <v>41</v>
      </c>
      <c r="C59" s="3" t="s">
        <v>425</v>
      </c>
      <c r="D59" s="3" t="s">
        <v>16</v>
      </c>
      <c r="E59" s="2" t="s">
        <v>426</v>
      </c>
      <c r="F59" s="2" t="s">
        <v>197</v>
      </c>
      <c r="G59" s="5">
        <v>46205</v>
      </c>
      <c r="H59" s="5">
        <v>46244</v>
      </c>
      <c r="I59" s="4" t="s">
        <v>17</v>
      </c>
      <c r="J59" s="6">
        <f t="shared" si="1"/>
        <v>39</v>
      </c>
      <c r="K59" s="4" t="str">
        <f t="shared" ca="1" si="2"/>
        <v>No</v>
      </c>
      <c r="L59" s="7">
        <f>IF(I59="Completed","0",IF($H59="","",$H59-'[2]Read Me'!$B$4))</f>
        <v>57</v>
      </c>
      <c r="M59" s="4" t="str">
        <f>IF($I59="Complete","Green",IF($H59="","Amber",IF($H59&lt;'[2]Read Me'!$B$4,"Red",IF($H59-'[2]Read Me'!$B$4&lt;=21,"Amber","Green"))))</f>
        <v>Green</v>
      </c>
      <c r="N59" s="3"/>
      <c r="O59" t="str">
        <f>IF($I59&lt;&gt;"Complete",IF(COUNTIFS($A$4:$A58,$A59,$B$4:$B58,$B59,$I$4:$I58,"&lt;&gt;Complete")=0,$A59&amp;"|"&amp;$B59,""),"")</f>
        <v/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 t="s">
        <v>424</v>
      </c>
      <c r="B60" s="2" t="s">
        <v>41</v>
      </c>
      <c r="C60" s="3" t="s">
        <v>425</v>
      </c>
      <c r="D60" s="3" t="s">
        <v>37</v>
      </c>
      <c r="E60" s="2" t="s">
        <v>426</v>
      </c>
      <c r="F60" s="2"/>
      <c r="G60" s="5">
        <v>46212</v>
      </c>
      <c r="H60" s="5">
        <v>46251</v>
      </c>
      <c r="I60" s="4" t="s">
        <v>17</v>
      </c>
      <c r="J60" s="6">
        <f t="shared" si="1"/>
        <v>39</v>
      </c>
      <c r="K60" s="4" t="str">
        <f t="shared" ca="1" si="2"/>
        <v>No</v>
      </c>
      <c r="L60" s="7">
        <f>IF(I60="Completed","0",IF($H60="","",$H60-'[2]Read Me'!$B$4))</f>
        <v>64</v>
      </c>
      <c r="M60" s="4" t="str">
        <f>IF($I60="Complete","Green",IF($H60="","Amber",IF($H60&lt;'[2]Read Me'!$B$4,"Red",IF($H60-'[2]Read Me'!$B$4&lt;=21,"Amber","Green"))))</f>
        <v>Green</v>
      </c>
      <c r="N60" s="3"/>
      <c r="O60" t="str">
        <f>IF($I60&lt;&gt;"Complete",IF(COUNTIFS($A$4:$A59,$A60,$B$4:$B59,$B60,$I$4:$I59,"&lt;&gt;Complete")=0,$A60&amp;"|"&amp;$B60,""),"")</f>
        <v/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 t="s">
        <v>424</v>
      </c>
      <c r="B61" s="2" t="s">
        <v>140</v>
      </c>
      <c r="C61" s="3"/>
      <c r="D61" s="3"/>
      <c r="E61" s="2"/>
      <c r="F61" s="2"/>
      <c r="G61" s="5">
        <v>45907.9</v>
      </c>
      <c r="H61" s="5">
        <v>45907.9</v>
      </c>
      <c r="I61" s="4"/>
      <c r="J61" s="6">
        <f t="shared" si="1"/>
        <v>0</v>
      </c>
      <c r="K61" s="4" t="str">
        <f t="shared" ca="1" si="2"/>
        <v/>
      </c>
      <c r="L61" s="7">
        <f>IF(I61="Completed","0",IF($H61="","",$H61-'[2]Read Me'!$B$4))</f>
        <v>-279.09999999999854</v>
      </c>
      <c r="M61" s="4" t="str">
        <f>IF($I61="Complete","Green",IF($H61="","Amber",IF($H61&lt;'[2]Read Me'!$B$4,"Red",IF($H61-'[2]Read Me'!$B$4&lt;=21,"Amber","Green"))))</f>
        <v>Red</v>
      </c>
      <c r="N61" s="3"/>
      <c r="O61" t="str">
        <f>IF($I61&lt;&gt;"Complete",IF(COUNTIFS($A$4:$A60,$A61,$B$4:$B60,$B61,$I$4:$I60,"&lt;&gt;Complete")=0,$A61&amp;"|"&amp;$B61,""),"")</f>
        <v>Ph. 01, 02, 03 &amp; 04|Masterplan</v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 t="s">
        <v>424</v>
      </c>
      <c r="B62" s="2" t="s">
        <v>140</v>
      </c>
      <c r="C62" s="3" t="s">
        <v>427</v>
      </c>
      <c r="D62" s="3" t="s">
        <v>416</v>
      </c>
      <c r="E62" s="2" t="s">
        <v>426</v>
      </c>
      <c r="F62" s="2"/>
      <c r="G62" s="5">
        <v>45802.9</v>
      </c>
      <c r="H62" s="5">
        <v>45802.9</v>
      </c>
      <c r="I62" s="4" t="s">
        <v>31</v>
      </c>
      <c r="J62" s="6">
        <f t="shared" si="1"/>
        <v>0</v>
      </c>
      <c r="K62" s="4" t="str">
        <f t="shared" ca="1" si="2"/>
        <v>-</v>
      </c>
      <c r="L62" s="7" t="str">
        <f>IF(I62="Completed","0",IF($H62="","",$H62-'[2]Read Me'!$B$4))</f>
        <v>0</v>
      </c>
      <c r="M62" s="4" t="str">
        <f>IF($I62="Complete","Green",IF($H62="","Amber",IF($H62&lt;'[2]Read Me'!$B$4,"Red",IF($H62-'[2]Read Me'!$B$4&lt;=21,"Amber","Green"))))</f>
        <v>Red</v>
      </c>
      <c r="N62" s="3"/>
      <c r="O62" t="str">
        <f>IF($I62&lt;&gt;"Complete",IF(COUNTIFS($A$4:$A61,$A62,$B$4:$B61,$B62,$I$4:$I61,"&lt;&gt;Complete")=0,$A62&amp;"|"&amp;$B62,""),"")</f>
        <v/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 t="s">
        <v>424</v>
      </c>
      <c r="B63" s="2" t="s">
        <v>140</v>
      </c>
      <c r="C63" s="3" t="s">
        <v>427</v>
      </c>
      <c r="D63" s="3" t="s">
        <v>58</v>
      </c>
      <c r="E63" s="2" t="s">
        <v>426</v>
      </c>
      <c r="F63" s="2"/>
      <c r="G63" s="5">
        <v>45809.9</v>
      </c>
      <c r="H63" s="5">
        <v>45809.9</v>
      </c>
      <c r="I63" s="4" t="s">
        <v>31</v>
      </c>
      <c r="J63" s="6">
        <f t="shared" si="1"/>
        <v>0</v>
      </c>
      <c r="K63" s="4" t="str">
        <f t="shared" ca="1" si="2"/>
        <v>-</v>
      </c>
      <c r="L63" s="7" t="str">
        <f>IF(I63="Completed","0",IF($H63="","",$H63-'[2]Read Me'!$B$4))</f>
        <v>0</v>
      </c>
      <c r="M63" s="4" t="str">
        <f>IF($I63="Complete","Green",IF($H63="","Amber",IF($H63&lt;'[2]Read Me'!$B$4,"Red",IF($H63-'[2]Read Me'!$B$4&lt;=21,"Amber","Green"))))</f>
        <v>Red</v>
      </c>
      <c r="N63" s="3"/>
      <c r="O63" t="str">
        <f>IF($I63&lt;&gt;"Complete",IF(COUNTIFS($A$4:$A62,$A63,$B$4:$B62,$B63,$I$4:$I62,"&lt;&gt;Complete")=0,$A63&amp;"|"&amp;$B63,""),"")</f>
        <v/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 t="s">
        <v>424</v>
      </c>
      <c r="B64" s="2" t="s">
        <v>140</v>
      </c>
      <c r="C64" s="3" t="s">
        <v>427</v>
      </c>
      <c r="D64" s="3" t="s">
        <v>417</v>
      </c>
      <c r="E64" s="2" t="s">
        <v>426</v>
      </c>
      <c r="F64" s="2"/>
      <c r="G64" s="5">
        <v>45823.9</v>
      </c>
      <c r="H64" s="5">
        <v>45823.9</v>
      </c>
      <c r="I64" s="4" t="s">
        <v>31</v>
      </c>
      <c r="J64" s="6">
        <f t="shared" si="1"/>
        <v>0</v>
      </c>
      <c r="K64" s="4" t="str">
        <f t="shared" ca="1" si="2"/>
        <v>-</v>
      </c>
      <c r="L64" s="7" t="str">
        <f>IF(I64="Completed","0",IF($H64="","",$H64-'[2]Read Me'!$B$4))</f>
        <v>0</v>
      </c>
      <c r="M64" s="4" t="str">
        <f>IF($I64="Complete","Green",IF($H64="","Amber",IF($H64&lt;'[2]Read Me'!$B$4,"Red",IF($H64-'[2]Read Me'!$B$4&lt;=21,"Amber","Green"))))</f>
        <v>Red</v>
      </c>
      <c r="N64" s="3"/>
      <c r="O64" t="str">
        <f>IF($I64&lt;&gt;"Complete",IF(COUNTIFS($A$4:$A63,$A64,$B$4:$B63,$B64,$I$4:$I63,"&lt;&gt;Complete")=0,$A64&amp;"|"&amp;$B64,""),"")</f>
        <v/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 t="s">
        <v>424</v>
      </c>
      <c r="B65" s="2" t="s">
        <v>140</v>
      </c>
      <c r="C65" s="3" t="s">
        <v>427</v>
      </c>
      <c r="D65" s="3" t="s">
        <v>58</v>
      </c>
      <c r="E65" s="2" t="s">
        <v>426</v>
      </c>
      <c r="F65" s="2"/>
      <c r="G65" s="5">
        <v>45837.9</v>
      </c>
      <c r="H65" s="5">
        <v>45837.9</v>
      </c>
      <c r="I65" s="4" t="s">
        <v>31</v>
      </c>
      <c r="J65" s="6">
        <f t="shared" si="1"/>
        <v>0</v>
      </c>
      <c r="K65" s="4" t="str">
        <f t="shared" ca="1" si="2"/>
        <v>-</v>
      </c>
      <c r="L65" s="7" t="str">
        <f>IF(I65="Completed","0",IF($H65="","",$H65-'[2]Read Me'!$B$4))</f>
        <v>0</v>
      </c>
      <c r="M65" s="4" t="str">
        <f>IF($I65="Complete","Green",IF($H65="","Amber",IF($H65&lt;'[2]Read Me'!$B$4,"Red",IF($H65-'[2]Read Me'!$B$4&lt;=21,"Amber","Green"))))</f>
        <v>Red</v>
      </c>
      <c r="N65" s="3"/>
      <c r="O65" t="str">
        <f>IF($I65&lt;&gt;"Complete",IF(COUNTIFS($A$4:$A64,$A65,$B$4:$B64,$B65,$I$4:$I64,"&lt;&gt;Complete")=0,$A65&amp;"|"&amp;$B65,""),"")</f>
        <v/>
      </c>
      <c r="P65" t="str">
        <f ca="1">IF($K65="Yes",COUNTIFS($K$4:$K65,"Yes"),"")</f>
        <v/>
      </c>
      <c r="Q65">
        <f t="shared" ca="1" si="3"/>
        <v>0</v>
      </c>
      <c r="R65" t="str">
        <f ca="1">IF($Q65=1,SUM($Q$4:$Q65),"")</f>
        <v/>
      </c>
    </row>
    <row r="66" spans="1:18" ht="22.5" customHeight="1" x14ac:dyDescent="0.3">
      <c r="A66" s="2" t="s">
        <v>424</v>
      </c>
      <c r="B66" s="2" t="s">
        <v>140</v>
      </c>
      <c r="C66" s="3" t="s">
        <v>427</v>
      </c>
      <c r="D66" s="3" t="s">
        <v>418</v>
      </c>
      <c r="E66" s="2" t="s">
        <v>426</v>
      </c>
      <c r="F66" s="2"/>
      <c r="G66" s="5">
        <v>45865.9</v>
      </c>
      <c r="H66" s="5">
        <v>45865.9</v>
      </c>
      <c r="I66" s="4" t="s">
        <v>31</v>
      </c>
      <c r="J66" s="6">
        <f t="shared" si="1"/>
        <v>0</v>
      </c>
      <c r="K66" s="4" t="str">
        <f t="shared" ca="1" si="2"/>
        <v>-</v>
      </c>
      <c r="L66" s="7" t="str">
        <f>IF(I66="Completed","0",IF($H66="","",$H66-'[2]Read Me'!$B$4))</f>
        <v>0</v>
      </c>
      <c r="M66" s="4" t="str">
        <f>IF($I66="Complete","Green",IF($H66="","Amber",IF($H66&lt;'[2]Read Me'!$B$4,"Red",IF($H66-'[2]Read Me'!$B$4&lt;=21,"Amber","Green"))))</f>
        <v>Red</v>
      </c>
      <c r="N66" s="3"/>
      <c r="O66" t="str">
        <f>IF($I66&lt;&gt;"Complete",IF(COUNTIFS($A$4:$A65,$A66,$B$4:$B65,$B66,$I$4:$I65,"&lt;&gt;Complete")=0,$A66&amp;"|"&amp;$B66,""),"")</f>
        <v/>
      </c>
      <c r="P66" t="str">
        <f ca="1">IF($K66="Yes",COUNTIFS($K$4:$K66,"Yes"),"")</f>
        <v/>
      </c>
      <c r="Q66">
        <f t="shared" ca="1" si="3"/>
        <v>0</v>
      </c>
      <c r="R66" t="str">
        <f ca="1">IF($Q66=1,SUM($Q$4:$Q66),"")</f>
        <v/>
      </c>
    </row>
    <row r="67" spans="1:18" ht="22.5" customHeight="1" x14ac:dyDescent="0.3">
      <c r="A67" s="2" t="s">
        <v>424</v>
      </c>
      <c r="B67" s="2" t="s">
        <v>140</v>
      </c>
      <c r="C67" s="3" t="s">
        <v>427</v>
      </c>
      <c r="D67" s="3" t="s">
        <v>58</v>
      </c>
      <c r="E67" s="2" t="s">
        <v>426</v>
      </c>
      <c r="F67" s="2"/>
      <c r="G67" s="5">
        <v>45879.9</v>
      </c>
      <c r="H67" s="5">
        <v>45879.9</v>
      </c>
      <c r="I67" s="4" t="s">
        <v>31</v>
      </c>
      <c r="J67" s="6">
        <f t="shared" si="1"/>
        <v>0</v>
      </c>
      <c r="K67" s="4" t="str">
        <f t="shared" ca="1" si="2"/>
        <v>-</v>
      </c>
      <c r="L67" s="7" t="str">
        <f>IF(I67="Completed","0",IF($H67="","",$H67-'[2]Read Me'!$B$4))</f>
        <v>0</v>
      </c>
      <c r="M67" s="4" t="str">
        <f>IF($I67="Complete","Green",IF($H67="","Amber",IF($H67&lt;'[2]Read Me'!$B$4,"Red",IF($H67-'[2]Read Me'!$B$4&lt;=21,"Amber","Green"))))</f>
        <v>Red</v>
      </c>
      <c r="N67" s="3"/>
      <c r="O67" t="str">
        <f>IF($I67&lt;&gt;"Complete",IF(COUNTIFS($A$4:$A66,$A67,$B$4:$B66,$B67,$I$4:$I66,"&lt;&gt;Complete")=0,$A67&amp;"|"&amp;$B67,""),"")</f>
        <v/>
      </c>
      <c r="P67" t="str">
        <f ca="1">IF($K67="Yes",COUNTIFS($K$4:$K67,"Yes"),"")</f>
        <v/>
      </c>
      <c r="Q67">
        <f t="shared" ca="1" si="3"/>
        <v>0</v>
      </c>
      <c r="R67" t="str">
        <f ca="1">IF($Q67=1,SUM($Q$4:$Q67),"")</f>
        <v/>
      </c>
    </row>
    <row r="68" spans="1:18" ht="22.5" customHeight="1" x14ac:dyDescent="0.3">
      <c r="A68" s="2" t="s">
        <v>424</v>
      </c>
      <c r="B68" s="2" t="s">
        <v>140</v>
      </c>
      <c r="C68" s="3" t="s">
        <v>427</v>
      </c>
      <c r="D68" s="3" t="s">
        <v>57</v>
      </c>
      <c r="E68" s="2" t="s">
        <v>426</v>
      </c>
      <c r="F68" s="2"/>
      <c r="G68" s="5">
        <v>45893.9</v>
      </c>
      <c r="H68" s="5">
        <v>45893.9</v>
      </c>
      <c r="I68" s="4" t="s">
        <v>31</v>
      </c>
      <c r="J68" s="6">
        <f t="shared" ref="J68:J131" si="4">IF(OR($G68="",$H68=""),"",$H68-$G68)</f>
        <v>0</v>
      </c>
      <c r="K68" s="4" t="str">
        <f t="shared" ref="K68:K131" ca="1" si="5">IF(C68="","",IF(H68="","",IF($I68="completed","-",IF($H68&gt;TODAY(),"No","Yes"))))</f>
        <v>-</v>
      </c>
      <c r="L68" s="7" t="str">
        <f>IF(I68="Completed","0",IF($H68="","",$H68-'[2]Read Me'!$B$4))</f>
        <v>0</v>
      </c>
      <c r="M68" s="4" t="str">
        <f>IF($I68="Complete","Green",IF($H68="","Amber",IF($H68&lt;'[2]Read Me'!$B$4,"Red",IF($H68-'[2]Read Me'!$B$4&lt;=21,"Amber","Green"))))</f>
        <v>Red</v>
      </c>
      <c r="N68" s="3"/>
      <c r="O68" t="str">
        <f>IF($I68&lt;&gt;"Complete",IF(COUNTIFS($A$4:$A67,$A68,$B$4:$B67,$B68,$I$4:$I67,"&lt;&gt;Complete")=0,$A68&amp;"|"&amp;$B68,""),"")</f>
        <v/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 t="s">
        <v>424</v>
      </c>
      <c r="B69" s="2" t="s">
        <v>140</v>
      </c>
      <c r="C69" s="3" t="s">
        <v>427</v>
      </c>
      <c r="D69" s="3" t="s">
        <v>58</v>
      </c>
      <c r="E69" s="2" t="s">
        <v>426</v>
      </c>
      <c r="F69" s="2"/>
      <c r="G69" s="5">
        <v>45907.9</v>
      </c>
      <c r="H69" s="5">
        <v>45907.9</v>
      </c>
      <c r="I69" s="4" t="s">
        <v>31</v>
      </c>
      <c r="J69" s="6">
        <f t="shared" si="4"/>
        <v>0</v>
      </c>
      <c r="K69" s="4" t="str">
        <f t="shared" ca="1" si="5"/>
        <v>-</v>
      </c>
      <c r="L69" s="7" t="str">
        <f>IF(I69="Completed","0",IF($H69="","",$H69-'[2]Read Me'!$B$4))</f>
        <v>0</v>
      </c>
      <c r="M69" s="4" t="str">
        <f>IF($I69="Complete","Green",IF($H69="","Amber",IF($H69&lt;'[2]Read Me'!$B$4,"Red",IF($H69-'[2]Read Me'!$B$4&lt;=21,"Amber","Green"))))</f>
        <v>Red</v>
      </c>
      <c r="N69" s="3"/>
      <c r="O69" t="str">
        <f>IF($I69&lt;&gt;"Complete",IF(COUNTIFS($A$4:$A68,$A69,$B$4:$B68,$B69,$I$4:$I68,"&lt;&gt;Complete")=0,$A69&amp;"|"&amp;$B69,""),"")</f>
        <v/>
      </c>
      <c r="P69" t="str">
        <f ca="1">IF($K69="Yes",COUNTIFS($K$4:$K69,"Yes"),"")</f>
        <v/>
      </c>
      <c r="Q69">
        <f t="shared" ca="1" si="6"/>
        <v>0</v>
      </c>
      <c r="R69" t="str">
        <f ca="1">IF($Q69=1,SUM($Q$4:$Q69),"")</f>
        <v/>
      </c>
    </row>
    <row r="70" spans="1:18" ht="22.5" customHeight="1" x14ac:dyDescent="0.3">
      <c r="A70" s="2" t="s">
        <v>424</v>
      </c>
      <c r="B70" s="2" t="s">
        <v>186</v>
      </c>
      <c r="C70" s="3" t="s">
        <v>427</v>
      </c>
      <c r="D70" s="3" t="s">
        <v>428</v>
      </c>
      <c r="E70" s="2"/>
      <c r="F70" s="2"/>
      <c r="G70" s="5"/>
      <c r="H70" s="5">
        <v>46135</v>
      </c>
      <c r="I70" s="4" t="s">
        <v>31</v>
      </c>
      <c r="J70" s="6" t="str">
        <f t="shared" si="4"/>
        <v/>
      </c>
      <c r="K70" s="4" t="str">
        <f t="shared" ca="1" si="5"/>
        <v>-</v>
      </c>
      <c r="L70" s="7" t="str">
        <f>IF(I70="Completed","0",IF($H70="","",$H70-'[2]Read Me'!$B$4))</f>
        <v>0</v>
      </c>
      <c r="M70" s="4" t="str">
        <f>IF($I70="Complete","Green",IF($H70="","Amber",IF($H70&lt;'[2]Read Me'!$B$4,"Red",IF($H70-'[2]Read Me'!$B$4&lt;=21,"Amber","Green"))))</f>
        <v>Red</v>
      </c>
      <c r="N70" s="3"/>
      <c r="O70" t="str">
        <f>IF($I70&lt;&gt;"Complete",IF(COUNTIFS($A$4:$A69,$A70,$B$4:$B69,$B70,$I$4:$I69,"&lt;&gt;Complete")=0,$A70&amp;"|"&amp;$B70,""),"")</f>
        <v>Ph. 01, 02, 03 &amp; 04|Plot Fences</v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 t="s">
        <v>424</v>
      </c>
      <c r="B71" s="2" t="s">
        <v>186</v>
      </c>
      <c r="C71" s="3" t="s">
        <v>427</v>
      </c>
      <c r="D71" s="3" t="s">
        <v>58</v>
      </c>
      <c r="E71" s="2"/>
      <c r="F71" s="2"/>
      <c r="G71" s="5"/>
      <c r="H71" s="5">
        <v>46146</v>
      </c>
      <c r="I71" s="4" t="s">
        <v>31</v>
      </c>
      <c r="J71" s="6" t="str">
        <f t="shared" si="4"/>
        <v/>
      </c>
      <c r="K71" s="4" t="str">
        <f t="shared" ca="1" si="5"/>
        <v>-</v>
      </c>
      <c r="L71" s="7" t="str">
        <f>IF(I71="Completed","0",IF($H71="","",$H71-'[2]Read Me'!$B$4))</f>
        <v>0</v>
      </c>
      <c r="M71" s="4" t="str">
        <f>IF($I71="Complete","Green",IF($H71="","Amber",IF($H71&lt;'[2]Read Me'!$B$4,"Red",IF($H71-'[2]Read Me'!$B$4&lt;=21,"Amber","Green"))))</f>
        <v>Red</v>
      </c>
      <c r="N71" s="3"/>
      <c r="O71" t="str">
        <f>IF($I71&lt;&gt;"Complete",IF(COUNTIFS($A$4:$A70,$A71,$B$4:$B70,$B71,$I$4:$I70,"&lt;&gt;Complete")=0,$A71&amp;"|"&amp;$B71,""),"")</f>
        <v/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 t="s">
        <v>424</v>
      </c>
      <c r="B72" s="2" t="s">
        <v>171</v>
      </c>
      <c r="C72" s="3"/>
      <c r="D72" s="3"/>
      <c r="E72" s="2"/>
      <c r="F72" s="2"/>
      <c r="G72" s="5">
        <v>45969</v>
      </c>
      <c r="H72" s="5">
        <v>46174</v>
      </c>
      <c r="I72" s="4"/>
      <c r="J72" s="6">
        <f t="shared" si="4"/>
        <v>205</v>
      </c>
      <c r="K72" s="4" t="str">
        <f t="shared" ca="1" si="5"/>
        <v/>
      </c>
      <c r="L72" s="7">
        <f>IF(I72="Completed","0",IF($H72="","",$H72-'[2]Read Me'!$B$4))</f>
        <v>-13</v>
      </c>
      <c r="M72" s="4" t="str">
        <f>IF($I72="Complete","Green",IF($H72="","Amber",IF($H72&lt;'[2]Read Me'!$B$4,"Red",IF($H72-'[2]Read Me'!$B$4&lt;=21,"Amber","Green"))))</f>
        <v>Red</v>
      </c>
      <c r="N72" s="3"/>
      <c r="O72" t="str">
        <f>IF($I72&lt;&gt;"Complete",IF(COUNTIFS($A$4:$A71,$A72,$B$4:$B71,$B72,$I$4:$I71,"&lt;&gt;Complete")=0,$A72&amp;"|"&amp;$B72,""),"")</f>
        <v>Ph. 01, 02, 03 &amp; 04|Infrastructure</v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 t="s">
        <v>424</v>
      </c>
      <c r="B73" s="2" t="s">
        <v>171</v>
      </c>
      <c r="C73" s="3" t="s">
        <v>429</v>
      </c>
      <c r="D73" s="3" t="s">
        <v>430</v>
      </c>
      <c r="E73" s="2" t="s">
        <v>426</v>
      </c>
      <c r="F73" s="2" t="s">
        <v>197</v>
      </c>
      <c r="G73" s="5">
        <v>45386.875</v>
      </c>
      <c r="H73" s="5">
        <v>45728</v>
      </c>
      <c r="I73" s="4" t="s">
        <v>31</v>
      </c>
      <c r="J73" s="6">
        <f t="shared" si="4"/>
        <v>341.125</v>
      </c>
      <c r="K73" s="4" t="str">
        <f t="shared" ca="1" si="5"/>
        <v>-</v>
      </c>
      <c r="L73" s="7" t="str">
        <f>IF(I73="Completed","0",IF($H73="","",$H73-'[2]Read Me'!$B$4))</f>
        <v>0</v>
      </c>
      <c r="M73" s="4" t="str">
        <f>IF($I73="Complete","Green",IF($H73="","Amber",IF($H73&lt;'[2]Read Me'!$B$4,"Red",IF($H73-'[2]Read Me'!$B$4&lt;=21,"Amber","Green"))))</f>
        <v>Red</v>
      </c>
      <c r="N73" s="3"/>
      <c r="O73" t="str">
        <f>IF($I73&lt;&gt;"Complete",IF(COUNTIFS($A$4:$A72,$A73,$B$4:$B72,$B73,$I$4:$I72,"&lt;&gt;Complete")=0,$A73&amp;"|"&amp;$B73,""),"")</f>
        <v/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 t="s">
        <v>424</v>
      </c>
      <c r="B74" s="2" t="s">
        <v>171</v>
      </c>
      <c r="C74" s="3" t="s">
        <v>429</v>
      </c>
      <c r="D74" s="3" t="s">
        <v>58</v>
      </c>
      <c r="E74" s="2" t="s">
        <v>426</v>
      </c>
      <c r="F74" s="2"/>
      <c r="G74" s="5">
        <v>45400.875</v>
      </c>
      <c r="H74" s="5">
        <v>45746</v>
      </c>
      <c r="I74" s="4" t="s">
        <v>31</v>
      </c>
      <c r="J74" s="6">
        <f t="shared" si="4"/>
        <v>345.125</v>
      </c>
      <c r="K74" s="4" t="str">
        <f t="shared" ca="1" si="5"/>
        <v>-</v>
      </c>
      <c r="L74" s="7" t="str">
        <f>IF(I74="Completed","0",IF($H74="","",$H74-'[2]Read Me'!$B$4))</f>
        <v>0</v>
      </c>
      <c r="M74" s="4" t="str">
        <f>IF($I74="Complete","Green",IF($H74="","Amber",IF($H74&lt;'[2]Read Me'!$B$4,"Red",IF($H74-'[2]Read Me'!$B$4&lt;=21,"Amber","Green"))))</f>
        <v>Red</v>
      </c>
      <c r="N74" s="3"/>
      <c r="O74" t="str">
        <f>IF($I74&lt;&gt;"Complete",IF(COUNTIFS($A$4:$A73,$A74,$B$4:$B73,$B74,$I$4:$I73,"&lt;&gt;Complete")=0,$A74&amp;"|"&amp;$B74,""),"")</f>
        <v/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 t="s">
        <v>424</v>
      </c>
      <c r="B75" s="2" t="s">
        <v>171</v>
      </c>
      <c r="C75" s="3" t="s">
        <v>429</v>
      </c>
      <c r="D75" s="3" t="s">
        <v>408</v>
      </c>
      <c r="E75" s="2" t="s">
        <v>426</v>
      </c>
      <c r="F75" s="2" t="s">
        <v>197</v>
      </c>
      <c r="G75" s="5">
        <v>45550.875</v>
      </c>
      <c r="H75" s="5">
        <v>45777</v>
      </c>
      <c r="I75" s="4" t="s">
        <v>31</v>
      </c>
      <c r="J75" s="6">
        <f t="shared" si="4"/>
        <v>226.125</v>
      </c>
      <c r="K75" s="4" t="str">
        <f t="shared" ca="1" si="5"/>
        <v>-</v>
      </c>
      <c r="L75" s="7" t="str">
        <f>IF(I75="Completed","0",IF($H75="","",$H75-'[2]Read Me'!$B$4))</f>
        <v>0</v>
      </c>
      <c r="M75" s="4" t="str">
        <f>IF($I75="Complete","Green",IF($H75="","Amber",IF($H75&lt;'[2]Read Me'!$B$4,"Red",IF($H75-'[2]Read Me'!$B$4&lt;=21,"Amber","Green"))))</f>
        <v>Red</v>
      </c>
      <c r="N75" s="3"/>
      <c r="O75" t="str">
        <f>IF($I75&lt;&gt;"Complete",IF(COUNTIFS($A$4:$A74,$A75,$B$4:$B74,$B75,$I$4:$I74,"&lt;&gt;Complete")=0,$A75&amp;"|"&amp;$B75,""),"")</f>
        <v/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 t="s">
        <v>424</v>
      </c>
      <c r="B76" s="2" t="s">
        <v>171</v>
      </c>
      <c r="C76" s="3" t="s">
        <v>429</v>
      </c>
      <c r="D76" s="3" t="s">
        <v>58</v>
      </c>
      <c r="E76" s="2" t="s">
        <v>426</v>
      </c>
      <c r="F76" s="2"/>
      <c r="G76" s="5">
        <v>45564.875</v>
      </c>
      <c r="H76" s="5">
        <v>45791</v>
      </c>
      <c r="I76" s="4" t="s">
        <v>31</v>
      </c>
      <c r="J76" s="6">
        <f t="shared" si="4"/>
        <v>226.125</v>
      </c>
      <c r="K76" s="4" t="str">
        <f t="shared" ca="1" si="5"/>
        <v>-</v>
      </c>
      <c r="L76" s="7" t="str">
        <f>IF(I76="Completed","0",IF($H76="","",$H76-'[2]Read Me'!$B$4))</f>
        <v>0</v>
      </c>
      <c r="M76" s="4" t="str">
        <f>IF($I76="Complete","Green",IF($H76="","Amber",IF($H76&lt;'[2]Read Me'!$B$4,"Red",IF($H76-'[2]Read Me'!$B$4&lt;=21,"Amber","Green"))))</f>
        <v>Red</v>
      </c>
      <c r="N76" s="3"/>
      <c r="O76" t="str">
        <f>IF($I76&lt;&gt;"Complete",IF(COUNTIFS($A$4:$A75,$A76,$B$4:$B75,$B76,$I$4:$I75,"&lt;&gt;Complete")=0,$A76&amp;"|"&amp;$B76,""),"")</f>
        <v/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 t="s">
        <v>424</v>
      </c>
      <c r="B77" s="2" t="s">
        <v>171</v>
      </c>
      <c r="C77" s="3" t="s">
        <v>429</v>
      </c>
      <c r="D77" s="3" t="s">
        <v>410</v>
      </c>
      <c r="E77" s="2" t="s">
        <v>426</v>
      </c>
      <c r="F77" s="2" t="s">
        <v>197</v>
      </c>
      <c r="G77" s="5">
        <v>45578.875</v>
      </c>
      <c r="H77" s="5">
        <v>45806</v>
      </c>
      <c r="I77" s="4" t="s">
        <v>31</v>
      </c>
      <c r="J77" s="6">
        <f t="shared" si="4"/>
        <v>227.125</v>
      </c>
      <c r="K77" s="4" t="str">
        <f t="shared" ca="1" si="5"/>
        <v>-</v>
      </c>
      <c r="L77" s="7" t="str">
        <f>IF(I77="Completed","0",IF($H77="","",$H77-'[2]Read Me'!$B$4))</f>
        <v>0</v>
      </c>
      <c r="M77" s="4" t="str">
        <f>IF($I77="Complete","Green",IF($H77="","Amber",IF($H77&lt;'[2]Read Me'!$B$4,"Red",IF($H77-'[2]Read Me'!$B$4&lt;=21,"Amber","Green"))))</f>
        <v>Red</v>
      </c>
      <c r="N77" s="3"/>
      <c r="O77" t="str">
        <f>IF($I77&lt;&gt;"Complete",IF(COUNTIFS($A$4:$A76,$A77,$B$4:$B76,$B77,$I$4:$I76,"&lt;&gt;Complete")=0,$A77&amp;"|"&amp;$B77,""),"")</f>
        <v/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 t="s">
        <v>424</v>
      </c>
      <c r="B78" s="2" t="s">
        <v>171</v>
      </c>
      <c r="C78" s="3" t="s">
        <v>429</v>
      </c>
      <c r="D78" s="3" t="s">
        <v>58</v>
      </c>
      <c r="E78" s="2" t="s">
        <v>426</v>
      </c>
      <c r="F78" s="2"/>
      <c r="G78" s="5">
        <v>45592.875</v>
      </c>
      <c r="H78" s="5">
        <v>45822</v>
      </c>
      <c r="I78" s="4" t="s">
        <v>31</v>
      </c>
      <c r="J78" s="6">
        <f t="shared" si="4"/>
        <v>229.125</v>
      </c>
      <c r="K78" s="4" t="str">
        <f t="shared" ca="1" si="5"/>
        <v>-</v>
      </c>
      <c r="L78" s="7" t="str">
        <f>IF(I78="Completed","0",IF($H78="","",$H78-'[2]Read Me'!$B$4))</f>
        <v>0</v>
      </c>
      <c r="M78" s="4" t="str">
        <f>IF($I78="Complete","Green",IF($H78="","Amber",IF($H78&lt;'[2]Read Me'!$B$4,"Red",IF($H78-'[2]Read Me'!$B$4&lt;=21,"Amber","Green"))))</f>
        <v>Red</v>
      </c>
      <c r="N78" s="3"/>
      <c r="O78" t="str">
        <f>IF($I78&lt;&gt;"Complete",IF(COUNTIFS($A$4:$A77,$A78,$B$4:$B77,$B78,$I$4:$I77,"&lt;&gt;Complete")=0,$A78&amp;"|"&amp;$B78,""),"")</f>
        <v/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 t="s">
        <v>424</v>
      </c>
      <c r="B79" s="2" t="s">
        <v>171</v>
      </c>
      <c r="C79" s="3" t="s">
        <v>429</v>
      </c>
      <c r="D79" s="3" t="s">
        <v>411</v>
      </c>
      <c r="E79" s="2" t="s">
        <v>426</v>
      </c>
      <c r="F79" s="2" t="s">
        <v>197</v>
      </c>
      <c r="G79" s="5">
        <v>45620.875</v>
      </c>
      <c r="H79" s="5">
        <v>45852</v>
      </c>
      <c r="I79" s="4" t="s">
        <v>31</v>
      </c>
      <c r="J79" s="6">
        <f t="shared" si="4"/>
        <v>231.125</v>
      </c>
      <c r="K79" s="4" t="str">
        <f t="shared" ca="1" si="5"/>
        <v>-</v>
      </c>
      <c r="L79" s="7" t="str">
        <f>IF(I79="Completed","0",IF($H79="","",$H79-'[2]Read Me'!$B$4))</f>
        <v>0</v>
      </c>
      <c r="M79" s="4" t="str">
        <f>IF($I79="Complete","Green",IF($H79="","Amber",IF($H79&lt;'[2]Read Me'!$B$4,"Red",IF($H79-'[2]Read Me'!$B$4&lt;=21,"Amber","Green"))))</f>
        <v>Red</v>
      </c>
      <c r="N79" s="3"/>
      <c r="O79" t="str">
        <f>IF($I79&lt;&gt;"Complete",IF(COUNTIFS($A$4:$A78,$A79,$B$4:$B78,$B79,$I$4:$I78,"&lt;&gt;Complete")=0,$A79&amp;"|"&amp;$B79,""),"")</f>
        <v/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 t="s">
        <v>424</v>
      </c>
      <c r="B80" s="2" t="s">
        <v>171</v>
      </c>
      <c r="C80" s="3" t="s">
        <v>429</v>
      </c>
      <c r="D80" s="3" t="s">
        <v>58</v>
      </c>
      <c r="E80" s="2" t="s">
        <v>426</v>
      </c>
      <c r="F80" s="2"/>
      <c r="G80" s="5">
        <v>45634.875</v>
      </c>
      <c r="H80" s="5">
        <v>45868</v>
      </c>
      <c r="I80" s="4" t="s">
        <v>31</v>
      </c>
      <c r="J80" s="6">
        <f t="shared" si="4"/>
        <v>233.125</v>
      </c>
      <c r="K80" s="4" t="str">
        <f t="shared" ca="1" si="5"/>
        <v>-</v>
      </c>
      <c r="L80" s="7" t="str">
        <f>IF(I80="Completed","0",IF($H80="","",$H80-'[2]Read Me'!$B$4))</f>
        <v>0</v>
      </c>
      <c r="M80" s="4" t="str">
        <f>IF($I80="Complete","Green",IF($H80="","Amber",IF($H80&lt;'[2]Read Me'!$B$4,"Red",IF($H80-'[2]Read Me'!$B$4&lt;=21,"Amber","Green"))))</f>
        <v>Red</v>
      </c>
      <c r="N80" s="3"/>
      <c r="O80" t="str">
        <f>IF($I80&lt;&gt;"Complete",IF(COUNTIFS($A$4:$A79,$A80,$B$4:$B79,$B80,$I$4:$I79,"&lt;&gt;Complete")=0,$A80&amp;"|"&amp;$B80,""),"")</f>
        <v/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 t="s">
        <v>424</v>
      </c>
      <c r="B81" s="2" t="s">
        <v>171</v>
      </c>
      <c r="C81" s="3" t="s">
        <v>429</v>
      </c>
      <c r="D81" s="3" t="s">
        <v>431</v>
      </c>
      <c r="E81" s="2" t="s">
        <v>426</v>
      </c>
      <c r="F81" s="2" t="s">
        <v>197</v>
      </c>
      <c r="G81" s="5">
        <v>45648.875</v>
      </c>
      <c r="H81" s="5">
        <v>45883</v>
      </c>
      <c r="I81" s="4" t="s">
        <v>31</v>
      </c>
      <c r="J81" s="6">
        <f t="shared" si="4"/>
        <v>234.125</v>
      </c>
      <c r="K81" s="4" t="str">
        <f t="shared" ca="1" si="5"/>
        <v>-</v>
      </c>
      <c r="L81" s="7" t="str">
        <f>IF(I81="Completed","0",IF($H81="","",$H81-'[2]Read Me'!$B$4))</f>
        <v>0</v>
      </c>
      <c r="M81" s="4" t="str">
        <f>IF($I81="Complete","Green",IF($H81="","Amber",IF($H81&lt;'[2]Read Me'!$B$4,"Red",IF($H81-'[2]Read Me'!$B$4&lt;=21,"Amber","Green"))))</f>
        <v>Red</v>
      </c>
      <c r="N81" s="3"/>
      <c r="O81" t="str">
        <f>IF($I81&lt;&gt;"Complete",IF(COUNTIFS($A$4:$A80,$A81,$B$4:$B80,$B81,$I$4:$I80,"&lt;&gt;Complete")=0,$A81&amp;"|"&amp;$B81,""),"")</f>
        <v/>
      </c>
      <c r="P81" t="str">
        <f ca="1">IF($K81="Yes",COUNTIFS($K$4:$K81,"Yes"),"")</f>
        <v/>
      </c>
      <c r="Q81">
        <f t="shared" ca="1" si="6"/>
        <v>0</v>
      </c>
      <c r="R81" t="str">
        <f ca="1">IF($Q81=1,SUM($Q$4:$Q81),"")</f>
        <v/>
      </c>
    </row>
    <row r="82" spans="1:18" ht="33.75" customHeight="1" x14ac:dyDescent="0.3">
      <c r="A82" s="2" t="s">
        <v>424</v>
      </c>
      <c r="B82" s="2" t="s">
        <v>171</v>
      </c>
      <c r="C82" s="3" t="s">
        <v>429</v>
      </c>
      <c r="D82" s="3" t="s">
        <v>432</v>
      </c>
      <c r="E82" s="2" t="s">
        <v>426</v>
      </c>
      <c r="F82" s="2"/>
      <c r="G82" s="5">
        <v>45941</v>
      </c>
      <c r="H82" s="5">
        <v>45988</v>
      </c>
      <c r="I82" s="4" t="s">
        <v>31</v>
      </c>
      <c r="J82" s="6">
        <f t="shared" si="4"/>
        <v>47</v>
      </c>
      <c r="K82" s="4" t="str">
        <f t="shared" ca="1" si="5"/>
        <v>-</v>
      </c>
      <c r="L82" s="7" t="str">
        <f>IF(I82="Completed","0",IF($H82="","",$H82-'[2]Read Me'!$B$4))</f>
        <v>0</v>
      </c>
      <c r="M82" s="4" t="str">
        <f>IF($I82="Complete","Green",IF($H82="","Amber",IF($H82&lt;'[2]Read Me'!$B$4,"Red",IF($H82-'[2]Read Me'!$B$4&lt;=21,"Amber","Green"))))</f>
        <v>Red</v>
      </c>
      <c r="N82" s="3"/>
      <c r="O82" t="str">
        <f>IF($I82&lt;&gt;"Complete",IF(COUNTIFS($A$4:$A81,$A82,$B$4:$B81,$B82,$I$4:$I81,"&lt;&gt;Complete")=0,$A82&amp;"|"&amp;$B82,""),"")</f>
        <v/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 t="s">
        <v>424</v>
      </c>
      <c r="B83" s="2" t="s">
        <v>171</v>
      </c>
      <c r="C83" s="3" t="s">
        <v>429</v>
      </c>
      <c r="D83" s="3" t="s">
        <v>433</v>
      </c>
      <c r="E83" s="2" t="s">
        <v>426</v>
      </c>
      <c r="F83" s="2" t="s">
        <v>197</v>
      </c>
      <c r="G83" s="5">
        <v>45955</v>
      </c>
      <c r="H83" s="5">
        <v>46139</v>
      </c>
      <c r="I83" s="4" t="s">
        <v>31</v>
      </c>
      <c r="J83" s="6">
        <f t="shared" si="4"/>
        <v>184</v>
      </c>
      <c r="K83" s="4" t="str">
        <f t="shared" ca="1" si="5"/>
        <v>-</v>
      </c>
      <c r="L83" s="7" t="str">
        <f>IF(I83="Completed","0",IF($H83="","",$H83-'[2]Read Me'!$B$4))</f>
        <v>0</v>
      </c>
      <c r="M83" s="4" t="str">
        <f>IF($I83="Complete","Green",IF($H83="","Amber",IF($H83&lt;'[2]Read Me'!$B$4,"Red",IF($H83-'[2]Read Me'!$B$4&lt;=21,"Amber","Green"))))</f>
        <v>Red</v>
      </c>
      <c r="N83" s="3"/>
      <c r="O83" t="str">
        <f>IF($I83&lt;&gt;"Complete",IF(COUNTIFS($A$4:$A82,$A83,$B$4:$B82,$B83,$I$4:$I82,"&lt;&gt;Complete")=0,$A83&amp;"|"&amp;$B83,""),"")</f>
        <v/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 t="s">
        <v>424</v>
      </c>
      <c r="B84" s="2" t="s">
        <v>171</v>
      </c>
      <c r="C84" s="3" t="s">
        <v>429</v>
      </c>
      <c r="D84" s="3" t="s">
        <v>58</v>
      </c>
      <c r="E84" s="2" t="s">
        <v>426</v>
      </c>
      <c r="F84" s="2"/>
      <c r="G84" s="5">
        <v>45969</v>
      </c>
      <c r="H84" s="5">
        <v>46146</v>
      </c>
      <c r="I84" s="4" t="s">
        <v>31</v>
      </c>
      <c r="J84" s="6">
        <f t="shared" si="4"/>
        <v>177</v>
      </c>
      <c r="K84" s="4" t="str">
        <f t="shared" ca="1" si="5"/>
        <v>-</v>
      </c>
      <c r="L84" s="7" t="str">
        <f>IF(I84="Completed","0",IF($H84="","",$H84-'[2]Read Me'!$B$4))</f>
        <v>0</v>
      </c>
      <c r="M84" s="4" t="str">
        <f>IF($I84="Complete","Green",IF($H84="","Amber",IF($H84&lt;'[2]Read Me'!$B$4,"Red",IF($H84-'[2]Read Me'!$B$4&lt;=21,"Amber","Green"))))</f>
        <v>Red</v>
      </c>
      <c r="N84" s="3"/>
      <c r="O84" t="str">
        <f>IF($I84&lt;&gt;"Complete",IF(COUNTIFS($A$4:$A83,$A84,$B$4:$B83,$B84,$I$4:$I83,"&lt;&gt;Complete")=0,$A84&amp;"|"&amp;$B84,""),"")</f>
        <v/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 t="s">
        <v>424</v>
      </c>
      <c r="B85" s="2" t="s">
        <v>171</v>
      </c>
      <c r="C85" s="3" t="s">
        <v>429</v>
      </c>
      <c r="D85" s="3" t="s">
        <v>434</v>
      </c>
      <c r="E85" s="2" t="s">
        <v>426</v>
      </c>
      <c r="F85" s="2"/>
      <c r="G85" s="5">
        <v>45969</v>
      </c>
      <c r="H85" s="5">
        <v>46174</v>
      </c>
      <c r="I85" s="4" t="s">
        <v>31</v>
      </c>
      <c r="J85" s="6">
        <f t="shared" si="4"/>
        <v>205</v>
      </c>
      <c r="K85" s="4" t="str">
        <f t="shared" ca="1" si="5"/>
        <v>-</v>
      </c>
      <c r="L85" s="7" t="str">
        <f>IF(I85="Completed","0",IF($H85="","",$H85-'[2]Read Me'!$B$4))</f>
        <v>0</v>
      </c>
      <c r="M85" s="4" t="str">
        <f>IF($I85="Complete","Green",IF($H85="","Amber",IF($H85&lt;'[2]Read Me'!$B$4,"Red",IF($H85-'[2]Read Me'!$B$4&lt;=21,"Amber","Green"))))</f>
        <v>Red</v>
      </c>
      <c r="N85" s="3"/>
      <c r="O85" t="str">
        <f>IF($I85&lt;&gt;"Complete",IF(COUNTIFS($A$4:$A84,$A85,$B$4:$B84,$B85,$I$4:$I84,"&lt;&gt;Complete")=0,$A85&amp;"|"&amp;$B85,""),"")</f>
        <v/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 t="s">
        <v>435</v>
      </c>
      <c r="B86" s="2" t="s">
        <v>21</v>
      </c>
      <c r="C86" s="3"/>
      <c r="D86" s="3"/>
      <c r="E86" s="2"/>
      <c r="F86" s="2"/>
      <c r="G86" s="5">
        <v>46020</v>
      </c>
      <c r="H86" s="5">
        <v>46198</v>
      </c>
      <c r="I86" s="4"/>
      <c r="J86" s="6">
        <f t="shared" si="4"/>
        <v>178</v>
      </c>
      <c r="K86" s="4" t="str">
        <f t="shared" ca="1" si="5"/>
        <v/>
      </c>
      <c r="L86" s="7">
        <f>IF(I86="Completed","0",IF($H86="","",$H86-'[2]Read Me'!$B$4))</f>
        <v>11</v>
      </c>
      <c r="M86" s="4" t="str">
        <f>IF($I86="Complete","Green",IF($H86="","Amber",IF($H86&lt;'[2]Read Me'!$B$4,"Red",IF($H86-'[2]Read Me'!$B$4&lt;=21,"Amber","Green"))))</f>
        <v>Amber</v>
      </c>
      <c r="N86" s="3"/>
      <c r="O86" t="str">
        <f>IF($I86&lt;&gt;"Complete",IF(COUNTIFS($A$4:$A85,$A86,$B$4:$B85,$B86,$I$4:$I85,"&lt;&gt;Complete")=0,$A86&amp;"|"&amp;$B86,""),"")</f>
        <v>Valleys|Landscape</v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 t="s">
        <v>435</v>
      </c>
      <c r="B87" s="2" t="s">
        <v>21</v>
      </c>
      <c r="C87" s="3" t="s">
        <v>436</v>
      </c>
      <c r="D87" s="3" t="s">
        <v>437</v>
      </c>
      <c r="E87" s="2"/>
      <c r="F87" s="2"/>
      <c r="G87" s="5">
        <v>45781</v>
      </c>
      <c r="H87" s="5"/>
      <c r="I87" s="4" t="s">
        <v>17</v>
      </c>
      <c r="J87" s="6" t="str">
        <f t="shared" si="4"/>
        <v/>
      </c>
      <c r="K87" s="4" t="str">
        <f t="shared" ca="1" si="5"/>
        <v/>
      </c>
      <c r="L87" s="7" t="str">
        <f>IF(I87="Completed","0",IF($H87="","",$H87-'[2]Read Me'!$B$4))</f>
        <v/>
      </c>
      <c r="M87" s="4" t="str">
        <f>IF($I87="Complete","Green",IF($H87="","Amber",IF($H87&lt;'[2]Read Me'!$B$4,"Red",IF($H87-'[2]Read Me'!$B$4&lt;=21,"Amber","Green"))))</f>
        <v>Amber</v>
      </c>
      <c r="N87" s="3"/>
      <c r="O87" t="str">
        <f>IF($I87&lt;&gt;"Complete",IF(COUNTIFS($A$4:$A86,$A87,$B$4:$B86,$B87,$I$4:$I86,"&lt;&gt;Complete")=0,$A87&amp;"|"&amp;$B87,""),"")</f>
        <v/>
      </c>
      <c r="P87" t="str">
        <f ca="1">IF($K87="Yes",COUNTIFS($K$4:$K87,"Yes"),"")</f>
        <v/>
      </c>
      <c r="Q87">
        <f t="shared" ca="1" si="6"/>
        <v>0</v>
      </c>
      <c r="R87" t="str">
        <f ca="1">IF($Q87=1,SUM($Q$4:$Q87),"")</f>
        <v/>
      </c>
    </row>
    <row r="88" spans="1:18" ht="33.75" customHeight="1" x14ac:dyDescent="0.3">
      <c r="A88" s="2" t="s">
        <v>435</v>
      </c>
      <c r="B88" s="2" t="s">
        <v>21</v>
      </c>
      <c r="C88" s="3" t="s">
        <v>436</v>
      </c>
      <c r="D88" s="3" t="s">
        <v>438</v>
      </c>
      <c r="E88" s="2" t="s">
        <v>395</v>
      </c>
      <c r="F88" s="2" t="s">
        <v>182</v>
      </c>
      <c r="G88" s="5">
        <v>45795</v>
      </c>
      <c r="H88" s="5">
        <v>45883</v>
      </c>
      <c r="I88" s="4" t="s">
        <v>31</v>
      </c>
      <c r="J88" s="6">
        <f t="shared" si="4"/>
        <v>88</v>
      </c>
      <c r="K88" s="4" t="str">
        <f t="shared" ca="1" si="5"/>
        <v>-</v>
      </c>
      <c r="L88" s="7" t="str">
        <f>IF(I88="Completed","0",IF($H88="","",$H88-'[2]Read Me'!$B$4))</f>
        <v>0</v>
      </c>
      <c r="M88" s="4" t="str">
        <f>IF($I88="Complete","Green",IF($H88="","Amber",IF($H88&lt;'[2]Read Me'!$B$4,"Red",IF($H88-'[2]Read Me'!$B$4&lt;=21,"Amber","Green"))))</f>
        <v>Red</v>
      </c>
      <c r="N88" s="3"/>
      <c r="O88" t="str">
        <f>IF($I88&lt;&gt;"Complete",IF(COUNTIFS($A$4:$A87,$A88,$B$4:$B87,$B88,$I$4:$I87,"&lt;&gt;Complete")=0,$A88&amp;"|"&amp;$B88,""),"")</f>
        <v/>
      </c>
      <c r="P88" t="str">
        <f ca="1">IF($K88="Yes",COUNTIFS($K$4:$K88,"Yes"),"")</f>
        <v/>
      </c>
      <c r="Q88">
        <f t="shared" ca="1" si="6"/>
        <v>0</v>
      </c>
      <c r="R88" t="str">
        <f ca="1">IF($Q88=1,SUM($Q$4:$Q88),"")</f>
        <v/>
      </c>
    </row>
    <row r="89" spans="1:18" ht="33.75" customHeight="1" x14ac:dyDescent="0.3">
      <c r="A89" s="2" t="s">
        <v>435</v>
      </c>
      <c r="B89" s="2" t="s">
        <v>21</v>
      </c>
      <c r="C89" s="3" t="s">
        <v>436</v>
      </c>
      <c r="D89" s="3" t="s">
        <v>58</v>
      </c>
      <c r="E89" s="2" t="s">
        <v>395</v>
      </c>
      <c r="F89" s="2"/>
      <c r="G89" s="5">
        <v>45809</v>
      </c>
      <c r="H89" s="5">
        <v>45908</v>
      </c>
      <c r="I89" s="4" t="s">
        <v>31</v>
      </c>
      <c r="J89" s="6">
        <f t="shared" si="4"/>
        <v>99</v>
      </c>
      <c r="K89" s="4" t="str">
        <f t="shared" ca="1" si="5"/>
        <v>-</v>
      </c>
      <c r="L89" s="7" t="str">
        <f>IF(I89="Completed","0",IF($H89="","",$H89-'[2]Read Me'!$B$4))</f>
        <v>0</v>
      </c>
      <c r="M89" s="4" t="str">
        <f>IF($I89="Complete","Green",IF($H89="","Amber",IF($H89&lt;'[2]Read Me'!$B$4,"Red",IF($H89-'[2]Read Me'!$B$4&lt;=21,"Amber","Green"))))</f>
        <v>Red</v>
      </c>
      <c r="N89" s="3"/>
      <c r="O89" t="str">
        <f>IF($I89&lt;&gt;"Complete",IF(COUNTIFS($A$4:$A88,$A89,$B$4:$B88,$B89,$I$4:$I88,"&lt;&gt;Complete")=0,$A89&amp;"|"&amp;$B89,""),"")</f>
        <v/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 t="s">
        <v>435</v>
      </c>
      <c r="B90" s="2" t="s">
        <v>21</v>
      </c>
      <c r="C90" s="3" t="s">
        <v>436</v>
      </c>
      <c r="D90" s="3" t="s">
        <v>282</v>
      </c>
      <c r="E90" s="2" t="s">
        <v>395</v>
      </c>
      <c r="F90" s="2"/>
      <c r="G90" s="5">
        <v>45897</v>
      </c>
      <c r="H90" s="5">
        <v>45897</v>
      </c>
      <c r="I90" s="4" t="s">
        <v>31</v>
      </c>
      <c r="J90" s="6">
        <f t="shared" si="4"/>
        <v>0</v>
      </c>
      <c r="K90" s="4" t="str">
        <f t="shared" ca="1" si="5"/>
        <v>-</v>
      </c>
      <c r="L90" s="7" t="str">
        <f>IF(I90="Completed","0",IF($H90="","",$H90-'[2]Read Me'!$B$4))</f>
        <v>0</v>
      </c>
      <c r="M90" s="4" t="str">
        <f>IF($I90="Complete","Green",IF($H90="","Amber",IF($H90&lt;'[2]Read Me'!$B$4,"Red",IF($H90-'[2]Read Me'!$B$4&lt;=21,"Amber","Green"))))</f>
        <v>Red</v>
      </c>
      <c r="N90" s="3"/>
      <c r="O90" t="str">
        <f>IF($I90&lt;&gt;"Complete",IF(COUNTIFS($A$4:$A89,$A90,$B$4:$B89,$B90,$I$4:$I89,"&lt;&gt;Complete")=0,$A90&amp;"|"&amp;$B90,""),"")</f>
        <v/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 t="s">
        <v>435</v>
      </c>
      <c r="B91" s="2" t="s">
        <v>21</v>
      </c>
      <c r="C91" s="3" t="s">
        <v>436</v>
      </c>
      <c r="D91" s="3" t="s">
        <v>439</v>
      </c>
      <c r="E91" s="2" t="s">
        <v>395</v>
      </c>
      <c r="F91" s="2" t="s">
        <v>182</v>
      </c>
      <c r="G91" s="5">
        <v>45937</v>
      </c>
      <c r="H91" s="5">
        <v>45946</v>
      </c>
      <c r="I91" s="4" t="s">
        <v>31</v>
      </c>
      <c r="J91" s="6">
        <f t="shared" si="4"/>
        <v>9</v>
      </c>
      <c r="K91" s="4" t="str">
        <f t="shared" ca="1" si="5"/>
        <v>-</v>
      </c>
      <c r="L91" s="7" t="str">
        <f>IF(I91="Completed","0",IF($H91="","",$H91-'[2]Read Me'!$B$4))</f>
        <v>0</v>
      </c>
      <c r="M91" s="4" t="str">
        <f>IF($I91="Complete","Green",IF($H91="","Amber",IF($H91&lt;'[2]Read Me'!$B$4,"Red",IF($H91-'[2]Read Me'!$B$4&lt;=21,"Amber","Green"))))</f>
        <v>Red</v>
      </c>
      <c r="N91" s="3"/>
      <c r="O91" t="str">
        <f>IF($I91&lt;&gt;"Complete",IF(COUNTIFS($A$4:$A90,$A91,$B$4:$B90,$B91,$I$4:$I90,"&lt;&gt;Complete")=0,$A91&amp;"|"&amp;$B91,""),"")</f>
        <v/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 t="s">
        <v>435</v>
      </c>
      <c r="B92" s="2" t="s">
        <v>21</v>
      </c>
      <c r="C92" s="3" t="s">
        <v>436</v>
      </c>
      <c r="D92" s="3" t="s">
        <v>58</v>
      </c>
      <c r="E92" s="2" t="s">
        <v>395</v>
      </c>
      <c r="F92" s="2"/>
      <c r="G92" s="5">
        <v>45956</v>
      </c>
      <c r="H92" s="5">
        <v>45963</v>
      </c>
      <c r="I92" s="4" t="s">
        <v>31</v>
      </c>
      <c r="J92" s="6">
        <f t="shared" si="4"/>
        <v>7</v>
      </c>
      <c r="K92" s="4" t="str">
        <f t="shared" ca="1" si="5"/>
        <v>-</v>
      </c>
      <c r="L92" s="7" t="str">
        <f>IF(I92="Completed","0",IF($H92="","",$H92-'[2]Read Me'!$B$4))</f>
        <v>0</v>
      </c>
      <c r="M92" s="4" t="str">
        <f>IF($I92="Complete","Green",IF($H92="","Amber",IF($H92&lt;'[2]Read Me'!$B$4,"Red",IF($H92-'[2]Read Me'!$B$4&lt;=21,"Amber","Green"))))</f>
        <v>Red</v>
      </c>
      <c r="N92" s="3"/>
      <c r="O92" t="str">
        <f>IF($I92&lt;&gt;"Complete",IF(COUNTIFS($A$4:$A91,$A92,$B$4:$B91,$B92,$I$4:$I91,"&lt;&gt;Complete")=0,$A92&amp;"|"&amp;$B92,""),"")</f>
        <v/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 t="s">
        <v>435</v>
      </c>
      <c r="B93" s="2" t="s">
        <v>21</v>
      </c>
      <c r="C93" s="3" t="s">
        <v>436</v>
      </c>
      <c r="D93" s="3" t="s">
        <v>440</v>
      </c>
      <c r="E93" s="2" t="s">
        <v>395</v>
      </c>
      <c r="F93" s="2" t="s">
        <v>182</v>
      </c>
      <c r="G93" s="5">
        <v>45977</v>
      </c>
      <c r="H93" s="5">
        <v>46028</v>
      </c>
      <c r="I93" s="4" t="s">
        <v>31</v>
      </c>
      <c r="J93" s="6">
        <f t="shared" si="4"/>
        <v>51</v>
      </c>
      <c r="K93" s="4" t="str">
        <f t="shared" ca="1" si="5"/>
        <v>-</v>
      </c>
      <c r="L93" s="7" t="str">
        <f>IF(I93="Completed","0",IF($H93="","",$H93-'[2]Read Me'!$B$4))</f>
        <v>0</v>
      </c>
      <c r="M93" s="4" t="str">
        <f>IF($I93="Complete","Green",IF($H93="","Amber",IF($H93&lt;'[2]Read Me'!$B$4,"Red",IF($H93-'[2]Read Me'!$B$4&lt;=21,"Amber","Green"))))</f>
        <v>Red</v>
      </c>
      <c r="N93" s="3"/>
      <c r="O93" t="str">
        <f>IF($I93&lt;&gt;"Complete",IF(COUNTIFS($A$4:$A92,$A93,$B$4:$B92,$B93,$I$4:$I92,"&lt;&gt;Complete")=0,$A93&amp;"|"&amp;$B93,""),"")</f>
        <v/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 t="s">
        <v>435</v>
      </c>
      <c r="B94" s="2" t="s">
        <v>21</v>
      </c>
      <c r="C94" s="3" t="s">
        <v>436</v>
      </c>
      <c r="D94" s="3" t="s">
        <v>58</v>
      </c>
      <c r="E94" s="2" t="s">
        <v>395</v>
      </c>
      <c r="F94" s="2"/>
      <c r="G94" s="5">
        <v>45998</v>
      </c>
      <c r="H94" s="5">
        <v>46114</v>
      </c>
      <c r="I94" s="4" t="s">
        <v>31</v>
      </c>
      <c r="J94" s="6">
        <f t="shared" si="4"/>
        <v>116</v>
      </c>
      <c r="K94" s="4" t="str">
        <f t="shared" ca="1" si="5"/>
        <v>-</v>
      </c>
      <c r="L94" s="7" t="str">
        <f>IF(I94="Completed","0",IF($H94="","",$H94-'[2]Read Me'!$B$4))</f>
        <v>0</v>
      </c>
      <c r="M94" s="4" t="str">
        <f>IF($I94="Complete","Green",IF($H94="","Amber",IF($H94&lt;'[2]Read Me'!$B$4,"Red",IF($H94-'[2]Read Me'!$B$4&lt;=21,"Amber","Green"))))</f>
        <v>Red</v>
      </c>
      <c r="N94" s="3"/>
      <c r="O94" t="str">
        <f>IF($I94&lt;&gt;"Complete",IF(COUNTIFS($A$4:$A93,$A94,$B$4:$B93,$B94,$I$4:$I93,"&lt;&gt;Complete")=0,$A94&amp;"|"&amp;$B94,""),"")</f>
        <v/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 t="s">
        <v>435</v>
      </c>
      <c r="B95" s="2" t="s">
        <v>21</v>
      </c>
      <c r="C95" s="3" t="s">
        <v>436</v>
      </c>
      <c r="D95" s="3" t="s">
        <v>282</v>
      </c>
      <c r="E95" s="2" t="s">
        <v>184</v>
      </c>
      <c r="F95" s="2" t="s">
        <v>81</v>
      </c>
      <c r="G95" s="5">
        <v>46020</v>
      </c>
      <c r="H95" s="5">
        <v>46198</v>
      </c>
      <c r="I95" s="4" t="s">
        <v>46</v>
      </c>
      <c r="J95" s="6">
        <f t="shared" si="4"/>
        <v>178</v>
      </c>
      <c r="K95" s="4" t="str">
        <f t="shared" ca="1" si="5"/>
        <v>Yes</v>
      </c>
      <c r="L95" s="7">
        <f>IF(I95="Completed","0",IF($H95="","",$H95-'[2]Read Me'!$B$4))</f>
        <v>11</v>
      </c>
      <c r="M95" s="4" t="str">
        <f>IF($I95="Complete","Green",IF($H95="","Amber",IF($H95&lt;'[2]Read Me'!$B$4,"Red",IF($H95-'[2]Read Me'!$B$4&lt;=21,"Amber","Green"))))</f>
        <v>Amber</v>
      </c>
      <c r="N95" s="3"/>
      <c r="O95" t="str">
        <f>IF($I95&lt;&gt;"Complete",IF(COUNTIFS($A$4:$A94,$A95,$B$4:$B94,$B95,$I$4:$I94,"&lt;&gt;Complete")=0,$A95&amp;"|"&amp;$B95,""),"")</f>
        <v/>
      </c>
      <c r="P95">
        <f ca="1">IF($K95="Yes",COUNTIFS($K$4:$K95,"Yes"),"")</f>
        <v>2</v>
      </c>
      <c r="Q95">
        <f t="shared" ca="1" si="6"/>
        <v>1</v>
      </c>
      <c r="R95">
        <f ca="1">IF($Q95=1,SUM($Q$4:$Q95),"")</f>
        <v>2</v>
      </c>
    </row>
    <row r="96" spans="1:18" ht="33.75" customHeight="1" x14ac:dyDescent="0.3">
      <c r="A96" s="2" t="s">
        <v>441</v>
      </c>
      <c r="B96" s="2" t="s">
        <v>21</v>
      </c>
      <c r="C96" s="3"/>
      <c r="D96" s="3"/>
      <c r="E96" s="2"/>
      <c r="F96" s="2"/>
      <c r="G96" s="5">
        <v>46068</v>
      </c>
      <c r="H96" s="5">
        <v>46259</v>
      </c>
      <c r="I96" s="4"/>
      <c r="J96" s="6">
        <f t="shared" si="4"/>
        <v>191</v>
      </c>
      <c r="K96" s="4" t="str">
        <f t="shared" ca="1" si="5"/>
        <v/>
      </c>
      <c r="L96" s="7">
        <f>IF(I96="Completed","0",IF($H96="","",$H96-'[2]Read Me'!$B$4))</f>
        <v>72</v>
      </c>
      <c r="M96" s="4" t="str">
        <f>IF($I96="Complete","Green",IF($H96="","Amber",IF($H96&lt;'[2]Read Me'!$B$4,"Red",IF($H96-'[2]Read Me'!$B$4&lt;=21,"Amber","Green"))))</f>
        <v>Green</v>
      </c>
      <c r="N96" s="3"/>
      <c r="O96" t="str">
        <f>IF($I96&lt;&gt;"Complete",IF(COUNTIFS($A$4:$A95,$A96,$B$4:$B95,$B96,$I$4:$I95,"&lt;&gt;Complete")=0,$A96&amp;"|"&amp;$B96,""),"")</f>
        <v>Ph.01|Landscape</v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 t="s">
        <v>441</v>
      </c>
      <c r="B97" s="2" t="s">
        <v>21</v>
      </c>
      <c r="C97" s="3" t="s">
        <v>442</v>
      </c>
      <c r="D97" s="3" t="s">
        <v>284</v>
      </c>
      <c r="E97" s="2" t="s">
        <v>395</v>
      </c>
      <c r="F97" s="2" t="s">
        <v>182</v>
      </c>
      <c r="G97" s="5">
        <v>46026</v>
      </c>
      <c r="H97" s="5">
        <v>46189</v>
      </c>
      <c r="I97" s="4" t="s">
        <v>31</v>
      </c>
      <c r="J97" s="6">
        <f t="shared" si="4"/>
        <v>163</v>
      </c>
      <c r="K97" s="4" t="str">
        <f t="shared" ca="1" si="5"/>
        <v>-</v>
      </c>
      <c r="L97" s="7" t="str">
        <f>IF(I97="Completed","0",IF($H97="","",$H97-'[2]Read Me'!$B$4))</f>
        <v>0</v>
      </c>
      <c r="M97" s="4" t="str">
        <f>IF($I97="Complete","Green",IF($H97="","Amber",IF($H97&lt;'[2]Read Me'!$B$4,"Red",IF($H97-'[2]Read Me'!$B$4&lt;=21,"Amber","Green"))))</f>
        <v>Amber</v>
      </c>
      <c r="N97" s="3"/>
      <c r="O97" t="str">
        <f>IF($I97&lt;&gt;"Complete",IF(COUNTIFS($A$4:$A96,$A97,$B$4:$B96,$B97,$I$4:$I96,"&lt;&gt;Complete")=0,$A97&amp;"|"&amp;$B97,""),"")</f>
        <v/>
      </c>
      <c r="P97" t="str">
        <f ca="1">IF($K97="Yes",COUNTIFS($K$4:$K97,"Yes"),"")</f>
        <v/>
      </c>
      <c r="Q97">
        <f t="shared" ca="1" si="6"/>
        <v>0</v>
      </c>
      <c r="R97" t="str">
        <f ca="1">IF($Q97=1,SUM($Q$4:$Q97),"")</f>
        <v/>
      </c>
    </row>
    <row r="98" spans="1:18" ht="33.75" customHeight="1" x14ac:dyDescent="0.3">
      <c r="A98" s="2" t="s">
        <v>441</v>
      </c>
      <c r="B98" s="2" t="s">
        <v>21</v>
      </c>
      <c r="C98" s="3" t="s">
        <v>442</v>
      </c>
      <c r="D98" s="3" t="s">
        <v>58</v>
      </c>
      <c r="E98" s="2" t="s">
        <v>395</v>
      </c>
      <c r="F98" s="2"/>
      <c r="G98" s="5">
        <v>46040</v>
      </c>
      <c r="H98" s="5">
        <v>46203</v>
      </c>
      <c r="I98" s="4" t="s">
        <v>46</v>
      </c>
      <c r="J98" s="6">
        <f t="shared" si="4"/>
        <v>163</v>
      </c>
      <c r="K98" s="4" t="str">
        <f t="shared" ca="1" si="5"/>
        <v>Yes</v>
      </c>
      <c r="L98" s="7">
        <f>IF(I98="Completed","0",IF($H98="","",$H98-'[2]Read Me'!$B$4))</f>
        <v>16</v>
      </c>
      <c r="M98" s="4" t="str">
        <f>IF($I98="Complete","Green",IF($H98="","Amber",IF($H98&lt;'[2]Read Me'!$B$4,"Red",IF($H98-'[2]Read Me'!$B$4&lt;=21,"Amber","Green"))))</f>
        <v>Amber</v>
      </c>
      <c r="N98" s="3"/>
      <c r="O98" t="str">
        <f>IF($I98&lt;&gt;"Complete",IF(COUNTIFS($A$4:$A97,$A98,$B$4:$B97,$B98,$I$4:$I97,"&lt;&gt;Complete")=0,$A98&amp;"|"&amp;$B98,""),"")</f>
        <v/>
      </c>
      <c r="P98">
        <f ca="1">IF($K98="Yes",COUNTIFS($K$4:$K98,"Yes"),"")</f>
        <v>3</v>
      </c>
      <c r="Q98">
        <f t="shared" ca="1" si="6"/>
        <v>1</v>
      </c>
      <c r="R98">
        <f ca="1">IF($Q98=1,SUM($Q$4:$Q98),"")</f>
        <v>3</v>
      </c>
    </row>
    <row r="99" spans="1:18" ht="33.75" customHeight="1" x14ac:dyDescent="0.3">
      <c r="A99" s="2" t="s">
        <v>441</v>
      </c>
      <c r="B99" s="2" t="s">
        <v>21</v>
      </c>
      <c r="C99" s="3" t="s">
        <v>442</v>
      </c>
      <c r="D99" s="3" t="s">
        <v>282</v>
      </c>
      <c r="E99" s="2" t="s">
        <v>184</v>
      </c>
      <c r="F99" s="2"/>
      <c r="G99" s="5">
        <v>46040</v>
      </c>
      <c r="H99" s="5">
        <v>46203</v>
      </c>
      <c r="I99" s="4" t="s">
        <v>17</v>
      </c>
      <c r="J99" s="6">
        <f t="shared" si="4"/>
        <v>163</v>
      </c>
      <c r="K99" s="4" t="str">
        <f t="shared" ca="1" si="5"/>
        <v>Yes</v>
      </c>
      <c r="L99" s="7">
        <f>IF(I99="Completed","0",IF($H99="","",$H99-'[2]Read Me'!$B$4))</f>
        <v>16</v>
      </c>
      <c r="M99" s="4" t="str">
        <f>IF($I99="Complete","Green",IF($H99="","Amber",IF($H99&lt;'[2]Read Me'!$B$4,"Red",IF($H99-'[2]Read Me'!$B$4&lt;=21,"Amber","Green"))))</f>
        <v>Amber</v>
      </c>
      <c r="N99" s="3"/>
      <c r="O99" t="str">
        <f>IF($I99&lt;&gt;"Complete",IF(COUNTIFS($A$4:$A98,$A99,$B$4:$B98,$B99,$I$4:$I98,"&lt;&gt;Complete")=0,$A99&amp;"|"&amp;$B99,""),"")</f>
        <v/>
      </c>
      <c r="P99">
        <f ca="1">IF($K99="Yes",COUNTIFS($K$4:$K99,"Yes"),"")</f>
        <v>4</v>
      </c>
      <c r="Q99">
        <f t="shared" ca="1" si="6"/>
        <v>1</v>
      </c>
      <c r="R99">
        <f ca="1">IF($Q99=1,SUM($Q$4:$Q99),"")</f>
        <v>4</v>
      </c>
    </row>
    <row r="100" spans="1:18" ht="33.75" customHeight="1" x14ac:dyDescent="0.3">
      <c r="A100" s="2" t="s">
        <v>441</v>
      </c>
      <c r="B100" s="2" t="s">
        <v>21</v>
      </c>
      <c r="C100" s="3" t="s">
        <v>442</v>
      </c>
      <c r="D100" s="3" t="s">
        <v>343</v>
      </c>
      <c r="E100" s="2" t="s">
        <v>395</v>
      </c>
      <c r="F100" s="2"/>
      <c r="G100" s="5">
        <v>46040</v>
      </c>
      <c r="H100" s="5">
        <v>46217</v>
      </c>
      <c r="I100" s="4" t="s">
        <v>17</v>
      </c>
      <c r="J100" s="6">
        <f t="shared" si="4"/>
        <v>177</v>
      </c>
      <c r="K100" s="4" t="str">
        <f t="shared" ca="1" si="5"/>
        <v>No</v>
      </c>
      <c r="L100" s="7">
        <f>IF(I100="Completed","0",IF($H100="","",$H100-'[2]Read Me'!$B$4))</f>
        <v>30</v>
      </c>
      <c r="M100" s="4" t="str">
        <f>IF($I100="Complete","Green",IF($H100="","Amber",IF($H100&lt;'[2]Read Me'!$B$4,"Red",IF($H100-'[2]Read Me'!$B$4&lt;=21,"Amber","Green"))))</f>
        <v>Green</v>
      </c>
      <c r="N100" s="3"/>
      <c r="O100" t="str">
        <f>IF($I100&lt;&gt;"Complete",IF(COUNTIFS($A$4:$A99,$A100,$B$4:$B99,$B100,$I$4:$I99,"&lt;&gt;Complete")=0,$A100&amp;"|"&amp;$B100,""),"")</f>
        <v/>
      </c>
      <c r="P100" t="str">
        <f ca="1">IF($K100="Yes",COUNTIFS($K$4:$K100,"Yes"),"")</f>
        <v/>
      </c>
      <c r="Q100">
        <f t="shared" ca="1" si="6"/>
        <v>0</v>
      </c>
      <c r="R100" t="str">
        <f ca="1">IF($Q100=1,SUM($Q$4:$Q100),"")</f>
        <v/>
      </c>
    </row>
    <row r="101" spans="1:18" ht="33.75" customHeight="1" x14ac:dyDescent="0.3">
      <c r="A101" s="2" t="s">
        <v>441</v>
      </c>
      <c r="B101" s="2" t="s">
        <v>21</v>
      </c>
      <c r="C101" s="3" t="s">
        <v>442</v>
      </c>
      <c r="D101" s="3" t="s">
        <v>285</v>
      </c>
      <c r="E101" s="2" t="s">
        <v>395</v>
      </c>
      <c r="F101" s="2" t="s">
        <v>182</v>
      </c>
      <c r="G101" s="5">
        <v>46054</v>
      </c>
      <c r="H101" s="5">
        <v>46245</v>
      </c>
      <c r="I101" s="4" t="s">
        <v>17</v>
      </c>
      <c r="J101" s="6">
        <f t="shared" si="4"/>
        <v>191</v>
      </c>
      <c r="K101" s="4" t="str">
        <f t="shared" ca="1" si="5"/>
        <v>No</v>
      </c>
      <c r="L101" s="7">
        <f>IF(I101="Completed","0",IF($H101="","",$H101-'[2]Read Me'!$B$4))</f>
        <v>58</v>
      </c>
      <c r="M101" s="4" t="str">
        <f>IF($I101="Complete","Green",IF($H101="","Amber",IF($H101&lt;'[2]Read Me'!$B$4,"Red",IF($H101-'[2]Read Me'!$B$4&lt;=21,"Amber","Green"))))</f>
        <v>Green</v>
      </c>
      <c r="N101" s="3"/>
      <c r="O101" t="str">
        <f>IF($I101&lt;&gt;"Complete",IF(COUNTIFS($A$4:$A100,$A101,$B$4:$B100,$B101,$I$4:$I100,"&lt;&gt;Complete")=0,$A101&amp;"|"&amp;$B101,""),"")</f>
        <v/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 t="s">
        <v>441</v>
      </c>
      <c r="B102" s="2" t="s">
        <v>21</v>
      </c>
      <c r="C102" s="3" t="s">
        <v>442</v>
      </c>
      <c r="D102" s="3" t="s">
        <v>58</v>
      </c>
      <c r="E102" s="2" t="s">
        <v>395</v>
      </c>
      <c r="F102" s="2"/>
      <c r="G102" s="5">
        <v>46068</v>
      </c>
      <c r="H102" s="5">
        <v>46259</v>
      </c>
      <c r="I102" s="4" t="s">
        <v>17</v>
      </c>
      <c r="J102" s="6">
        <f t="shared" si="4"/>
        <v>191</v>
      </c>
      <c r="K102" s="4" t="str">
        <f t="shared" ca="1" si="5"/>
        <v>No</v>
      </c>
      <c r="L102" s="7">
        <f>IF(I102="Completed","0",IF($H102="","",$H102-'[2]Read Me'!$B$4))</f>
        <v>72</v>
      </c>
      <c r="M102" s="4" t="str">
        <f>IF($I102="Complete","Green",IF($H102="","Amber",IF($H102&lt;'[2]Read Me'!$B$4,"Red",IF($H102-'[2]Read Me'!$B$4&lt;=21,"Amber","Green"))))</f>
        <v>Green</v>
      </c>
      <c r="N102" s="3"/>
      <c r="O102" t="str">
        <f>IF($I102&lt;&gt;"Complete",IF(COUNTIFS($A$4:$A101,$A102,$B$4:$B101,$B102,$I$4:$I101,"&lt;&gt;Complete")=0,$A102&amp;"|"&amp;$B102,""),"")</f>
        <v/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 t="s">
        <v>443</v>
      </c>
      <c r="B103" s="2" t="s">
        <v>21</v>
      </c>
      <c r="C103" s="3"/>
      <c r="D103" s="3"/>
      <c r="E103" s="2"/>
      <c r="F103" s="2"/>
      <c r="G103" s="5">
        <v>46068</v>
      </c>
      <c r="H103" s="5">
        <v>46259</v>
      </c>
      <c r="I103" s="4"/>
      <c r="J103" s="6">
        <f t="shared" si="4"/>
        <v>191</v>
      </c>
      <c r="K103" s="4" t="str">
        <f t="shared" ca="1" si="5"/>
        <v/>
      </c>
      <c r="L103" s="7">
        <f>IF(I103="Completed","0",IF($H103="","",$H103-'[2]Read Me'!$B$4))</f>
        <v>72</v>
      </c>
      <c r="M103" s="4" t="str">
        <f>IF($I103="Complete","Green",IF($H103="","Amber",IF($H103&lt;'[2]Read Me'!$B$4,"Red",IF($H103-'[2]Read Me'!$B$4&lt;=21,"Amber","Green"))))</f>
        <v>Green</v>
      </c>
      <c r="N103" s="3"/>
      <c r="O103" t="str">
        <f>IF($I103&lt;&gt;"Complete",IF(COUNTIFS($A$4:$A102,$A103,$B$4:$B102,$B103,$I$4:$I102,"&lt;&gt;Complete")=0,$A103&amp;"|"&amp;$B103,""),"")</f>
        <v>Ph.02|Landscape</v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 t="s">
        <v>443</v>
      </c>
      <c r="B104" s="2" t="s">
        <v>21</v>
      </c>
      <c r="C104" s="3" t="s">
        <v>444</v>
      </c>
      <c r="D104" s="3" t="s">
        <v>284</v>
      </c>
      <c r="E104" s="2" t="s">
        <v>395</v>
      </c>
      <c r="F104" s="2" t="s">
        <v>182</v>
      </c>
      <c r="G104" s="5">
        <v>46026</v>
      </c>
      <c r="H104" s="5">
        <v>46189</v>
      </c>
      <c r="I104" s="4" t="s">
        <v>31</v>
      </c>
      <c r="J104" s="6">
        <f t="shared" si="4"/>
        <v>163</v>
      </c>
      <c r="K104" s="4" t="str">
        <f t="shared" ca="1" si="5"/>
        <v>-</v>
      </c>
      <c r="L104" s="7" t="str">
        <f>IF(I104="Completed","0",IF($H104="","",$H104-'[2]Read Me'!$B$4))</f>
        <v>0</v>
      </c>
      <c r="M104" s="4" t="str">
        <f>IF($I104="Complete","Green",IF($H104="","Amber",IF($H104&lt;'[2]Read Me'!$B$4,"Red",IF($H104-'[2]Read Me'!$B$4&lt;=21,"Amber","Green"))))</f>
        <v>Amber</v>
      </c>
      <c r="N104" s="3"/>
      <c r="O104" t="str">
        <f>IF($I104&lt;&gt;"Complete",IF(COUNTIFS($A$4:$A103,$A104,$B$4:$B103,$B104,$I$4:$I103,"&lt;&gt;Complete")=0,$A104&amp;"|"&amp;$B104,""),"")</f>
        <v/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 t="s">
        <v>443</v>
      </c>
      <c r="B105" s="2" t="s">
        <v>21</v>
      </c>
      <c r="C105" s="3" t="s">
        <v>444</v>
      </c>
      <c r="D105" s="3" t="s">
        <v>58</v>
      </c>
      <c r="E105" s="2" t="s">
        <v>395</v>
      </c>
      <c r="F105" s="2"/>
      <c r="G105" s="5">
        <v>46040</v>
      </c>
      <c r="H105" s="5">
        <v>46203</v>
      </c>
      <c r="I105" s="4" t="s">
        <v>46</v>
      </c>
      <c r="J105" s="6">
        <f t="shared" si="4"/>
        <v>163</v>
      </c>
      <c r="K105" s="4" t="str">
        <f t="shared" ca="1" si="5"/>
        <v>Yes</v>
      </c>
      <c r="L105" s="7">
        <f>IF(I105="Completed","0",IF($H105="","",$H105-'[2]Read Me'!$B$4))</f>
        <v>16</v>
      </c>
      <c r="M105" s="4" t="str">
        <f>IF($I105="Complete","Green",IF($H105="","Amber",IF($H105&lt;'[2]Read Me'!$B$4,"Red",IF($H105-'[2]Read Me'!$B$4&lt;=21,"Amber","Green"))))</f>
        <v>Amber</v>
      </c>
      <c r="N105" s="3"/>
      <c r="O105" t="str">
        <f>IF($I105&lt;&gt;"Complete",IF(COUNTIFS($A$4:$A104,$A105,$B$4:$B104,$B105,$I$4:$I104,"&lt;&gt;Complete")=0,$A105&amp;"|"&amp;$B105,""),"")</f>
        <v/>
      </c>
      <c r="P105">
        <f ca="1">IF($K105="Yes",COUNTIFS($K$4:$K105,"Yes"),"")</f>
        <v>5</v>
      </c>
      <c r="Q105">
        <f t="shared" ca="1" si="6"/>
        <v>1</v>
      </c>
      <c r="R105">
        <f ca="1">IF($Q105=1,SUM($Q$4:$Q105),"")</f>
        <v>5</v>
      </c>
    </row>
    <row r="106" spans="1:18" ht="22.5" customHeight="1" x14ac:dyDescent="0.3">
      <c r="A106" s="2" t="s">
        <v>443</v>
      </c>
      <c r="B106" s="2" t="s">
        <v>21</v>
      </c>
      <c r="C106" s="3" t="s">
        <v>444</v>
      </c>
      <c r="D106" s="3" t="s">
        <v>282</v>
      </c>
      <c r="E106" s="2" t="s">
        <v>184</v>
      </c>
      <c r="F106" s="2"/>
      <c r="G106" s="5">
        <v>46040</v>
      </c>
      <c r="H106" s="5">
        <v>46203</v>
      </c>
      <c r="I106" s="4" t="s">
        <v>17</v>
      </c>
      <c r="J106" s="6">
        <f t="shared" si="4"/>
        <v>163</v>
      </c>
      <c r="K106" s="4" t="str">
        <f t="shared" ca="1" si="5"/>
        <v>Yes</v>
      </c>
      <c r="L106" s="7">
        <f>IF(I106="Completed","0",IF($H106="","",$H106-'[2]Read Me'!$B$4))</f>
        <v>16</v>
      </c>
      <c r="M106" s="4" t="str">
        <f>IF($I106="Complete","Green",IF($H106="","Amber",IF($H106&lt;'[2]Read Me'!$B$4,"Red",IF($H106-'[2]Read Me'!$B$4&lt;=21,"Amber","Green"))))</f>
        <v>Amber</v>
      </c>
      <c r="N106" s="3"/>
      <c r="O106" t="str">
        <f>IF($I106&lt;&gt;"Complete",IF(COUNTIFS($A$4:$A105,$A106,$B$4:$B105,$B106,$I$4:$I105,"&lt;&gt;Complete")=0,$A106&amp;"|"&amp;$B106,""),"")</f>
        <v/>
      </c>
      <c r="P106">
        <f ca="1">IF($K106="Yes",COUNTIFS($K$4:$K106,"Yes"),"")</f>
        <v>6</v>
      </c>
      <c r="Q106">
        <f t="shared" ca="1" si="6"/>
        <v>1</v>
      </c>
      <c r="R106">
        <f ca="1">IF($Q106=1,SUM($Q$4:$Q106),"")</f>
        <v>6</v>
      </c>
    </row>
    <row r="107" spans="1:18" ht="22.5" customHeight="1" x14ac:dyDescent="0.3">
      <c r="A107" s="2" t="s">
        <v>443</v>
      </c>
      <c r="B107" s="2" t="s">
        <v>21</v>
      </c>
      <c r="C107" s="3" t="s">
        <v>444</v>
      </c>
      <c r="D107" s="3" t="s">
        <v>343</v>
      </c>
      <c r="E107" s="2" t="s">
        <v>395</v>
      </c>
      <c r="F107" s="2"/>
      <c r="G107" s="5">
        <v>46040</v>
      </c>
      <c r="H107" s="5">
        <v>46217</v>
      </c>
      <c r="I107" s="4" t="s">
        <v>17</v>
      </c>
      <c r="J107" s="6">
        <f t="shared" si="4"/>
        <v>177</v>
      </c>
      <c r="K107" s="4" t="str">
        <f t="shared" ca="1" si="5"/>
        <v>No</v>
      </c>
      <c r="L107" s="7">
        <f>IF(I107="Completed","0",IF($H107="","",$H107-'[2]Read Me'!$B$4))</f>
        <v>30</v>
      </c>
      <c r="M107" s="4" t="str">
        <f>IF($I107="Complete","Green",IF($H107="","Amber",IF($H107&lt;'[2]Read Me'!$B$4,"Red",IF($H107-'[2]Read Me'!$B$4&lt;=21,"Amber","Green"))))</f>
        <v>Green</v>
      </c>
      <c r="N107" s="3"/>
      <c r="O107" t="str">
        <f>IF($I107&lt;&gt;"Complete",IF(COUNTIFS($A$4:$A106,$A107,$B$4:$B106,$B107,$I$4:$I106,"&lt;&gt;Complete")=0,$A107&amp;"|"&amp;$B107,""),"")</f>
        <v/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 t="s">
        <v>443</v>
      </c>
      <c r="B108" s="2" t="s">
        <v>21</v>
      </c>
      <c r="C108" s="3" t="s">
        <v>444</v>
      </c>
      <c r="D108" s="3" t="s">
        <v>285</v>
      </c>
      <c r="E108" s="2" t="s">
        <v>395</v>
      </c>
      <c r="F108" s="2" t="s">
        <v>182</v>
      </c>
      <c r="G108" s="5">
        <v>46054</v>
      </c>
      <c r="H108" s="5">
        <v>46245</v>
      </c>
      <c r="I108" s="4" t="s">
        <v>17</v>
      </c>
      <c r="J108" s="6">
        <f t="shared" si="4"/>
        <v>191</v>
      </c>
      <c r="K108" s="4" t="str">
        <f t="shared" ca="1" si="5"/>
        <v>No</v>
      </c>
      <c r="L108" s="7">
        <f>IF(I108="Completed","0",IF($H108="","",$H108-'[2]Read Me'!$B$4))</f>
        <v>58</v>
      </c>
      <c r="M108" s="4" t="str">
        <f>IF($I108="Complete","Green",IF($H108="","Amber",IF($H108&lt;'[2]Read Me'!$B$4,"Red",IF($H108-'[2]Read Me'!$B$4&lt;=21,"Amber","Green"))))</f>
        <v>Green</v>
      </c>
      <c r="N108" s="3"/>
      <c r="O108" t="str">
        <f>IF($I108&lt;&gt;"Complete",IF(COUNTIFS($A$4:$A107,$A108,$B$4:$B107,$B108,$I$4:$I107,"&lt;&gt;Complete")=0,$A108&amp;"|"&amp;$B108,""),"")</f>
        <v/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 t="s">
        <v>443</v>
      </c>
      <c r="B109" s="2" t="s">
        <v>21</v>
      </c>
      <c r="C109" s="3" t="s">
        <v>444</v>
      </c>
      <c r="D109" s="3" t="s">
        <v>58</v>
      </c>
      <c r="E109" s="2" t="s">
        <v>395</v>
      </c>
      <c r="F109" s="2"/>
      <c r="G109" s="5">
        <v>46068</v>
      </c>
      <c r="H109" s="5">
        <v>46259</v>
      </c>
      <c r="I109" s="4" t="s">
        <v>17</v>
      </c>
      <c r="J109" s="6">
        <f t="shared" si="4"/>
        <v>191</v>
      </c>
      <c r="K109" s="4" t="str">
        <f t="shared" ca="1" si="5"/>
        <v>No</v>
      </c>
      <c r="L109" s="7">
        <f>IF(I109="Completed","0",IF($H109="","",$H109-'[2]Read Me'!$B$4))</f>
        <v>72</v>
      </c>
      <c r="M109" s="4" t="str">
        <f>IF($I109="Complete","Green",IF($H109="","Amber",IF($H109&lt;'[2]Read Me'!$B$4,"Red",IF($H109-'[2]Read Me'!$B$4&lt;=21,"Amber","Green"))))</f>
        <v>Green</v>
      </c>
      <c r="N109" s="3"/>
      <c r="O109" t="str">
        <f>IF($I109&lt;&gt;"Complete",IF(COUNTIFS($A$4:$A108,$A109,$B$4:$B108,$B109,$I$4:$I108,"&lt;&gt;Complete")=0,$A109&amp;"|"&amp;$B109,""),"")</f>
        <v/>
      </c>
      <c r="P109" t="str">
        <f ca="1">IF($K109="Yes",COUNTIFS($K$4:$K109,"Yes"),"")</f>
        <v/>
      </c>
      <c r="Q109">
        <f t="shared" ca="1" si="6"/>
        <v>0</v>
      </c>
      <c r="R109" t="str">
        <f ca="1">IF($Q109=1,SUM($Q$4:$Q109),"")</f>
        <v/>
      </c>
    </row>
    <row r="110" spans="1:18" ht="22.5" customHeight="1" x14ac:dyDescent="0.3">
      <c r="A110" s="2" t="s">
        <v>396</v>
      </c>
      <c r="B110" s="2" t="s">
        <v>21</v>
      </c>
      <c r="C110" s="3"/>
      <c r="D110" s="3"/>
      <c r="E110" s="2"/>
      <c r="F110" s="2"/>
      <c r="G110" s="5">
        <v>46068</v>
      </c>
      <c r="H110" s="5">
        <v>46259</v>
      </c>
      <c r="I110" s="4"/>
      <c r="J110" s="6">
        <f t="shared" si="4"/>
        <v>191</v>
      </c>
      <c r="K110" s="4" t="str">
        <f t="shared" ca="1" si="5"/>
        <v/>
      </c>
      <c r="L110" s="7">
        <f>IF(I110="Completed","0",IF($H110="","",$H110-'[2]Read Me'!$B$4))</f>
        <v>72</v>
      </c>
      <c r="M110" s="4" t="str">
        <f>IF($I110="Complete","Green",IF($H110="","Amber",IF($H110&lt;'[2]Read Me'!$B$4,"Red",IF($H110-'[2]Read Me'!$B$4&lt;=21,"Amber","Green"))))</f>
        <v>Green</v>
      </c>
      <c r="N110" s="3"/>
      <c r="O110" t="str">
        <f>IF($I110&lt;&gt;"Complete",IF(COUNTIFS($A$4:$A109,$A110,$B$4:$B109,$B110,$I$4:$I109,"&lt;&gt;Complete")=0,$A110&amp;"|"&amp;$B110,""),"")</f>
        <v>Main Valley|Landscape</v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 t="s">
        <v>396</v>
      </c>
      <c r="B111" s="2" t="s">
        <v>21</v>
      </c>
      <c r="C111" s="3" t="s">
        <v>396</v>
      </c>
      <c r="D111" s="3" t="s">
        <v>284</v>
      </c>
      <c r="E111" s="2" t="s">
        <v>395</v>
      </c>
      <c r="F111" s="2" t="s">
        <v>182</v>
      </c>
      <c r="G111" s="5">
        <v>46026</v>
      </c>
      <c r="H111" s="5">
        <v>46189</v>
      </c>
      <c r="I111" s="4" t="s">
        <v>31</v>
      </c>
      <c r="J111" s="6">
        <f t="shared" si="4"/>
        <v>163</v>
      </c>
      <c r="K111" s="4" t="str">
        <f t="shared" ca="1" si="5"/>
        <v>-</v>
      </c>
      <c r="L111" s="7" t="str">
        <f>IF(I111="Completed","0",IF($H111="","",$H111-'[2]Read Me'!$B$4))</f>
        <v>0</v>
      </c>
      <c r="M111" s="4" t="str">
        <f>IF($I111="Complete","Green",IF($H111="","Amber",IF($H111&lt;'[2]Read Me'!$B$4,"Red",IF($H111-'[2]Read Me'!$B$4&lt;=21,"Amber","Green"))))</f>
        <v>Amber</v>
      </c>
      <c r="N111" s="3"/>
      <c r="O111" t="str">
        <f>IF($I111&lt;&gt;"Complete",IF(COUNTIFS($A$4:$A110,$A111,$B$4:$B110,$B111,$I$4:$I110,"&lt;&gt;Complete")=0,$A111&amp;"|"&amp;$B111,""),"")</f>
        <v/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 t="s">
        <v>396</v>
      </c>
      <c r="B112" s="2" t="s">
        <v>21</v>
      </c>
      <c r="C112" s="3" t="s">
        <v>396</v>
      </c>
      <c r="D112" s="3" t="s">
        <v>58</v>
      </c>
      <c r="E112" s="2" t="s">
        <v>395</v>
      </c>
      <c r="F112" s="2"/>
      <c r="G112" s="5">
        <v>46040</v>
      </c>
      <c r="H112" s="5">
        <v>46203</v>
      </c>
      <c r="I112" s="4" t="s">
        <v>46</v>
      </c>
      <c r="J112" s="6">
        <f t="shared" si="4"/>
        <v>163</v>
      </c>
      <c r="K112" s="4" t="str">
        <f t="shared" ca="1" si="5"/>
        <v>Yes</v>
      </c>
      <c r="L112" s="7">
        <f>IF(I112="Completed","0",IF($H112="","",$H112-'[2]Read Me'!$B$4))</f>
        <v>16</v>
      </c>
      <c r="M112" s="4" t="str">
        <f>IF($I112="Complete","Green",IF($H112="","Amber",IF($H112&lt;'[2]Read Me'!$B$4,"Red",IF($H112-'[2]Read Me'!$B$4&lt;=21,"Amber","Green"))))</f>
        <v>Amber</v>
      </c>
      <c r="N112" s="3"/>
      <c r="O112" t="str">
        <f>IF($I112&lt;&gt;"Complete",IF(COUNTIFS($A$4:$A111,$A112,$B$4:$B111,$B112,$I$4:$I111,"&lt;&gt;Complete")=0,$A112&amp;"|"&amp;$B112,""),"")</f>
        <v/>
      </c>
      <c r="P112">
        <f ca="1">IF($K112="Yes",COUNTIFS($K$4:$K112,"Yes"),"")</f>
        <v>7</v>
      </c>
      <c r="Q112">
        <f t="shared" ca="1" si="6"/>
        <v>1</v>
      </c>
      <c r="R112">
        <f ca="1">IF($Q112=1,SUM($Q$4:$Q112),"")</f>
        <v>7</v>
      </c>
    </row>
    <row r="113" spans="1:18" ht="22.5" customHeight="1" x14ac:dyDescent="0.3">
      <c r="A113" s="2" t="s">
        <v>396</v>
      </c>
      <c r="B113" s="2" t="s">
        <v>21</v>
      </c>
      <c r="C113" s="3" t="s">
        <v>396</v>
      </c>
      <c r="D113" s="3" t="s">
        <v>282</v>
      </c>
      <c r="E113" s="2" t="s">
        <v>184</v>
      </c>
      <c r="F113" s="2"/>
      <c r="G113" s="5">
        <v>46040</v>
      </c>
      <c r="H113" s="5">
        <v>46203</v>
      </c>
      <c r="I113" s="4" t="s">
        <v>17</v>
      </c>
      <c r="J113" s="6">
        <f t="shared" si="4"/>
        <v>163</v>
      </c>
      <c r="K113" s="4" t="str">
        <f t="shared" ca="1" si="5"/>
        <v>Yes</v>
      </c>
      <c r="L113" s="7">
        <f>IF(I113="Completed","0",IF($H113="","",$H113-'[2]Read Me'!$B$4))</f>
        <v>16</v>
      </c>
      <c r="M113" s="4" t="str">
        <f>IF($I113="Complete","Green",IF($H113="","Amber",IF($H113&lt;'[2]Read Me'!$B$4,"Red",IF($H113-'[2]Read Me'!$B$4&lt;=21,"Amber","Green"))))</f>
        <v>Amber</v>
      </c>
      <c r="N113" s="3"/>
      <c r="O113" t="str">
        <f>IF($I113&lt;&gt;"Complete",IF(COUNTIFS($A$4:$A112,$A113,$B$4:$B112,$B113,$I$4:$I112,"&lt;&gt;Complete")=0,$A113&amp;"|"&amp;$B113,""),"")</f>
        <v/>
      </c>
      <c r="P113">
        <f ca="1">IF($K113="Yes",COUNTIFS($K$4:$K113,"Yes"),"")</f>
        <v>8</v>
      </c>
      <c r="Q113">
        <f t="shared" ca="1" si="6"/>
        <v>1</v>
      </c>
      <c r="R113">
        <f ca="1">IF($Q113=1,SUM($Q$4:$Q113),"")</f>
        <v>8</v>
      </c>
    </row>
    <row r="114" spans="1:18" ht="22.5" customHeight="1" x14ac:dyDescent="0.3">
      <c r="A114" s="2" t="s">
        <v>396</v>
      </c>
      <c r="B114" s="2" t="s">
        <v>21</v>
      </c>
      <c r="C114" s="3" t="s">
        <v>396</v>
      </c>
      <c r="D114" s="3" t="s">
        <v>343</v>
      </c>
      <c r="E114" s="2" t="s">
        <v>395</v>
      </c>
      <c r="F114" s="2"/>
      <c r="G114" s="5">
        <v>46040</v>
      </c>
      <c r="H114" s="5">
        <v>46217</v>
      </c>
      <c r="I114" s="4" t="s">
        <v>17</v>
      </c>
      <c r="J114" s="6">
        <f t="shared" si="4"/>
        <v>177</v>
      </c>
      <c r="K114" s="4" t="str">
        <f t="shared" ca="1" si="5"/>
        <v>No</v>
      </c>
      <c r="L114" s="7">
        <f>IF(I114="Completed","0",IF($H114="","",$H114-'[2]Read Me'!$B$4))</f>
        <v>30</v>
      </c>
      <c r="M114" s="4" t="str">
        <f>IF($I114="Complete","Green",IF($H114="","Amber",IF($H114&lt;'[2]Read Me'!$B$4,"Red",IF($H114-'[2]Read Me'!$B$4&lt;=21,"Amber","Green"))))</f>
        <v>Green</v>
      </c>
      <c r="N114" s="3"/>
      <c r="O114" t="str">
        <f>IF($I114&lt;&gt;"Complete",IF(COUNTIFS($A$4:$A113,$A114,$B$4:$B113,$B114,$I$4:$I113,"&lt;&gt;Complete")=0,$A114&amp;"|"&amp;$B114,""),"")</f>
        <v/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 t="s">
        <v>396</v>
      </c>
      <c r="B115" s="2" t="s">
        <v>21</v>
      </c>
      <c r="C115" s="3" t="s">
        <v>396</v>
      </c>
      <c r="D115" s="3" t="s">
        <v>285</v>
      </c>
      <c r="E115" s="2" t="s">
        <v>395</v>
      </c>
      <c r="F115" s="2" t="s">
        <v>182</v>
      </c>
      <c r="G115" s="5">
        <v>46054</v>
      </c>
      <c r="H115" s="5">
        <v>46245</v>
      </c>
      <c r="I115" s="4" t="s">
        <v>17</v>
      </c>
      <c r="J115" s="6">
        <f t="shared" si="4"/>
        <v>191</v>
      </c>
      <c r="K115" s="4" t="str">
        <f t="shared" ca="1" si="5"/>
        <v>No</v>
      </c>
      <c r="L115" s="7">
        <f>IF(I115="Completed","0",IF($H115="","",$H115-'[2]Read Me'!$B$4))</f>
        <v>58</v>
      </c>
      <c r="M115" s="4" t="str">
        <f>IF($I115="Complete","Green",IF($H115="","Amber",IF($H115&lt;'[2]Read Me'!$B$4,"Red",IF($H115-'[2]Read Me'!$B$4&lt;=21,"Amber","Green"))))</f>
        <v>Green</v>
      </c>
      <c r="N115" s="3"/>
      <c r="O115" t="str">
        <f>IF($I115&lt;&gt;"Complete",IF(COUNTIFS($A$4:$A114,$A115,$B$4:$B114,$B115,$I$4:$I114,"&lt;&gt;Complete")=0,$A115&amp;"|"&amp;$B115,""),"")</f>
        <v/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 t="s">
        <v>396</v>
      </c>
      <c r="B116" s="2" t="s">
        <v>21</v>
      </c>
      <c r="C116" s="3" t="s">
        <v>396</v>
      </c>
      <c r="D116" s="3" t="s">
        <v>58</v>
      </c>
      <c r="E116" s="2" t="s">
        <v>395</v>
      </c>
      <c r="F116" s="2"/>
      <c r="G116" s="5">
        <v>46068</v>
      </c>
      <c r="H116" s="5">
        <v>46259</v>
      </c>
      <c r="I116" s="4" t="s">
        <v>17</v>
      </c>
      <c r="J116" s="6">
        <f t="shared" si="4"/>
        <v>191</v>
      </c>
      <c r="K116" s="4" t="str">
        <f t="shared" ca="1" si="5"/>
        <v>No</v>
      </c>
      <c r="L116" s="7">
        <f>IF(I116="Completed","0",IF($H116="","",$H116-'[2]Read Me'!$B$4))</f>
        <v>72</v>
      </c>
      <c r="M116" s="4" t="str">
        <f>IF($I116="Complete","Green",IF($H116="","Amber",IF($H116&lt;'[2]Read Me'!$B$4,"Red",IF($H116-'[2]Read Me'!$B$4&lt;=21,"Amber","Green"))))</f>
        <v>Green</v>
      </c>
      <c r="N116" s="3"/>
      <c r="O116" t="str">
        <f>IF($I116&lt;&gt;"Complete",IF(COUNTIFS($A$4:$A115,$A116,$B$4:$B115,$B116,$I$4:$I115,"&lt;&gt;Complete")=0,$A116&amp;"|"&amp;$B116,""),"")</f>
        <v/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 t="s">
        <v>445</v>
      </c>
      <c r="B117" s="2" t="s">
        <v>21</v>
      </c>
      <c r="C117" s="3"/>
      <c r="D117" s="3"/>
      <c r="E117" s="2"/>
      <c r="F117" s="2"/>
      <c r="G117" s="5">
        <v>46068</v>
      </c>
      <c r="H117" s="5">
        <v>46357</v>
      </c>
      <c r="I117" s="4"/>
      <c r="J117" s="6">
        <f t="shared" si="4"/>
        <v>289</v>
      </c>
      <c r="K117" s="4" t="str">
        <f t="shared" ca="1" si="5"/>
        <v/>
      </c>
      <c r="L117" s="7">
        <f>IF(I117="Completed","0",IF($H117="","",$H117-'[2]Read Me'!$B$4))</f>
        <v>170</v>
      </c>
      <c r="M117" s="4" t="str">
        <f>IF($I117="Complete","Green",IF($H117="","Amber",IF($H117&lt;'[2]Read Me'!$B$4,"Red",IF($H117-'[2]Read Me'!$B$4&lt;=21,"Amber","Green"))))</f>
        <v>Green</v>
      </c>
      <c r="N117" s="3"/>
      <c r="O117" t="str">
        <f>IF($I117&lt;&gt;"Complete",IF(COUNTIFS($A$4:$A116,$A117,$B$4:$B116,$B117,$I$4:$I116,"&lt;&gt;Complete")=0,$A117&amp;"|"&amp;$B117,""),"")</f>
        <v>Ph.03|Landscape</v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 t="s">
        <v>445</v>
      </c>
      <c r="B118" s="2" t="s">
        <v>21</v>
      </c>
      <c r="C118" s="3" t="s">
        <v>446</v>
      </c>
      <c r="D118" s="3" t="s">
        <v>284</v>
      </c>
      <c r="E118" s="2" t="s">
        <v>395</v>
      </c>
      <c r="F118" s="2" t="s">
        <v>182</v>
      </c>
      <c r="G118" s="5">
        <v>46026</v>
      </c>
      <c r="H118" s="5">
        <v>46294</v>
      </c>
      <c r="I118" s="4" t="s">
        <v>17</v>
      </c>
      <c r="J118" s="6">
        <f t="shared" si="4"/>
        <v>268</v>
      </c>
      <c r="K118" s="4" t="str">
        <f t="shared" ca="1" si="5"/>
        <v>No</v>
      </c>
      <c r="L118" s="7">
        <f>IF(I118="Completed","0",IF($H118="","",$H118-'[2]Read Me'!$B$4))</f>
        <v>107</v>
      </c>
      <c r="M118" s="4" t="str">
        <f>IF($I118="Complete","Green",IF($H118="","Amber",IF($H118&lt;'[2]Read Me'!$B$4,"Red",IF($H118-'[2]Read Me'!$B$4&lt;=21,"Amber","Green"))))</f>
        <v>Green</v>
      </c>
      <c r="N118" s="3"/>
      <c r="O118" t="str">
        <f>IF($I118&lt;&gt;"Complete",IF(COUNTIFS($A$4:$A117,$A118,$B$4:$B117,$B118,$I$4:$I117,"&lt;&gt;Complete")=0,$A118&amp;"|"&amp;$B118,""),"")</f>
        <v/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 t="s">
        <v>445</v>
      </c>
      <c r="B119" s="2" t="s">
        <v>21</v>
      </c>
      <c r="C119" s="3" t="s">
        <v>446</v>
      </c>
      <c r="D119" s="3" t="s">
        <v>58</v>
      </c>
      <c r="E119" s="2" t="s">
        <v>395</v>
      </c>
      <c r="F119" s="2"/>
      <c r="G119" s="5">
        <v>46040</v>
      </c>
      <c r="H119" s="5">
        <v>46308</v>
      </c>
      <c r="I119" s="4" t="s">
        <v>17</v>
      </c>
      <c r="J119" s="6">
        <f t="shared" si="4"/>
        <v>268</v>
      </c>
      <c r="K119" s="4" t="str">
        <f t="shared" ca="1" si="5"/>
        <v>No</v>
      </c>
      <c r="L119" s="7">
        <f>IF(I119="Completed","0",IF($H119="","",$H119-'[2]Read Me'!$B$4))</f>
        <v>121</v>
      </c>
      <c r="M119" s="4" t="str">
        <f>IF($I119="Complete","Green",IF($H119="","Amber",IF($H119&lt;'[2]Read Me'!$B$4,"Red",IF($H119-'[2]Read Me'!$B$4&lt;=21,"Amber","Green"))))</f>
        <v>Green</v>
      </c>
      <c r="N119" s="3"/>
      <c r="O119" t="str">
        <f>IF($I119&lt;&gt;"Complete",IF(COUNTIFS($A$4:$A118,$A119,$B$4:$B118,$B119,$I$4:$I118,"&lt;&gt;Complete")=0,$A119&amp;"|"&amp;$B119,""),"")</f>
        <v/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 t="s">
        <v>445</v>
      </c>
      <c r="B120" s="2" t="s">
        <v>21</v>
      </c>
      <c r="C120" s="3" t="s">
        <v>446</v>
      </c>
      <c r="D120" s="3" t="s">
        <v>282</v>
      </c>
      <c r="E120" s="2" t="s">
        <v>184</v>
      </c>
      <c r="F120" s="2"/>
      <c r="G120" s="5">
        <v>46040</v>
      </c>
      <c r="H120" s="5">
        <v>46308</v>
      </c>
      <c r="I120" s="4" t="s">
        <v>17</v>
      </c>
      <c r="J120" s="6">
        <f t="shared" si="4"/>
        <v>268</v>
      </c>
      <c r="K120" s="4" t="str">
        <f t="shared" ca="1" si="5"/>
        <v>No</v>
      </c>
      <c r="L120" s="7">
        <f>IF(I120="Completed","0",IF($H120="","",$H120-'[2]Read Me'!$B$4))</f>
        <v>121</v>
      </c>
      <c r="M120" s="4" t="str">
        <f>IF($I120="Complete","Green",IF($H120="","Amber",IF($H120&lt;'[2]Read Me'!$B$4,"Red",IF($H120-'[2]Read Me'!$B$4&lt;=21,"Amber","Green"))))</f>
        <v>Green</v>
      </c>
      <c r="N120" s="3"/>
      <c r="O120" t="str">
        <f>IF($I120&lt;&gt;"Complete",IF(COUNTIFS($A$4:$A119,$A120,$B$4:$B119,$B120,$I$4:$I119,"&lt;&gt;Complete")=0,$A120&amp;"|"&amp;$B120,""),"")</f>
        <v/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 t="s">
        <v>445</v>
      </c>
      <c r="B121" s="2" t="s">
        <v>21</v>
      </c>
      <c r="C121" s="3" t="s">
        <v>446</v>
      </c>
      <c r="D121" s="3" t="s">
        <v>343</v>
      </c>
      <c r="E121" s="2" t="s">
        <v>395</v>
      </c>
      <c r="F121" s="2"/>
      <c r="G121" s="5">
        <v>46040</v>
      </c>
      <c r="H121" s="5">
        <v>46322</v>
      </c>
      <c r="I121" s="4" t="s">
        <v>17</v>
      </c>
      <c r="J121" s="6">
        <f t="shared" si="4"/>
        <v>282</v>
      </c>
      <c r="K121" s="4" t="str">
        <f t="shared" ca="1" si="5"/>
        <v>No</v>
      </c>
      <c r="L121" s="7">
        <f>IF(I121="Completed","0",IF($H121="","",$H121-'[2]Read Me'!$B$4))</f>
        <v>135</v>
      </c>
      <c r="M121" s="4" t="str">
        <f>IF($I121="Complete","Green",IF($H121="","Amber",IF($H121&lt;'[2]Read Me'!$B$4,"Red",IF($H121-'[2]Read Me'!$B$4&lt;=21,"Amber","Green"))))</f>
        <v>Green</v>
      </c>
      <c r="N121" s="3"/>
      <c r="O121" t="str">
        <f>IF($I121&lt;&gt;"Complete",IF(COUNTIFS($A$4:$A120,$A121,$B$4:$B120,$B121,$I$4:$I120,"&lt;&gt;Complete")=0,$A121&amp;"|"&amp;$B121,""),"")</f>
        <v/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 t="s">
        <v>445</v>
      </c>
      <c r="B122" s="2" t="s">
        <v>21</v>
      </c>
      <c r="C122" s="3" t="s">
        <v>446</v>
      </c>
      <c r="D122" s="3" t="s">
        <v>285</v>
      </c>
      <c r="E122" s="2" t="s">
        <v>395</v>
      </c>
      <c r="F122" s="2" t="s">
        <v>182</v>
      </c>
      <c r="G122" s="5">
        <v>46054</v>
      </c>
      <c r="H122" s="5">
        <v>46343</v>
      </c>
      <c r="I122" s="4" t="s">
        <v>17</v>
      </c>
      <c r="J122" s="6">
        <f t="shared" si="4"/>
        <v>289</v>
      </c>
      <c r="K122" s="4" t="str">
        <f t="shared" ca="1" si="5"/>
        <v>No</v>
      </c>
      <c r="L122" s="7">
        <f>IF(I122="Completed","0",IF($H122="","",$H122-'[2]Read Me'!$B$4))</f>
        <v>156</v>
      </c>
      <c r="M122" s="4" t="str">
        <f>IF($I122="Complete","Green",IF($H122="","Amber",IF($H122&lt;'[2]Read Me'!$B$4,"Red",IF($H122-'[2]Read Me'!$B$4&lt;=21,"Amber","Green"))))</f>
        <v>Green</v>
      </c>
      <c r="N122" s="3"/>
      <c r="O122" t="str">
        <f>IF($I122&lt;&gt;"Complete",IF(COUNTIFS($A$4:$A121,$A122,$B$4:$B121,$B122,$I$4:$I121,"&lt;&gt;Complete")=0,$A122&amp;"|"&amp;$B122,""),"")</f>
        <v/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 t="s">
        <v>445</v>
      </c>
      <c r="B123" s="2" t="s">
        <v>21</v>
      </c>
      <c r="C123" s="3" t="s">
        <v>446</v>
      </c>
      <c r="D123" s="3" t="s">
        <v>58</v>
      </c>
      <c r="E123" s="2" t="s">
        <v>395</v>
      </c>
      <c r="F123" s="2"/>
      <c r="G123" s="5">
        <v>46068</v>
      </c>
      <c r="H123" s="5">
        <v>46357</v>
      </c>
      <c r="I123" s="4" t="s">
        <v>17</v>
      </c>
      <c r="J123" s="6">
        <f t="shared" si="4"/>
        <v>289</v>
      </c>
      <c r="K123" s="4" t="str">
        <f t="shared" ca="1" si="5"/>
        <v>No</v>
      </c>
      <c r="L123" s="7">
        <f>IF(I123="Completed","0",IF($H123="","",$H123-'[2]Read Me'!$B$4))</f>
        <v>170</v>
      </c>
      <c r="M123" s="4" t="str">
        <f>IF($I123="Complete","Green",IF($H123="","Amber",IF($H123&lt;'[2]Read Me'!$B$4,"Red",IF($H123-'[2]Read Me'!$B$4&lt;=21,"Amber","Green"))))</f>
        <v>Green</v>
      </c>
      <c r="N123" s="3"/>
      <c r="O123" t="str">
        <f>IF($I123&lt;&gt;"Complete",IF(COUNTIFS($A$4:$A122,$A123,$B$4:$B122,$B123,$I$4:$I122,"&lt;&gt;Complete")=0,$A123&amp;"|"&amp;$B123,""),"")</f>
        <v/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 t="s">
        <v>447</v>
      </c>
      <c r="B124" s="2" t="s">
        <v>21</v>
      </c>
      <c r="C124" s="3"/>
      <c r="D124" s="3"/>
      <c r="E124" s="2"/>
      <c r="F124" s="2"/>
      <c r="G124" s="5">
        <v>46068</v>
      </c>
      <c r="H124" s="5">
        <v>46357</v>
      </c>
      <c r="I124" s="4"/>
      <c r="J124" s="6">
        <f t="shared" si="4"/>
        <v>289</v>
      </c>
      <c r="K124" s="4" t="str">
        <f t="shared" ca="1" si="5"/>
        <v/>
      </c>
      <c r="L124" s="7">
        <f>IF(I124="Completed","0",IF($H124="","",$H124-'[2]Read Me'!$B$4))</f>
        <v>170</v>
      </c>
      <c r="M124" s="4" t="str">
        <f>IF($I124="Complete","Green",IF($H124="","Amber",IF($H124&lt;'[2]Read Me'!$B$4,"Red",IF($H124-'[2]Read Me'!$B$4&lt;=21,"Amber","Green"))))</f>
        <v>Green</v>
      </c>
      <c r="N124" s="3"/>
      <c r="O124" t="str">
        <f>IF($I124&lt;&gt;"Complete",IF(COUNTIFS($A$4:$A123,$A124,$B$4:$B123,$B124,$I$4:$I123,"&lt;&gt;Complete")=0,$A124&amp;"|"&amp;$B124,""),"")</f>
        <v>Ph.04|Landscape</v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 t="s">
        <v>447</v>
      </c>
      <c r="B125" s="2" t="s">
        <v>21</v>
      </c>
      <c r="C125" s="3" t="s">
        <v>448</v>
      </c>
      <c r="D125" s="3" t="s">
        <v>284</v>
      </c>
      <c r="E125" s="2" t="s">
        <v>395</v>
      </c>
      <c r="F125" s="2" t="s">
        <v>182</v>
      </c>
      <c r="G125" s="5">
        <v>46026</v>
      </c>
      <c r="H125" s="5">
        <v>46294</v>
      </c>
      <c r="I125" s="4" t="s">
        <v>17</v>
      </c>
      <c r="J125" s="6">
        <f t="shared" si="4"/>
        <v>268</v>
      </c>
      <c r="K125" s="4" t="str">
        <f t="shared" ca="1" si="5"/>
        <v>No</v>
      </c>
      <c r="L125" s="7">
        <f>IF(I125="Completed","0",IF($H125="","",$H125-'[2]Read Me'!$B$4))</f>
        <v>107</v>
      </c>
      <c r="M125" s="4" t="str">
        <f>IF($I125="Complete","Green",IF($H125="","Amber",IF($H125&lt;'[2]Read Me'!$B$4,"Red",IF($H125-'[2]Read Me'!$B$4&lt;=21,"Amber","Green"))))</f>
        <v>Green</v>
      </c>
      <c r="N125" s="3"/>
      <c r="O125" t="str">
        <f>IF($I125&lt;&gt;"Complete",IF(COUNTIFS($A$4:$A124,$A125,$B$4:$B124,$B125,$I$4:$I124,"&lt;&gt;Complete")=0,$A125&amp;"|"&amp;$B125,""),"")</f>
        <v/>
      </c>
      <c r="P125" t="str">
        <f ca="1">IF($K125="Yes",COUNTIFS($K$4:$K125,"Yes"),"")</f>
        <v/>
      </c>
      <c r="Q125">
        <f t="shared" ca="1" si="6"/>
        <v>0</v>
      </c>
      <c r="R125" t="str">
        <f ca="1">IF($Q125=1,SUM($Q$4:$Q125),"")</f>
        <v/>
      </c>
    </row>
    <row r="126" spans="1:18" ht="22.5" customHeight="1" x14ac:dyDescent="0.3">
      <c r="A126" s="2" t="s">
        <v>447</v>
      </c>
      <c r="B126" s="2" t="s">
        <v>21</v>
      </c>
      <c r="C126" s="3" t="s">
        <v>448</v>
      </c>
      <c r="D126" s="3" t="s">
        <v>58</v>
      </c>
      <c r="E126" s="2" t="s">
        <v>395</v>
      </c>
      <c r="F126" s="2"/>
      <c r="G126" s="5">
        <v>46040</v>
      </c>
      <c r="H126" s="5">
        <v>46308</v>
      </c>
      <c r="I126" s="4" t="s">
        <v>17</v>
      </c>
      <c r="J126" s="6">
        <f t="shared" si="4"/>
        <v>268</v>
      </c>
      <c r="K126" s="4" t="str">
        <f t="shared" ca="1" si="5"/>
        <v>No</v>
      </c>
      <c r="L126" s="7">
        <f>IF(I126="Completed","0",IF($H126="","",$H126-'[2]Read Me'!$B$4))</f>
        <v>121</v>
      </c>
      <c r="M126" s="4" t="str">
        <f>IF($I126="Complete","Green",IF($H126="","Amber",IF($H126&lt;'[2]Read Me'!$B$4,"Red",IF($H126-'[2]Read Me'!$B$4&lt;=21,"Amber","Green"))))</f>
        <v>Green</v>
      </c>
      <c r="N126" s="3"/>
      <c r="O126" t="str">
        <f>IF($I126&lt;&gt;"Complete",IF(COUNTIFS($A$4:$A125,$A126,$B$4:$B125,$B126,$I$4:$I125,"&lt;&gt;Complete")=0,$A126&amp;"|"&amp;$B126,""),"")</f>
        <v/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 t="s">
        <v>447</v>
      </c>
      <c r="B127" s="2" t="s">
        <v>21</v>
      </c>
      <c r="C127" s="3" t="s">
        <v>448</v>
      </c>
      <c r="D127" s="3" t="s">
        <v>282</v>
      </c>
      <c r="E127" s="2" t="s">
        <v>184</v>
      </c>
      <c r="F127" s="2"/>
      <c r="G127" s="5">
        <v>46040</v>
      </c>
      <c r="H127" s="5">
        <v>46308</v>
      </c>
      <c r="I127" s="4" t="s">
        <v>17</v>
      </c>
      <c r="J127" s="6">
        <f t="shared" si="4"/>
        <v>268</v>
      </c>
      <c r="K127" s="4" t="str">
        <f t="shared" ca="1" si="5"/>
        <v>No</v>
      </c>
      <c r="L127" s="7">
        <f>IF(I127="Completed","0",IF($H127="","",$H127-'[2]Read Me'!$B$4))</f>
        <v>121</v>
      </c>
      <c r="M127" s="4" t="str">
        <f>IF($I127="Complete","Green",IF($H127="","Amber",IF($H127&lt;'[2]Read Me'!$B$4,"Red",IF($H127-'[2]Read Me'!$B$4&lt;=21,"Amber","Green"))))</f>
        <v>Green</v>
      </c>
      <c r="N127" s="3"/>
      <c r="O127" t="str">
        <f>IF($I127&lt;&gt;"Complete",IF(COUNTIFS($A$4:$A126,$A127,$B$4:$B126,$B127,$I$4:$I126,"&lt;&gt;Complete")=0,$A127&amp;"|"&amp;$B127,""),"")</f>
        <v/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 t="s">
        <v>447</v>
      </c>
      <c r="B128" s="2" t="s">
        <v>21</v>
      </c>
      <c r="C128" s="3" t="s">
        <v>448</v>
      </c>
      <c r="D128" s="3" t="s">
        <v>343</v>
      </c>
      <c r="E128" s="2" t="s">
        <v>395</v>
      </c>
      <c r="F128" s="2"/>
      <c r="G128" s="5">
        <v>46040</v>
      </c>
      <c r="H128" s="5">
        <v>46322</v>
      </c>
      <c r="I128" s="4" t="s">
        <v>17</v>
      </c>
      <c r="J128" s="6">
        <f t="shared" si="4"/>
        <v>282</v>
      </c>
      <c r="K128" s="4" t="str">
        <f t="shared" ca="1" si="5"/>
        <v>No</v>
      </c>
      <c r="L128" s="7">
        <f>IF(I128="Completed","0",IF($H128="","",$H128-'[2]Read Me'!$B$4))</f>
        <v>135</v>
      </c>
      <c r="M128" s="4" t="str">
        <f>IF($I128="Complete","Green",IF($H128="","Amber",IF($H128&lt;'[2]Read Me'!$B$4,"Red",IF($H128-'[2]Read Me'!$B$4&lt;=21,"Amber","Green"))))</f>
        <v>Green</v>
      </c>
      <c r="N128" s="3"/>
      <c r="O128" t="str">
        <f>IF($I128&lt;&gt;"Complete",IF(COUNTIFS($A$4:$A127,$A128,$B$4:$B127,$B128,$I$4:$I127,"&lt;&gt;Complete")=0,$A128&amp;"|"&amp;$B128,""),"")</f>
        <v/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 t="s">
        <v>447</v>
      </c>
      <c r="B129" s="2" t="s">
        <v>21</v>
      </c>
      <c r="C129" s="3" t="s">
        <v>448</v>
      </c>
      <c r="D129" s="3" t="s">
        <v>285</v>
      </c>
      <c r="E129" s="2" t="s">
        <v>395</v>
      </c>
      <c r="F129" s="2" t="s">
        <v>182</v>
      </c>
      <c r="G129" s="5">
        <v>46054</v>
      </c>
      <c r="H129" s="5">
        <v>46343</v>
      </c>
      <c r="I129" s="4" t="s">
        <v>17</v>
      </c>
      <c r="J129" s="6">
        <f t="shared" si="4"/>
        <v>289</v>
      </c>
      <c r="K129" s="4" t="str">
        <f t="shared" ca="1" si="5"/>
        <v>No</v>
      </c>
      <c r="L129" s="7">
        <f>IF(I129="Completed","0",IF($H129="","",$H129-'[2]Read Me'!$B$4))</f>
        <v>156</v>
      </c>
      <c r="M129" s="4" t="str">
        <f>IF($I129="Complete","Green",IF($H129="","Amber",IF($H129&lt;'[2]Read Me'!$B$4,"Red",IF($H129-'[2]Read Me'!$B$4&lt;=21,"Amber","Green"))))</f>
        <v>Green</v>
      </c>
      <c r="N129" s="3"/>
      <c r="O129" t="str">
        <f>IF($I129&lt;&gt;"Complete",IF(COUNTIFS($A$4:$A128,$A129,$B$4:$B128,$B129,$I$4:$I128,"&lt;&gt;Complete")=0,$A129&amp;"|"&amp;$B129,""),"")</f>
        <v/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 t="s">
        <v>447</v>
      </c>
      <c r="B130" s="2" t="s">
        <v>21</v>
      </c>
      <c r="C130" s="3" t="s">
        <v>448</v>
      </c>
      <c r="D130" s="3" t="s">
        <v>58</v>
      </c>
      <c r="E130" s="2" t="s">
        <v>395</v>
      </c>
      <c r="F130" s="2"/>
      <c r="G130" s="5">
        <v>46068</v>
      </c>
      <c r="H130" s="5">
        <v>46357</v>
      </c>
      <c r="I130" s="4" t="s">
        <v>17</v>
      </c>
      <c r="J130" s="6">
        <f t="shared" si="4"/>
        <v>289</v>
      </c>
      <c r="K130" s="4" t="str">
        <f t="shared" ca="1" si="5"/>
        <v>No</v>
      </c>
      <c r="L130" s="7">
        <f>IF(I130="Completed","0",IF($H130="","",$H130-'[2]Read Me'!$B$4))</f>
        <v>170</v>
      </c>
      <c r="M130" s="4" t="str">
        <f>IF($I130="Complete","Green",IF($H130="","Amber",IF($H130&lt;'[2]Read Me'!$B$4,"Red",IF($H130-'[2]Read Me'!$B$4&lt;=21,"Amber","Green"))))</f>
        <v>Green</v>
      </c>
      <c r="N130" s="3"/>
      <c r="O130" t="str">
        <f>IF($I130&lt;&gt;"Complete",IF(COUNTIFS($A$4:$A129,$A130,$B$4:$B129,$B130,$I$4:$I129,"&lt;&gt;Complete")=0,$A130&amp;"|"&amp;$B130,""),"")</f>
        <v/>
      </c>
      <c r="P130" t="str">
        <f ca="1">IF($K130="Yes",COUNTIFS($K$4:$K130,"Yes"),"")</f>
        <v/>
      </c>
      <c r="Q130">
        <f t="shared" ca="1" si="6"/>
        <v>0</v>
      </c>
      <c r="R130" t="str">
        <f ca="1">IF($Q130=1,SUM($Q$4:$Q130),"")</f>
        <v/>
      </c>
    </row>
    <row r="131" spans="1:18" ht="22.5" customHeight="1" x14ac:dyDescent="0.3">
      <c r="A131" s="2" t="s">
        <v>449</v>
      </c>
      <c r="B131" s="2" t="s">
        <v>62</v>
      </c>
      <c r="C131" s="3"/>
      <c r="D131" s="3"/>
      <c r="E131" s="2"/>
      <c r="F131" s="2"/>
      <c r="G131" s="5">
        <v>46240</v>
      </c>
      <c r="H131" s="5">
        <v>46284</v>
      </c>
      <c r="I131" s="4"/>
      <c r="J131" s="6">
        <f t="shared" si="4"/>
        <v>44</v>
      </c>
      <c r="K131" s="4" t="str">
        <f t="shared" ca="1" si="5"/>
        <v/>
      </c>
      <c r="L131" s="7">
        <f>IF(I131="Completed","0",IF($H131="","",$H131-'[2]Read Me'!$B$4))</f>
        <v>97</v>
      </c>
      <c r="M131" s="4" t="str">
        <f>IF($I131="Complete","Green",IF($H131="","Amber",IF($H131&lt;'[2]Read Me'!$B$4,"Red",IF($H131-'[2]Read Me'!$B$4&lt;=21,"Amber","Green"))))</f>
        <v>Green</v>
      </c>
      <c r="N131" s="3"/>
      <c r="O131" t="str">
        <f>IF($I131&lt;&gt;"Complete",IF(COUNTIFS($A$4:$A130,$A131,$B$4:$B130,$B131,$I$4:$I130,"&lt;&gt;Complete")=0,$A131&amp;"|"&amp;$B131,""),"")</f>
        <v>FM Building|Buildings</v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 t="s">
        <v>449</v>
      </c>
      <c r="B132" s="2" t="s">
        <v>62</v>
      </c>
      <c r="C132" s="3" t="s">
        <v>450</v>
      </c>
      <c r="D132" s="3" t="s">
        <v>98</v>
      </c>
      <c r="E132" s="2" t="s">
        <v>426</v>
      </c>
      <c r="F132" s="2" t="s">
        <v>451</v>
      </c>
      <c r="G132" s="5">
        <v>46048</v>
      </c>
      <c r="H132" s="5">
        <v>46048</v>
      </c>
      <c r="I132" s="4" t="s">
        <v>31</v>
      </c>
      <c r="J132" s="6">
        <f t="shared" ref="J132:J195" si="7">IF(OR($G132="",$H132=""),"",$H132-$G132)</f>
        <v>0</v>
      </c>
      <c r="K132" s="4" t="str">
        <f t="shared" ref="K132:K195" ca="1" si="8">IF(C132="","",IF(H132="","",IF($I132="completed","-",IF($H132&gt;TODAY(),"No","Yes"))))</f>
        <v>-</v>
      </c>
      <c r="L132" s="7" t="str">
        <f>IF(I132="Completed","0",IF($H132="","",$H132-'[2]Read Me'!$B$4))</f>
        <v>0</v>
      </c>
      <c r="M132" s="4" t="str">
        <f>IF($I132="Complete","Green",IF($H132="","Amber",IF($H132&lt;'[2]Read Me'!$B$4,"Red",IF($H132-'[2]Read Me'!$B$4&lt;=21,"Amber","Green"))))</f>
        <v>Red</v>
      </c>
      <c r="N132" s="3"/>
      <c r="O132" t="str">
        <f>IF($I132&lt;&gt;"Complete",IF(COUNTIFS($A$4:$A131,$A132,$B$4:$B131,$B132,$I$4:$I131,"&lt;&gt;Complete")=0,$A132&amp;"|"&amp;$B132,""),"")</f>
        <v/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 t="s">
        <v>449</v>
      </c>
      <c r="B133" s="2" t="s">
        <v>62</v>
      </c>
      <c r="C133" s="3" t="s">
        <v>450</v>
      </c>
      <c r="D133" s="3" t="s">
        <v>47</v>
      </c>
      <c r="E133" s="2" t="s">
        <v>426</v>
      </c>
      <c r="F133" s="2"/>
      <c r="G133" s="5">
        <v>46062</v>
      </c>
      <c r="H133" s="5">
        <v>46062</v>
      </c>
      <c r="I133" s="4" t="s">
        <v>31</v>
      </c>
      <c r="J133" s="6">
        <f t="shared" si="7"/>
        <v>0</v>
      </c>
      <c r="K133" s="4" t="str">
        <f t="shared" ca="1" si="8"/>
        <v>-</v>
      </c>
      <c r="L133" s="7" t="str">
        <f>IF(I133="Completed","0",IF($H133="","",$H133-'[2]Read Me'!$B$4))</f>
        <v>0</v>
      </c>
      <c r="M133" s="4" t="str">
        <f>IF($I133="Complete","Green",IF($H133="","Amber",IF($H133&lt;'[2]Read Me'!$B$4,"Red",IF($H133-'[2]Read Me'!$B$4&lt;=21,"Amber","Green"))))</f>
        <v>Red</v>
      </c>
      <c r="N133" s="3"/>
      <c r="O133" t="str">
        <f>IF($I133&lt;&gt;"Complete",IF(COUNTIFS($A$4:$A132,$A133,$B$4:$B132,$B133,$I$4:$I132,"&lt;&gt;Complete")=0,$A133&amp;"|"&amp;$B133,""),"")</f>
        <v/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 t="s">
        <v>449</v>
      </c>
      <c r="B134" s="2" t="s">
        <v>62</v>
      </c>
      <c r="C134" s="3" t="s">
        <v>450</v>
      </c>
      <c r="D134" s="3" t="s">
        <v>132</v>
      </c>
      <c r="E134" s="2" t="s">
        <v>184</v>
      </c>
      <c r="F134" s="2"/>
      <c r="G134" s="5">
        <v>46072</v>
      </c>
      <c r="H134" s="5">
        <v>46072</v>
      </c>
      <c r="I134" s="4" t="s">
        <v>31</v>
      </c>
      <c r="J134" s="6">
        <f t="shared" si="7"/>
        <v>0</v>
      </c>
      <c r="K134" s="4" t="str">
        <f t="shared" ca="1" si="8"/>
        <v>-</v>
      </c>
      <c r="L134" s="7" t="str">
        <f>IF(I134="Completed","0",IF($H134="","",$H134-'[2]Read Me'!$B$4))</f>
        <v>0</v>
      </c>
      <c r="M134" s="4" t="str">
        <f>IF($I134="Complete","Green",IF($H134="","Amber",IF($H134&lt;'[2]Read Me'!$B$4,"Red",IF($H134-'[2]Read Me'!$B$4&lt;=21,"Amber","Green"))))</f>
        <v>Red</v>
      </c>
      <c r="N134" s="3"/>
      <c r="O134" t="str">
        <f>IF($I134&lt;&gt;"Complete",IF(COUNTIFS($A$4:$A133,$A134,$B$4:$B133,$B134,$I$4:$I133,"&lt;&gt;Complete")=0,$A134&amp;"|"&amp;$B134,""),"")</f>
        <v/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 t="s">
        <v>449</v>
      </c>
      <c r="B135" s="2" t="s">
        <v>62</v>
      </c>
      <c r="C135" s="3" t="s">
        <v>450</v>
      </c>
      <c r="D135" s="3" t="s">
        <v>18</v>
      </c>
      <c r="E135" s="2" t="s">
        <v>426</v>
      </c>
      <c r="F135" s="2" t="s">
        <v>197</v>
      </c>
      <c r="G135" s="5">
        <v>46127</v>
      </c>
      <c r="H135" s="5">
        <v>46167</v>
      </c>
      <c r="I135" s="4" t="s">
        <v>31</v>
      </c>
      <c r="J135" s="6">
        <f t="shared" si="7"/>
        <v>40</v>
      </c>
      <c r="K135" s="4" t="str">
        <f t="shared" ca="1" si="8"/>
        <v>-</v>
      </c>
      <c r="L135" s="7" t="str">
        <f>IF(I135="Completed","0",IF($H135="","",$H135-'[2]Read Me'!$B$4))</f>
        <v>0</v>
      </c>
      <c r="M135" s="4" t="str">
        <f>IF($I135="Complete","Green",IF($H135="","Amber",IF($H135&lt;'[2]Read Me'!$B$4,"Red",IF($H135-'[2]Read Me'!$B$4&lt;=21,"Amber","Green"))))</f>
        <v>Red</v>
      </c>
      <c r="N135" s="3"/>
      <c r="O135" t="str">
        <f>IF($I135&lt;&gt;"Complete",IF(COUNTIFS($A$4:$A134,$A135,$B$4:$B134,$B135,$I$4:$I134,"&lt;&gt;Complete")=0,$A135&amp;"|"&amp;$B135,""),"")</f>
        <v/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 t="s">
        <v>449</v>
      </c>
      <c r="B136" s="2" t="s">
        <v>62</v>
      </c>
      <c r="C136" s="3" t="s">
        <v>450</v>
      </c>
      <c r="D136" s="3" t="s">
        <v>32</v>
      </c>
      <c r="E136" s="2" t="s">
        <v>426</v>
      </c>
      <c r="F136" s="2"/>
      <c r="G136" s="5">
        <v>46141</v>
      </c>
      <c r="H136" s="5">
        <v>46188</v>
      </c>
      <c r="I136" s="4" t="s">
        <v>31</v>
      </c>
      <c r="J136" s="6">
        <f t="shared" si="7"/>
        <v>47</v>
      </c>
      <c r="K136" s="4" t="str">
        <f t="shared" ca="1" si="8"/>
        <v>-</v>
      </c>
      <c r="L136" s="7" t="str">
        <f>IF(I136="Completed","0",IF($H136="","",$H136-'[2]Read Me'!$B$4))</f>
        <v>0</v>
      </c>
      <c r="M136" s="4" t="str">
        <f>IF($I136="Complete","Green",IF($H136="","Amber",IF($H136&lt;'[2]Read Me'!$B$4,"Red",IF($H136-'[2]Read Me'!$B$4&lt;=21,"Amber","Green"))))</f>
        <v>Amber</v>
      </c>
      <c r="N136" s="3"/>
      <c r="O136" t="str">
        <f>IF($I136&lt;&gt;"Complete",IF(COUNTIFS($A$4:$A135,$A136,$B$4:$B135,$B136,$I$4:$I135,"&lt;&gt;Complete")=0,$A136&amp;"|"&amp;$B136,""),"")</f>
        <v/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 t="s">
        <v>449</v>
      </c>
      <c r="B137" s="2" t="s">
        <v>62</v>
      </c>
      <c r="C137" s="3" t="s">
        <v>450</v>
      </c>
      <c r="D137" s="3" t="s">
        <v>19</v>
      </c>
      <c r="E137" s="2" t="s">
        <v>184</v>
      </c>
      <c r="F137" s="2"/>
      <c r="G137" s="5">
        <v>46148</v>
      </c>
      <c r="H137" s="5">
        <v>46249</v>
      </c>
      <c r="I137" s="4" t="s">
        <v>17</v>
      </c>
      <c r="J137" s="6">
        <f t="shared" si="7"/>
        <v>101</v>
      </c>
      <c r="K137" s="4" t="str">
        <f t="shared" ca="1" si="8"/>
        <v>No</v>
      </c>
      <c r="L137" s="7">
        <f>IF(I137="Completed","0",IF($H137="","",$H137-'[2]Read Me'!$B$4))</f>
        <v>62</v>
      </c>
      <c r="M137" s="4" t="str">
        <f>IF($I137="Complete","Green",IF($H137="","Amber",IF($H137&lt;'[2]Read Me'!$B$4,"Red",IF($H137-'[2]Read Me'!$B$4&lt;=21,"Amber","Green"))))</f>
        <v>Green</v>
      </c>
      <c r="N137" s="3"/>
      <c r="O137" t="str">
        <f>IF($I137&lt;&gt;"Complete",IF(COUNTIFS($A$4:$A136,$A137,$B$4:$B136,$B137,$I$4:$I136,"&lt;&gt;Complete")=0,$A137&amp;"|"&amp;$B137,""),"")</f>
        <v/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 t="s">
        <v>449</v>
      </c>
      <c r="B138" s="2" t="s">
        <v>62</v>
      </c>
      <c r="C138" s="3" t="s">
        <v>450</v>
      </c>
      <c r="D138" s="3" t="s">
        <v>15</v>
      </c>
      <c r="E138" s="2" t="s">
        <v>426</v>
      </c>
      <c r="F138" s="2" t="s">
        <v>197</v>
      </c>
      <c r="G138" s="5">
        <v>46198</v>
      </c>
      <c r="H138" s="5">
        <v>46242</v>
      </c>
      <c r="I138" s="4" t="s">
        <v>17</v>
      </c>
      <c r="J138" s="6">
        <f t="shared" si="7"/>
        <v>44</v>
      </c>
      <c r="K138" s="4" t="str">
        <f t="shared" ca="1" si="8"/>
        <v>No</v>
      </c>
      <c r="L138" s="7">
        <f>IF(I138="Completed","0",IF($H138="","",$H138-'[2]Read Me'!$B$4))</f>
        <v>55</v>
      </c>
      <c r="M138" s="4" t="str">
        <f>IF($I138="Complete","Green",IF($H138="","Amber",IF($H138&lt;'[2]Read Me'!$B$4,"Red",IF($H138-'[2]Read Me'!$B$4&lt;=21,"Amber","Green"))))</f>
        <v>Green</v>
      </c>
      <c r="N138" s="3"/>
      <c r="O138" t="str">
        <f>IF($I138&lt;&gt;"Complete",IF(COUNTIFS($A$4:$A137,$A138,$B$4:$B137,$B138,$I$4:$I137,"&lt;&gt;Complete")=0,$A138&amp;"|"&amp;$B138,""),"")</f>
        <v/>
      </c>
      <c r="P138" t="str">
        <f ca="1">IF($K138="Yes",COUNTIFS($K$4:$K138,"Yes"),"")</f>
        <v/>
      </c>
      <c r="Q138">
        <f t="shared" ca="1" si="9"/>
        <v>0</v>
      </c>
      <c r="R138" t="str">
        <f ca="1">IF($Q138=1,SUM($Q$4:$Q138),"")</f>
        <v/>
      </c>
    </row>
    <row r="139" spans="1:18" ht="22.5" customHeight="1" x14ac:dyDescent="0.3">
      <c r="A139" s="2" t="s">
        <v>449</v>
      </c>
      <c r="B139" s="2" t="s">
        <v>62</v>
      </c>
      <c r="C139" s="3" t="s">
        <v>450</v>
      </c>
      <c r="D139" s="3" t="s">
        <v>35</v>
      </c>
      <c r="E139" s="2" t="s">
        <v>426</v>
      </c>
      <c r="F139" s="2"/>
      <c r="G139" s="5">
        <v>46212</v>
      </c>
      <c r="H139" s="5">
        <v>46256</v>
      </c>
      <c r="I139" s="4" t="s">
        <v>17</v>
      </c>
      <c r="J139" s="6">
        <f t="shared" si="7"/>
        <v>44</v>
      </c>
      <c r="K139" s="4" t="str">
        <f t="shared" ca="1" si="8"/>
        <v>No</v>
      </c>
      <c r="L139" s="7">
        <f>IF(I139="Completed","0",IF($H139="","",$H139-'[2]Read Me'!$B$4))</f>
        <v>69</v>
      </c>
      <c r="M139" s="4" t="str">
        <f>IF($I139="Complete","Green",IF($H139="","Amber",IF($H139&lt;'[2]Read Me'!$B$4,"Red",IF($H139-'[2]Read Me'!$B$4&lt;=21,"Amber","Green"))))</f>
        <v>Green</v>
      </c>
      <c r="N139" s="3"/>
      <c r="O139" t="str">
        <f>IF($I139&lt;&gt;"Complete",IF(COUNTIFS($A$4:$A138,$A139,$B$4:$B138,$B139,$I$4:$I138,"&lt;&gt;Complete")=0,$A139&amp;"|"&amp;$B139,""),"")</f>
        <v/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 t="s">
        <v>449</v>
      </c>
      <c r="B140" s="2" t="s">
        <v>62</v>
      </c>
      <c r="C140" s="3" t="s">
        <v>450</v>
      </c>
      <c r="D140" s="3" t="s">
        <v>452</v>
      </c>
      <c r="E140" s="2" t="s">
        <v>426</v>
      </c>
      <c r="F140" s="2" t="s">
        <v>453</v>
      </c>
      <c r="G140" s="5">
        <v>46205</v>
      </c>
      <c r="H140" s="5">
        <v>46249</v>
      </c>
      <c r="I140" s="4" t="s">
        <v>17</v>
      </c>
      <c r="J140" s="6">
        <f t="shared" si="7"/>
        <v>44</v>
      </c>
      <c r="K140" s="4" t="str">
        <f t="shared" ca="1" si="8"/>
        <v>No</v>
      </c>
      <c r="L140" s="7">
        <f>IF(I140="Completed","0",IF($H140="","",$H140-'[2]Read Me'!$B$4))</f>
        <v>62</v>
      </c>
      <c r="M140" s="4" t="str">
        <f>IF($I140="Complete","Green",IF($H140="","Amber",IF($H140&lt;'[2]Read Me'!$B$4,"Red",IF($H140-'[2]Read Me'!$B$4&lt;=21,"Amber","Green"))))</f>
        <v>Green</v>
      </c>
      <c r="N140" s="3"/>
      <c r="O140" t="str">
        <f>IF($I140&lt;&gt;"Complete",IF(COUNTIFS($A$4:$A139,$A140,$B$4:$B139,$B140,$I$4:$I139,"&lt;&gt;Complete")=0,$A140&amp;"|"&amp;$B140,""),"")</f>
        <v/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 t="s">
        <v>449</v>
      </c>
      <c r="B141" s="2" t="s">
        <v>62</v>
      </c>
      <c r="C141" s="3" t="s">
        <v>450</v>
      </c>
      <c r="D141" s="3" t="s">
        <v>16</v>
      </c>
      <c r="E141" s="2" t="s">
        <v>426</v>
      </c>
      <c r="F141" s="2" t="s">
        <v>197</v>
      </c>
      <c r="G141" s="5">
        <v>46226</v>
      </c>
      <c r="H141" s="5">
        <v>46270</v>
      </c>
      <c r="I141" s="4" t="s">
        <v>17</v>
      </c>
      <c r="J141" s="6">
        <f t="shared" si="7"/>
        <v>44</v>
      </c>
      <c r="K141" s="4" t="str">
        <f t="shared" ca="1" si="8"/>
        <v>No</v>
      </c>
      <c r="L141" s="7">
        <f>IF(I141="Completed","0",IF($H141="","",$H141-'[2]Read Me'!$B$4))</f>
        <v>83</v>
      </c>
      <c r="M141" s="4" t="str">
        <f>IF($I141="Complete","Green",IF($H141="","Amber",IF($H141&lt;'[2]Read Me'!$B$4,"Red",IF($H141-'[2]Read Me'!$B$4&lt;=21,"Amber","Green"))))</f>
        <v>Green</v>
      </c>
      <c r="N141" s="3"/>
      <c r="O141" t="str">
        <f>IF($I141&lt;&gt;"Complete",IF(COUNTIFS($A$4:$A140,$A141,$B$4:$B140,$B141,$I$4:$I140,"&lt;&gt;Complete")=0,$A141&amp;"|"&amp;$B141,""),"")</f>
        <v/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 t="s">
        <v>449</v>
      </c>
      <c r="B142" s="2" t="s">
        <v>62</v>
      </c>
      <c r="C142" s="3" t="s">
        <v>450</v>
      </c>
      <c r="D142" s="3" t="s">
        <v>37</v>
      </c>
      <c r="E142" s="2" t="s">
        <v>426</v>
      </c>
      <c r="F142" s="2"/>
      <c r="G142" s="5">
        <v>46240</v>
      </c>
      <c r="H142" s="5">
        <v>46284</v>
      </c>
      <c r="I142" s="4" t="s">
        <v>17</v>
      </c>
      <c r="J142" s="6">
        <f t="shared" si="7"/>
        <v>44</v>
      </c>
      <c r="K142" s="4" t="str">
        <f t="shared" ca="1" si="8"/>
        <v>No</v>
      </c>
      <c r="L142" s="7">
        <f>IF(I142="Completed","0",IF($H142="","",$H142-'[2]Read Me'!$B$4))</f>
        <v>97</v>
      </c>
      <c r="M142" s="4" t="str">
        <f>IF($I142="Complete","Green",IF($H142="","Amber",IF($H142&lt;'[2]Read Me'!$B$4,"Red",IF($H142-'[2]Read Me'!$B$4&lt;=21,"Amber","Green"))))</f>
        <v>Green</v>
      </c>
      <c r="N142" s="3"/>
      <c r="O142" t="str">
        <f>IF($I142&lt;&gt;"Complete",IF(COUNTIFS($A$4:$A141,$A142,$B$4:$B141,$B142,$I$4:$I141,"&lt;&gt;Complete")=0,$A142&amp;"|"&amp;$B142,""),"")</f>
        <v/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 t="s">
        <v>449</v>
      </c>
      <c r="B143" s="2" t="s">
        <v>62</v>
      </c>
      <c r="C143" s="3" t="s">
        <v>450</v>
      </c>
      <c r="D143" s="3" t="s">
        <v>454</v>
      </c>
      <c r="E143" s="2" t="s">
        <v>426</v>
      </c>
      <c r="F143" s="2" t="s">
        <v>453</v>
      </c>
      <c r="G143" s="5">
        <v>46233</v>
      </c>
      <c r="H143" s="5">
        <v>46277</v>
      </c>
      <c r="I143" s="4" t="s">
        <v>17</v>
      </c>
      <c r="J143" s="6">
        <f t="shared" si="7"/>
        <v>44</v>
      </c>
      <c r="K143" s="4" t="str">
        <f t="shared" ca="1" si="8"/>
        <v>No</v>
      </c>
      <c r="L143" s="7">
        <f>IF(I143="Completed","0",IF($H143="","",$H143-'[2]Read Me'!$B$4))</f>
        <v>90</v>
      </c>
      <c r="M143" s="4" t="str">
        <f>IF($I143="Complete","Green",IF($H143="","Amber",IF($H143&lt;'[2]Read Me'!$B$4,"Red",IF($H143-'[2]Read Me'!$B$4&lt;=21,"Amber","Green"))))</f>
        <v>Green</v>
      </c>
      <c r="N143" s="3"/>
      <c r="O143" t="str">
        <f>IF($I143&lt;&gt;"Complete",IF(COUNTIFS($A$4:$A142,$A143,$B$4:$B142,$B143,$I$4:$I142,"&lt;&gt;Complete")=0,$A143&amp;"|"&amp;$B143,""),"")</f>
        <v/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 t="s">
        <v>449</v>
      </c>
      <c r="B144" s="2" t="s">
        <v>62</v>
      </c>
      <c r="C144" s="3" t="s">
        <v>450</v>
      </c>
      <c r="D144" s="3" t="s">
        <v>83</v>
      </c>
      <c r="E144" s="2" t="s">
        <v>426</v>
      </c>
      <c r="F144" s="2" t="s">
        <v>197</v>
      </c>
      <c r="G144" s="5">
        <v>46226</v>
      </c>
      <c r="H144" s="5">
        <v>46270</v>
      </c>
      <c r="I144" s="4" t="s">
        <v>17</v>
      </c>
      <c r="J144" s="6">
        <f t="shared" si="7"/>
        <v>44</v>
      </c>
      <c r="K144" s="4" t="str">
        <f t="shared" ca="1" si="8"/>
        <v>No</v>
      </c>
      <c r="L144" s="7">
        <f>IF(I144="Completed","0",IF($H144="","",$H144-'[2]Read Me'!$B$4))</f>
        <v>83</v>
      </c>
      <c r="M144" s="4" t="str">
        <f>IF($I144="Complete","Green",IF($H144="","Amber",IF($H144&lt;'[2]Read Me'!$B$4,"Red",IF($H144-'[2]Read Me'!$B$4&lt;=21,"Amber","Green"))))</f>
        <v>Green</v>
      </c>
      <c r="N144" s="3"/>
      <c r="O144" t="str">
        <f>IF($I144&lt;&gt;"Complete",IF(COUNTIFS($A$4:$A143,$A144,$B$4:$B143,$B144,$I$4:$I143,"&lt;&gt;Complete")=0,$A144&amp;"|"&amp;$B144,""),"")</f>
        <v/>
      </c>
      <c r="P144" t="str">
        <f ca="1">IF($K144="Yes",COUNTIFS($K$4:$K144,"Yes"),"")</f>
        <v/>
      </c>
      <c r="Q144">
        <f t="shared" ca="1" si="9"/>
        <v>0</v>
      </c>
      <c r="R144" t="str">
        <f ca="1">IF($Q144=1,SUM($Q$4:$Q144),"")</f>
        <v/>
      </c>
    </row>
    <row r="145" spans="1:18" ht="22.5" customHeight="1" x14ac:dyDescent="0.3">
      <c r="A145" s="2" t="s">
        <v>449</v>
      </c>
      <c r="B145" s="2" t="s">
        <v>62</v>
      </c>
      <c r="C145" s="3" t="s">
        <v>450</v>
      </c>
      <c r="D145" s="3" t="s">
        <v>84</v>
      </c>
      <c r="E145" s="2" t="s">
        <v>426</v>
      </c>
      <c r="F145" s="2"/>
      <c r="G145" s="5">
        <v>46240</v>
      </c>
      <c r="H145" s="5">
        <v>46284</v>
      </c>
      <c r="I145" s="4" t="s">
        <v>17</v>
      </c>
      <c r="J145" s="6">
        <f t="shared" si="7"/>
        <v>44</v>
      </c>
      <c r="K145" s="4" t="str">
        <f t="shared" ca="1" si="8"/>
        <v>No</v>
      </c>
      <c r="L145" s="7">
        <f>IF(I145="Completed","0",IF($H145="","",$H145-'[2]Read Me'!$B$4))</f>
        <v>97</v>
      </c>
      <c r="M145" s="4" t="str">
        <f>IF($I145="Complete","Green",IF($H145="","Amber",IF($H145&lt;'[2]Read Me'!$B$4,"Red",IF($H145-'[2]Read Me'!$B$4&lt;=21,"Amber","Green"))))</f>
        <v>Green</v>
      </c>
      <c r="N145" s="3"/>
      <c r="O145" t="str">
        <f>IF($I145&lt;&gt;"Complete",IF(COUNTIFS($A$4:$A144,$A145,$B$4:$B144,$B145,$I$4:$I144,"&lt;&gt;Complete")=0,$A145&amp;"|"&amp;$B145,""),"")</f>
        <v/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 t="s">
        <v>449</v>
      </c>
      <c r="B146" s="2" t="s">
        <v>49</v>
      </c>
      <c r="C146" s="3"/>
      <c r="D146" s="3"/>
      <c r="E146" s="2"/>
      <c r="F146" s="2"/>
      <c r="G146" s="5">
        <v>46511</v>
      </c>
      <c r="H146" s="5">
        <v>46511</v>
      </c>
      <c r="I146" s="4"/>
      <c r="J146" s="6">
        <f t="shared" si="7"/>
        <v>0</v>
      </c>
      <c r="K146" s="4" t="str">
        <f t="shared" ca="1" si="8"/>
        <v/>
      </c>
      <c r="L146" s="7">
        <f>IF(I146="Completed","0",IF($H146="","",$H146-'[2]Read Me'!$B$4))</f>
        <v>324</v>
      </c>
      <c r="M146" s="4" t="str">
        <f>IF($I146="Complete","Green",IF($H146="","Amber",IF($H146&lt;'[2]Read Me'!$B$4,"Red",IF($H146-'[2]Read Me'!$B$4&lt;=21,"Amber","Green"))))</f>
        <v>Green</v>
      </c>
      <c r="N146" s="3"/>
      <c r="O146" t="str">
        <f>IF($I146&lt;&gt;"Complete",IF(COUNTIFS($A$4:$A145,$A146,$B$4:$B145,$B146,$I$4:$I145,"&lt;&gt;Complete")=0,$A146&amp;"|"&amp;$B146,""),"")</f>
        <v>FM Building|Authorities</v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 t="s">
        <v>449</v>
      </c>
      <c r="B147" s="2" t="s">
        <v>49</v>
      </c>
      <c r="C147" s="3" t="s">
        <v>455</v>
      </c>
      <c r="D147" s="3" t="s">
        <v>456</v>
      </c>
      <c r="E147" s="2" t="s">
        <v>104</v>
      </c>
      <c r="F147" s="2"/>
      <c r="G147" s="5">
        <v>46273</v>
      </c>
      <c r="H147" s="5">
        <v>46273</v>
      </c>
      <c r="I147" s="4" t="s">
        <v>17</v>
      </c>
      <c r="J147" s="6">
        <f t="shared" si="7"/>
        <v>0</v>
      </c>
      <c r="K147" s="4" t="str">
        <f t="shared" ca="1" si="8"/>
        <v>No</v>
      </c>
      <c r="L147" s="7">
        <f>IF(I147="Completed","0",IF($H147="","",$H147-'[2]Read Me'!$B$4))</f>
        <v>86</v>
      </c>
      <c r="M147" s="4" t="str">
        <f>IF($I147="Complete","Green",IF($H147="","Amber",IF($H147&lt;'[2]Read Me'!$B$4,"Red",IF($H147-'[2]Read Me'!$B$4&lt;=21,"Amber","Green"))))</f>
        <v>Green</v>
      </c>
      <c r="N147" s="3"/>
      <c r="O147" t="str">
        <f>IF($I147&lt;&gt;"Complete",IF(COUNTIFS($A$4:$A146,$A147,$B$4:$B146,$B147,$I$4:$I146,"&lt;&gt;Complete")=0,$A147&amp;"|"&amp;$B147,""),"")</f>
        <v/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 t="s">
        <v>449</v>
      </c>
      <c r="B148" s="2" t="s">
        <v>49</v>
      </c>
      <c r="C148" s="3" t="s">
        <v>455</v>
      </c>
      <c r="D148" s="3" t="s">
        <v>103</v>
      </c>
      <c r="E148" s="2" t="s">
        <v>104</v>
      </c>
      <c r="F148" s="2"/>
      <c r="G148" s="5">
        <v>46357</v>
      </c>
      <c r="H148" s="5">
        <v>46357</v>
      </c>
      <c r="I148" s="4" t="s">
        <v>17</v>
      </c>
      <c r="J148" s="6">
        <f t="shared" si="7"/>
        <v>0</v>
      </c>
      <c r="K148" s="4" t="str">
        <f t="shared" ca="1" si="8"/>
        <v>No</v>
      </c>
      <c r="L148" s="7">
        <f>IF(I148="Completed","0",IF($H148="","",$H148-'[2]Read Me'!$B$4))</f>
        <v>170</v>
      </c>
      <c r="M148" s="4" t="str">
        <f>IF($I148="Complete","Green",IF($H148="","Amber",IF($H148&lt;'[2]Read Me'!$B$4,"Red",IF($H148-'[2]Read Me'!$B$4&lt;=21,"Amber","Green"))))</f>
        <v>Green</v>
      </c>
      <c r="N148" s="3"/>
      <c r="O148" t="str">
        <f>IF($I148&lt;&gt;"Complete",IF(COUNTIFS($A$4:$A147,$A148,$B$4:$B147,$B148,$I$4:$I147,"&lt;&gt;Complete")=0,$A148&amp;"|"&amp;$B148,""),"")</f>
        <v/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 t="s">
        <v>449</v>
      </c>
      <c r="B149" s="2" t="s">
        <v>49</v>
      </c>
      <c r="C149" s="3" t="s">
        <v>455</v>
      </c>
      <c r="D149" s="3" t="s">
        <v>288</v>
      </c>
      <c r="E149" s="2" t="s">
        <v>104</v>
      </c>
      <c r="F149" s="2"/>
      <c r="G149" s="5">
        <v>46399</v>
      </c>
      <c r="H149" s="5">
        <v>46399</v>
      </c>
      <c r="I149" s="4" t="s">
        <v>17</v>
      </c>
      <c r="J149" s="6">
        <f t="shared" si="7"/>
        <v>0</v>
      </c>
      <c r="K149" s="4" t="str">
        <f t="shared" ca="1" si="8"/>
        <v>No</v>
      </c>
      <c r="L149" s="7">
        <f>IF(I149="Completed","0",IF($H149="","",$H149-'[2]Read Me'!$B$4))</f>
        <v>212</v>
      </c>
      <c r="M149" s="4" t="str">
        <f>IF($I149="Complete","Green",IF($H149="","Amber",IF($H149&lt;'[2]Read Me'!$B$4,"Red",IF($H149-'[2]Read Me'!$B$4&lt;=21,"Amber","Green"))))</f>
        <v>Green</v>
      </c>
      <c r="N149" s="3"/>
      <c r="O149" t="str">
        <f>IF($I149&lt;&gt;"Complete",IF(COUNTIFS($A$4:$A148,$A149,$B$4:$B148,$B149,$I$4:$I148,"&lt;&gt;Complete")=0,$A149&amp;"|"&amp;$B149,""),"")</f>
        <v/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 t="s">
        <v>449</v>
      </c>
      <c r="B150" s="2" t="s">
        <v>49</v>
      </c>
      <c r="C150" s="3" t="s">
        <v>455</v>
      </c>
      <c r="D150" s="3" t="s">
        <v>51</v>
      </c>
      <c r="E150" s="2" t="s">
        <v>104</v>
      </c>
      <c r="F150" s="2"/>
      <c r="G150" s="5">
        <v>46441</v>
      </c>
      <c r="H150" s="5">
        <v>46441</v>
      </c>
      <c r="I150" s="4" t="s">
        <v>17</v>
      </c>
      <c r="J150" s="6">
        <f t="shared" si="7"/>
        <v>0</v>
      </c>
      <c r="K150" s="4" t="str">
        <f t="shared" ca="1" si="8"/>
        <v>No</v>
      </c>
      <c r="L150" s="7">
        <f>IF(I150="Completed","0",IF($H150="","",$H150-'[2]Read Me'!$B$4))</f>
        <v>254</v>
      </c>
      <c r="M150" s="4" t="str">
        <f>IF($I150="Complete","Green",IF($H150="","Amber",IF($H150&lt;'[2]Read Me'!$B$4,"Red",IF($H150-'[2]Read Me'!$B$4&lt;=21,"Amber","Green"))))</f>
        <v>Green</v>
      </c>
      <c r="N150" s="3"/>
      <c r="O150" t="str">
        <f>IF($I150&lt;&gt;"Complete",IF(COUNTIFS($A$4:$A149,$A150,$B$4:$B149,$B150,$I$4:$I149,"&lt;&gt;Complete")=0,$A150&amp;"|"&amp;$B150,""),"")</f>
        <v/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 t="s">
        <v>449</v>
      </c>
      <c r="B151" s="2" t="s">
        <v>49</v>
      </c>
      <c r="C151" s="3" t="s">
        <v>455</v>
      </c>
      <c r="D151" s="3" t="s">
        <v>413</v>
      </c>
      <c r="E151" s="2" t="s">
        <v>104</v>
      </c>
      <c r="F151" s="2"/>
      <c r="G151" s="5">
        <v>46511</v>
      </c>
      <c r="H151" s="5">
        <v>46511</v>
      </c>
      <c r="I151" s="4" t="s">
        <v>17</v>
      </c>
      <c r="J151" s="6">
        <f t="shared" si="7"/>
        <v>0</v>
      </c>
      <c r="K151" s="4" t="str">
        <f t="shared" ca="1" si="8"/>
        <v>No</v>
      </c>
      <c r="L151" s="7">
        <f>IF(I151="Completed","0",IF($H151="","",$H151-'[2]Read Me'!$B$4))</f>
        <v>324</v>
      </c>
      <c r="M151" s="4" t="str">
        <f>IF($I151="Complete","Green",IF($H151="","Amber",IF($H151&lt;'[2]Read Me'!$B$4,"Red",IF($H151-'[2]Read Me'!$B$4&lt;=21,"Amber","Green"))))</f>
        <v>Green</v>
      </c>
      <c r="N151" s="3"/>
      <c r="O151" t="str">
        <f>IF($I151&lt;&gt;"Complete",IF(COUNTIFS($A$4:$A150,$A151,$B$4:$B150,$B151,$I$4:$I150,"&lt;&gt;Complete")=0,$A151&amp;"|"&amp;$B151,""),"")</f>
        <v/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 t="s">
        <v>449</v>
      </c>
      <c r="B152" s="2" t="s">
        <v>41</v>
      </c>
      <c r="C152" s="3"/>
      <c r="D152" s="3"/>
      <c r="E152" s="2"/>
      <c r="F152" s="2"/>
      <c r="G152" s="5">
        <v>46184</v>
      </c>
      <c r="H152" s="5">
        <v>46264</v>
      </c>
      <c r="I152" s="4"/>
      <c r="J152" s="6">
        <f t="shared" si="7"/>
        <v>80</v>
      </c>
      <c r="K152" s="4" t="str">
        <f t="shared" ca="1" si="8"/>
        <v/>
      </c>
      <c r="L152" s="7">
        <f>IF(I152="Completed","0",IF($H152="","",$H152-'[2]Read Me'!$B$4))</f>
        <v>77</v>
      </c>
      <c r="M152" s="4" t="str">
        <f>IF($I152="Complete","Green",IF($H152="","Amber",IF($H152&lt;'[2]Read Me'!$B$4,"Red",IF($H152-'[2]Read Me'!$B$4&lt;=21,"Amber","Green"))))</f>
        <v>Green</v>
      </c>
      <c r="N152" s="3"/>
      <c r="O152" t="str">
        <f>IF($I152&lt;&gt;"Complete",IF(COUNTIFS($A$4:$A151,$A152,$B$4:$B151,$B152,$I$4:$I151,"&lt;&gt;Complete")=0,$A152&amp;"|"&amp;$B152,""),"")</f>
        <v>FM Building|Fit-out</v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 t="s">
        <v>449</v>
      </c>
      <c r="B153" s="2" t="s">
        <v>41</v>
      </c>
      <c r="C153" s="3" t="s">
        <v>457</v>
      </c>
      <c r="D153" s="3" t="s">
        <v>458</v>
      </c>
      <c r="E153" s="2" t="s">
        <v>426</v>
      </c>
      <c r="F153" s="2"/>
      <c r="G153" s="5">
        <v>46114</v>
      </c>
      <c r="H153" s="5">
        <v>46194</v>
      </c>
      <c r="I153" s="4" t="s">
        <v>31</v>
      </c>
      <c r="J153" s="6">
        <f t="shared" si="7"/>
        <v>80</v>
      </c>
      <c r="K153" s="4" t="str">
        <f t="shared" ca="1" si="8"/>
        <v>-</v>
      </c>
      <c r="L153" s="7" t="str">
        <f>IF(I153="Completed","0",IF($H153="","",$H153-'[2]Read Me'!$B$4))</f>
        <v>0</v>
      </c>
      <c r="M153" s="4" t="str">
        <f>IF($I153="Complete","Green",IF($H153="","Amber",IF($H153&lt;'[2]Read Me'!$B$4,"Red",IF($H153-'[2]Read Me'!$B$4&lt;=21,"Amber","Green"))))</f>
        <v>Amber</v>
      </c>
      <c r="N153" s="3"/>
      <c r="O153" t="str">
        <f>IF($I153&lt;&gt;"Complete",IF(COUNTIFS($A$4:$A152,$A153,$B$4:$B152,$B153,$I$4:$I152,"&lt;&gt;Complete")=0,$A153&amp;"|"&amp;$B153,""),"")</f>
        <v/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 t="s">
        <v>449</v>
      </c>
      <c r="B154" s="2" t="s">
        <v>41</v>
      </c>
      <c r="C154" s="3" t="s">
        <v>457</v>
      </c>
      <c r="D154" s="3" t="s">
        <v>98</v>
      </c>
      <c r="E154" s="2" t="s">
        <v>426</v>
      </c>
      <c r="F154" s="2" t="s">
        <v>453</v>
      </c>
      <c r="G154" s="5">
        <v>46141</v>
      </c>
      <c r="H154" s="5">
        <v>46221</v>
      </c>
      <c r="I154" s="4" t="s">
        <v>46</v>
      </c>
      <c r="J154" s="6">
        <f t="shared" si="7"/>
        <v>80</v>
      </c>
      <c r="K154" s="4" t="str">
        <f t="shared" ca="1" si="8"/>
        <v>No</v>
      </c>
      <c r="L154" s="7">
        <f>IF(I154="Completed","0",IF($H154="","",$H154-'[2]Read Me'!$B$4))</f>
        <v>34</v>
      </c>
      <c r="M154" s="4" t="str">
        <f>IF($I154="Complete","Green",IF($H154="","Amber",IF($H154&lt;'[2]Read Me'!$B$4,"Red",IF($H154-'[2]Read Me'!$B$4&lt;=21,"Amber","Green"))))</f>
        <v>Green</v>
      </c>
      <c r="N154" s="3"/>
      <c r="O154" t="str">
        <f>IF($I154&lt;&gt;"Complete",IF(COUNTIFS($A$4:$A153,$A154,$B$4:$B153,$B154,$I$4:$I153,"&lt;&gt;Complete")=0,$A154&amp;"|"&amp;$B154,""),"")</f>
        <v/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 t="s">
        <v>449</v>
      </c>
      <c r="B155" s="2" t="s">
        <v>41</v>
      </c>
      <c r="C155" s="3" t="s">
        <v>457</v>
      </c>
      <c r="D155" s="3" t="s">
        <v>47</v>
      </c>
      <c r="E155" s="2" t="s">
        <v>426</v>
      </c>
      <c r="F155" s="2"/>
      <c r="G155" s="5">
        <v>46148</v>
      </c>
      <c r="H155" s="5">
        <v>46228</v>
      </c>
      <c r="I155" s="4" t="s">
        <v>17</v>
      </c>
      <c r="J155" s="6">
        <f t="shared" si="7"/>
        <v>80</v>
      </c>
      <c r="K155" s="4" t="str">
        <f t="shared" ca="1" si="8"/>
        <v>No</v>
      </c>
      <c r="L155" s="7">
        <f>IF(I155="Completed","0",IF($H155="","",$H155-'[2]Read Me'!$B$4))</f>
        <v>41</v>
      </c>
      <c r="M155" s="4" t="str">
        <f>IF($I155="Complete","Green",IF($H155="","Amber",IF($H155&lt;'[2]Read Me'!$B$4,"Red",IF($H155-'[2]Read Me'!$B$4&lt;=21,"Amber","Green"))))</f>
        <v>Green</v>
      </c>
      <c r="N155" s="3"/>
      <c r="O155" t="str">
        <f>IF($I155&lt;&gt;"Complete",IF(COUNTIFS($A$4:$A154,$A155,$B$4:$B154,$B155,$I$4:$I154,"&lt;&gt;Complete")=0,$A155&amp;"|"&amp;$B155,""),"")</f>
        <v/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 t="s">
        <v>449</v>
      </c>
      <c r="B156" s="2" t="s">
        <v>41</v>
      </c>
      <c r="C156" s="3" t="s">
        <v>457</v>
      </c>
      <c r="D156" s="3" t="s">
        <v>18</v>
      </c>
      <c r="E156" s="2" t="s">
        <v>426</v>
      </c>
      <c r="F156" s="2" t="s">
        <v>453</v>
      </c>
      <c r="G156" s="5">
        <v>46177</v>
      </c>
      <c r="H156" s="5">
        <v>46257</v>
      </c>
      <c r="I156" s="4" t="s">
        <v>17</v>
      </c>
      <c r="J156" s="6">
        <f t="shared" si="7"/>
        <v>80</v>
      </c>
      <c r="K156" s="4" t="str">
        <f t="shared" ca="1" si="8"/>
        <v>No</v>
      </c>
      <c r="L156" s="7">
        <f>IF(I156="Completed","0",IF($H156="","",$H156-'[2]Read Me'!$B$4))</f>
        <v>70</v>
      </c>
      <c r="M156" s="4" t="str">
        <f>IF($I156="Complete","Green",IF($H156="","Amber",IF($H156&lt;'[2]Read Me'!$B$4,"Red",IF($H156-'[2]Read Me'!$B$4&lt;=21,"Amber","Green"))))</f>
        <v>Green</v>
      </c>
      <c r="N156" s="3"/>
      <c r="O156" t="str">
        <f>IF($I156&lt;&gt;"Complete",IF(COUNTIFS($A$4:$A155,$A156,$B$4:$B155,$B156,$I$4:$I155,"&lt;&gt;Complete")=0,$A156&amp;"|"&amp;$B156,""),"")</f>
        <v/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 t="s">
        <v>449</v>
      </c>
      <c r="B157" s="2" t="s">
        <v>41</v>
      </c>
      <c r="C157" s="3" t="s">
        <v>457</v>
      </c>
      <c r="D157" s="3" t="s">
        <v>32</v>
      </c>
      <c r="E157" s="2" t="s">
        <v>426</v>
      </c>
      <c r="F157" s="2"/>
      <c r="G157" s="5">
        <v>46184</v>
      </c>
      <c r="H157" s="5">
        <v>46264</v>
      </c>
      <c r="I157" s="4" t="s">
        <v>17</v>
      </c>
      <c r="J157" s="6">
        <f t="shared" si="7"/>
        <v>80</v>
      </c>
      <c r="K157" s="4" t="str">
        <f t="shared" ca="1" si="8"/>
        <v>No</v>
      </c>
      <c r="L157" s="7">
        <f>IF(I157="Completed","0",IF($H157="","",$H157-'[2]Read Me'!$B$4))</f>
        <v>77</v>
      </c>
      <c r="M157" s="4" t="str">
        <f>IF($I157="Complete","Green",IF($H157="","Amber",IF($H157&lt;'[2]Read Me'!$B$4,"Red",IF($H157-'[2]Read Me'!$B$4&lt;=21,"Amber","Green"))))</f>
        <v>Green</v>
      </c>
      <c r="N157" s="3"/>
      <c r="O157" t="str">
        <f>IF($I157&lt;&gt;"Complete",IF(COUNTIFS($A$4:$A156,$A157,$B$4:$B156,$B157,$I$4:$I156,"&lt;&gt;Complete")=0,$A157&amp;"|"&amp;$B157,""),"")</f>
        <v/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 t="s">
        <v>459</v>
      </c>
      <c r="B158" s="2" t="s">
        <v>62</v>
      </c>
      <c r="C158" s="3"/>
      <c r="D158" s="3"/>
      <c r="E158" s="2"/>
      <c r="F158" s="2"/>
      <c r="G158" s="5">
        <v>46253</v>
      </c>
      <c r="H158" s="5">
        <v>46296</v>
      </c>
      <c r="I158" s="4"/>
      <c r="J158" s="6">
        <f t="shared" si="7"/>
        <v>43</v>
      </c>
      <c r="K158" s="4" t="str">
        <f t="shared" ca="1" si="8"/>
        <v/>
      </c>
      <c r="L158" s="7">
        <f>IF(I158="Completed","0",IF($H158="","",$H158-'[2]Read Me'!$B$4))</f>
        <v>109</v>
      </c>
      <c r="M158" s="4" t="str">
        <f>IF($I158="Complete","Green",IF($H158="","Amber",IF($H158&lt;'[2]Read Me'!$B$4,"Red",IF($H158-'[2]Read Me'!$B$4&lt;=21,"Amber","Green"))))</f>
        <v>Green</v>
      </c>
      <c r="N158" s="3"/>
      <c r="O158" t="str">
        <f>IF($I158&lt;&gt;"Complete",IF(COUNTIFS($A$4:$A157,$A158,$B$4:$B157,$B158,$I$4:$I157,"&lt;&gt;Complete")=0,$A158&amp;"|"&amp;$B158,""),"")</f>
        <v>Clubhouse|Buildings</v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 t="s">
        <v>459</v>
      </c>
      <c r="B159" s="2" t="s">
        <v>62</v>
      </c>
      <c r="C159" s="3" t="s">
        <v>460</v>
      </c>
      <c r="D159" s="3" t="s">
        <v>98</v>
      </c>
      <c r="E159" s="2" t="s">
        <v>461</v>
      </c>
      <c r="F159" s="2" t="s">
        <v>453</v>
      </c>
      <c r="G159" s="5">
        <v>46148</v>
      </c>
      <c r="H159" s="5">
        <v>46191</v>
      </c>
      <c r="I159" s="4" t="s">
        <v>31</v>
      </c>
      <c r="J159" s="6">
        <f t="shared" si="7"/>
        <v>43</v>
      </c>
      <c r="K159" s="4" t="str">
        <f t="shared" ca="1" si="8"/>
        <v>-</v>
      </c>
      <c r="L159" s="7" t="str">
        <f>IF(I159="Completed","0",IF($H159="","",$H159-'[2]Read Me'!$B$4))</f>
        <v>0</v>
      </c>
      <c r="M159" s="4" t="str">
        <f>IF($I159="Complete","Green",IF($H159="","Amber",IF($H159&lt;'[2]Read Me'!$B$4,"Red",IF($H159-'[2]Read Me'!$B$4&lt;=21,"Amber","Green"))))</f>
        <v>Amber</v>
      </c>
      <c r="N159" s="3"/>
      <c r="O159" t="str">
        <f>IF($I159&lt;&gt;"Complete",IF(COUNTIFS($A$4:$A158,$A159,$B$4:$B158,$B159,$I$4:$I158,"&lt;&gt;Complete")=0,$A159&amp;"|"&amp;$B159,""),"")</f>
        <v/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 t="s">
        <v>459</v>
      </c>
      <c r="B160" s="2" t="s">
        <v>62</v>
      </c>
      <c r="C160" s="3" t="s">
        <v>460</v>
      </c>
      <c r="D160" s="3" t="s">
        <v>47</v>
      </c>
      <c r="E160" s="2" t="s">
        <v>461</v>
      </c>
      <c r="F160" s="2"/>
      <c r="G160" s="5">
        <v>46162</v>
      </c>
      <c r="H160" s="5">
        <v>46205</v>
      </c>
      <c r="I160" s="4" t="s">
        <v>46</v>
      </c>
      <c r="J160" s="6">
        <f t="shared" si="7"/>
        <v>43</v>
      </c>
      <c r="K160" s="4" t="str">
        <f t="shared" ca="1" si="8"/>
        <v>No</v>
      </c>
      <c r="L160" s="7">
        <f>IF(I160="Completed","0",IF($H160="","",$H160-'[2]Read Me'!$B$4))</f>
        <v>18</v>
      </c>
      <c r="M160" s="4" t="str">
        <f>IF($I160="Complete","Green",IF($H160="","Amber",IF($H160&lt;'[2]Read Me'!$B$4,"Red",IF($H160-'[2]Read Me'!$B$4&lt;=21,"Amber","Green"))))</f>
        <v>Amber</v>
      </c>
      <c r="N160" s="3"/>
      <c r="O160" t="str">
        <f>IF($I160&lt;&gt;"Complete",IF(COUNTIFS($A$4:$A159,$A160,$B$4:$B159,$B160,$I$4:$I159,"&lt;&gt;Complete")=0,$A160&amp;"|"&amp;$B160,""),"")</f>
        <v/>
      </c>
      <c r="P160" t="str">
        <f ca="1">IF($K160="Yes",COUNTIFS($K$4:$K160,"Yes"),"")</f>
        <v/>
      </c>
      <c r="Q160">
        <f t="shared" ca="1" si="9"/>
        <v>0</v>
      </c>
      <c r="R160" t="str">
        <f ca="1">IF($Q160=1,SUM($Q$4:$Q160),"")</f>
        <v/>
      </c>
    </row>
    <row r="161" spans="1:18" ht="33.75" customHeight="1" x14ac:dyDescent="0.3">
      <c r="A161" s="2" t="s">
        <v>459</v>
      </c>
      <c r="B161" s="2" t="s">
        <v>62</v>
      </c>
      <c r="C161" s="3" t="s">
        <v>460</v>
      </c>
      <c r="D161" s="3" t="s">
        <v>462</v>
      </c>
      <c r="E161" s="2" t="s">
        <v>461</v>
      </c>
      <c r="F161" s="2" t="s">
        <v>453</v>
      </c>
      <c r="G161" s="5">
        <v>46197</v>
      </c>
      <c r="H161" s="5">
        <v>46240</v>
      </c>
      <c r="I161" s="4" t="s">
        <v>17</v>
      </c>
      <c r="J161" s="6">
        <f t="shared" si="7"/>
        <v>43</v>
      </c>
      <c r="K161" s="4" t="str">
        <f t="shared" ca="1" si="8"/>
        <v>No</v>
      </c>
      <c r="L161" s="7">
        <f>IF(I161="Completed","0",IF($H161="","",$H161-'[2]Read Me'!$B$4))</f>
        <v>53</v>
      </c>
      <c r="M161" s="4" t="str">
        <f>IF($I161="Complete","Green",IF($H161="","Amber",IF($H161&lt;'[2]Read Me'!$B$4,"Red",IF($H161-'[2]Read Me'!$B$4&lt;=21,"Amber","Green"))))</f>
        <v>Green</v>
      </c>
      <c r="N161" s="3"/>
      <c r="O161" t="str">
        <f>IF($I161&lt;&gt;"Complete",IF(COUNTIFS($A$4:$A160,$A161,$B$4:$B160,$B161,$I$4:$I160,"&lt;&gt;Complete")=0,$A161&amp;"|"&amp;$B161,""),"")</f>
        <v/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 t="s">
        <v>459</v>
      </c>
      <c r="B162" s="2" t="s">
        <v>62</v>
      </c>
      <c r="C162" s="3" t="s">
        <v>460</v>
      </c>
      <c r="D162" s="3" t="s">
        <v>58</v>
      </c>
      <c r="E162" s="2" t="s">
        <v>461</v>
      </c>
      <c r="F162" s="2"/>
      <c r="G162" s="5">
        <v>46204</v>
      </c>
      <c r="H162" s="5">
        <v>46247</v>
      </c>
      <c r="I162" s="4" t="s">
        <v>17</v>
      </c>
      <c r="J162" s="6">
        <f t="shared" si="7"/>
        <v>43</v>
      </c>
      <c r="K162" s="4" t="str">
        <f t="shared" ca="1" si="8"/>
        <v>No</v>
      </c>
      <c r="L162" s="7">
        <f>IF(I162="Completed","0",IF($H162="","",$H162-'[2]Read Me'!$B$4))</f>
        <v>60</v>
      </c>
      <c r="M162" s="4" t="str">
        <f>IF($I162="Complete","Green",IF($H162="","Amber",IF($H162&lt;'[2]Read Me'!$B$4,"Red",IF($H162-'[2]Read Me'!$B$4&lt;=21,"Amber","Green"))))</f>
        <v>Green</v>
      </c>
      <c r="N162" s="3"/>
      <c r="O162" t="str">
        <f>IF($I162&lt;&gt;"Complete",IF(COUNTIFS($A$4:$A161,$A162,$B$4:$B161,$B162,$I$4:$I161,"&lt;&gt;Complete")=0,$A162&amp;"|"&amp;$B162,""),"")</f>
        <v/>
      </c>
      <c r="P162" t="str">
        <f ca="1">IF($K162="Yes",COUNTIFS($K$4:$K162,"Yes"),"")</f>
        <v/>
      </c>
      <c r="Q162">
        <f t="shared" ca="1" si="9"/>
        <v>0</v>
      </c>
      <c r="R162" t="str">
        <f ca="1">IF($Q162=1,SUM($Q$4:$Q162),"")</f>
        <v/>
      </c>
    </row>
    <row r="163" spans="1:18" ht="33.75" customHeight="1" x14ac:dyDescent="0.3">
      <c r="A163" s="2" t="s">
        <v>459</v>
      </c>
      <c r="B163" s="2" t="s">
        <v>62</v>
      </c>
      <c r="C163" s="3" t="s">
        <v>460</v>
      </c>
      <c r="D163" s="3" t="s">
        <v>18</v>
      </c>
      <c r="E163" s="2" t="s">
        <v>461</v>
      </c>
      <c r="F163" s="2" t="s">
        <v>453</v>
      </c>
      <c r="G163" s="5">
        <v>46239</v>
      </c>
      <c r="H163" s="5">
        <v>46282</v>
      </c>
      <c r="I163" s="4" t="s">
        <v>17</v>
      </c>
      <c r="J163" s="6">
        <f t="shared" si="7"/>
        <v>43</v>
      </c>
      <c r="K163" s="4" t="str">
        <f t="shared" ca="1" si="8"/>
        <v>No</v>
      </c>
      <c r="L163" s="7">
        <f>IF(I163="Completed","0",IF($H163="","",$H163-'[2]Read Me'!$B$4))</f>
        <v>95</v>
      </c>
      <c r="M163" s="4" t="str">
        <f>IF($I163="Complete","Green",IF($H163="","Amber",IF($H163&lt;'[2]Read Me'!$B$4,"Red",IF($H163-'[2]Read Me'!$B$4&lt;=21,"Amber","Green"))))</f>
        <v>Green</v>
      </c>
      <c r="N163" s="3"/>
      <c r="O163" t="str">
        <f>IF($I163&lt;&gt;"Complete",IF(COUNTIFS($A$4:$A162,$A163,$B$4:$B162,$B163,$I$4:$I162,"&lt;&gt;Complete")=0,$A163&amp;"|"&amp;$B163,""),"")</f>
        <v/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 t="s">
        <v>459</v>
      </c>
      <c r="B164" s="2" t="s">
        <v>62</v>
      </c>
      <c r="C164" s="3" t="s">
        <v>460</v>
      </c>
      <c r="D164" s="3" t="s">
        <v>32</v>
      </c>
      <c r="E164" s="2" t="s">
        <v>461</v>
      </c>
      <c r="F164" s="2"/>
      <c r="G164" s="5">
        <v>46253</v>
      </c>
      <c r="H164" s="5">
        <v>46296</v>
      </c>
      <c r="I164" s="4" t="s">
        <v>17</v>
      </c>
      <c r="J164" s="6">
        <f t="shared" si="7"/>
        <v>43</v>
      </c>
      <c r="K164" s="4" t="str">
        <f t="shared" ca="1" si="8"/>
        <v>No</v>
      </c>
      <c r="L164" s="7">
        <f>IF(I164="Completed","0",IF($H164="","",$H164-'[2]Read Me'!$B$4))</f>
        <v>109</v>
      </c>
      <c r="M164" s="4" t="str">
        <f>IF($I164="Complete","Green",IF($H164="","Amber",IF($H164&lt;'[2]Read Me'!$B$4,"Red",IF($H164-'[2]Read Me'!$B$4&lt;=21,"Amber","Green"))))</f>
        <v>Green</v>
      </c>
      <c r="N164" s="3"/>
      <c r="O164" t="str">
        <f>IF($I164&lt;&gt;"Complete",IF(COUNTIFS($A$4:$A163,$A164,$B$4:$B163,$B164,$I$4:$I163,"&lt;&gt;Complete")=0,$A164&amp;"|"&amp;$B164,""),"")</f>
        <v/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 t="s">
        <v>459</v>
      </c>
      <c r="B165" s="2" t="s">
        <v>62</v>
      </c>
      <c r="C165" s="3" t="s">
        <v>460</v>
      </c>
      <c r="D165" s="3" t="s">
        <v>19</v>
      </c>
      <c r="E165" s="2"/>
      <c r="F165" s="2"/>
      <c r="G165" s="5">
        <v>46253</v>
      </c>
      <c r="H165" s="5">
        <v>46296</v>
      </c>
      <c r="I165" s="4" t="s">
        <v>17</v>
      </c>
      <c r="J165" s="6">
        <f t="shared" si="7"/>
        <v>43</v>
      </c>
      <c r="K165" s="4" t="str">
        <f t="shared" ca="1" si="8"/>
        <v>No</v>
      </c>
      <c r="L165" s="7">
        <f>IF(I165="Completed","0",IF($H165="","",$H165-'[2]Read Me'!$B$4))</f>
        <v>109</v>
      </c>
      <c r="M165" s="4" t="str">
        <f>IF($I165="Complete","Green",IF($H165="","Amber",IF($H165&lt;'[2]Read Me'!$B$4,"Red",IF($H165-'[2]Read Me'!$B$4&lt;=21,"Amber","Green"))))</f>
        <v>Green</v>
      </c>
      <c r="N165" s="3"/>
      <c r="O165" t="str">
        <f>IF($I165&lt;&gt;"Complete",IF(COUNTIFS($A$4:$A164,$A165,$B$4:$B164,$B165,$I$4:$I164,"&lt;&gt;Complete")=0,$A165&amp;"|"&amp;$B165,""),"")</f>
        <v/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/>
      <c r="B166" s="2"/>
      <c r="C166" s="3" t="s">
        <v>460</v>
      </c>
      <c r="D166" s="3" t="s">
        <v>50</v>
      </c>
      <c r="E166" s="2"/>
      <c r="F166" s="2"/>
      <c r="G166" s="5"/>
      <c r="H166" s="5"/>
      <c r="I166" s="4" t="s">
        <v>17</v>
      </c>
      <c r="J166" s="6" t="str">
        <f t="shared" si="7"/>
        <v/>
      </c>
      <c r="K166" s="4" t="str">
        <f t="shared" ca="1" si="8"/>
        <v/>
      </c>
      <c r="L166" s="7" t="str">
        <f>IF(I166="Completed","0",IF($H166="","",$H166-'[2]Read Me'!$B$4))</f>
        <v/>
      </c>
      <c r="M166" s="4" t="str">
        <f>IF($I166="Complete","Green",IF($H166="","Amber",IF($H166&lt;'[2]Read Me'!$B$4,"Red",IF($H166-'[2]Read Me'!$B$4&lt;=21,"Amber","Green"))))</f>
        <v>Amber</v>
      </c>
      <c r="N166" s="3"/>
      <c r="O166" t="str">
        <f>IF($I166&lt;&gt;"Complete",IF(COUNTIFS($A$4:$A165,$A166,$B$4:$B165,$B166,$I$4:$I165,"&lt;&gt;Complete")=0,$A166&amp;"|"&amp;$B166,""),"")</f>
        <v>|</v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/>
      <c r="B167" s="2"/>
      <c r="C167" s="3" t="s">
        <v>460</v>
      </c>
      <c r="D167" s="3" t="s">
        <v>287</v>
      </c>
      <c r="E167" s="2"/>
      <c r="F167" s="2"/>
      <c r="G167" s="5"/>
      <c r="H167" s="5"/>
      <c r="I167" s="4" t="s">
        <v>17</v>
      </c>
      <c r="J167" s="6" t="str">
        <f t="shared" si="7"/>
        <v/>
      </c>
      <c r="K167" s="4" t="str">
        <f t="shared" ca="1" si="8"/>
        <v/>
      </c>
      <c r="L167" s="7" t="str">
        <f>IF(I167="Completed","0",IF($H167="","",$H167-'[2]Read Me'!$B$4))</f>
        <v/>
      </c>
      <c r="M167" s="4" t="str">
        <f>IF($I167="Complete","Green",IF($H167="","Amber",IF($H167&lt;'[2]Read Me'!$B$4,"Red",IF($H167-'[2]Read Me'!$B$4&lt;=21,"Amber","Green"))))</f>
        <v>Amber</v>
      </c>
      <c r="N167" s="3"/>
      <c r="O167" t="str">
        <f>IF($I167&lt;&gt;"Complete",IF(COUNTIFS($A$4:$A166,$A167,$B$4:$B166,$B167,$I$4:$I166,"&lt;&gt;Complete")=0,$A167&amp;"|"&amp;$B167,""),"")</f>
        <v>|</v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/>
      <c r="B168" s="2"/>
      <c r="C168" s="3" t="s">
        <v>460</v>
      </c>
      <c r="D168" s="3" t="s">
        <v>288</v>
      </c>
      <c r="E168" s="2"/>
      <c r="F168" s="2"/>
      <c r="G168" s="5"/>
      <c r="H168" s="5"/>
      <c r="I168" s="4" t="s">
        <v>17</v>
      </c>
      <c r="J168" s="6" t="str">
        <f t="shared" si="7"/>
        <v/>
      </c>
      <c r="K168" s="4" t="str">
        <f t="shared" ca="1" si="8"/>
        <v/>
      </c>
      <c r="L168" s="7" t="str">
        <f>IF(I168="Completed","0",IF($H168="","",$H168-'[2]Read Me'!$B$4))</f>
        <v/>
      </c>
      <c r="M168" s="4" t="str">
        <f>IF($I168="Complete","Green",IF($H168="","Amber",IF($H168&lt;'[2]Read Me'!$B$4,"Red",IF($H168-'[2]Read Me'!$B$4&lt;=21,"Amber","Green"))))</f>
        <v>Amber</v>
      </c>
      <c r="N168" s="3"/>
      <c r="O168" t="str">
        <f>IF($I168&lt;&gt;"Complete",IF(COUNTIFS($A$4:$A167,$A168,$B$4:$B167,$B168,$I$4:$I167,"&lt;&gt;Complete")=0,$A168&amp;"|"&amp;$B168,""),"")</f>
        <v>|</v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/>
      <c r="B169" s="2"/>
      <c r="C169" s="3" t="s">
        <v>460</v>
      </c>
      <c r="D169" s="3" t="s">
        <v>51</v>
      </c>
      <c r="E169" s="2"/>
      <c r="F169" s="2"/>
      <c r="G169" s="5"/>
      <c r="H169" s="5"/>
      <c r="I169" s="4" t="s">
        <v>17</v>
      </c>
      <c r="J169" s="6" t="str">
        <f t="shared" si="7"/>
        <v/>
      </c>
      <c r="K169" s="4" t="str">
        <f t="shared" ca="1" si="8"/>
        <v/>
      </c>
      <c r="L169" s="7" t="str">
        <f>IF(I169="Completed","0",IF($H169="","",$H169-'[2]Read Me'!$B$4))</f>
        <v/>
      </c>
      <c r="M169" s="4" t="str">
        <f>IF($I169="Complete","Green",IF($H169="","Amber",IF($H169&lt;'[2]Read Me'!$B$4,"Red",IF($H169-'[2]Read Me'!$B$4&lt;=21,"Amber","Green"))))</f>
        <v>Amber</v>
      </c>
      <c r="N169" s="3"/>
      <c r="O169" t="str">
        <f>IF($I169&lt;&gt;"Complete",IF(COUNTIFS($A$4:$A168,$A169,$B$4:$B168,$B169,$I$4:$I168,"&lt;&gt;Complete")=0,$A169&amp;"|"&amp;$B169,""),"")</f>
        <v>|</v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/>
      <c r="B170" s="2"/>
      <c r="C170" s="3" t="s">
        <v>460</v>
      </c>
      <c r="D170" s="3" t="s">
        <v>413</v>
      </c>
      <c r="E170" s="2"/>
      <c r="F170" s="2"/>
      <c r="G170" s="5"/>
      <c r="H170" s="5"/>
      <c r="I170" s="4" t="s">
        <v>17</v>
      </c>
      <c r="J170" s="6" t="str">
        <f t="shared" si="7"/>
        <v/>
      </c>
      <c r="K170" s="4" t="str">
        <f t="shared" ca="1" si="8"/>
        <v/>
      </c>
      <c r="L170" s="7" t="str">
        <f>IF(I170="Completed","0",IF($H170="","",$H170-'[2]Read Me'!$B$4))</f>
        <v/>
      </c>
      <c r="M170" s="4" t="str">
        <f>IF($I170="Complete","Green",IF($H170="","Amber",IF($H170&lt;'[2]Read Me'!$B$4,"Red",IF($H170-'[2]Read Me'!$B$4&lt;=21,"Amber","Green"))))</f>
        <v>Amber</v>
      </c>
      <c r="N170" s="3"/>
      <c r="O170" t="str">
        <f>IF($I170&lt;&gt;"Complete",IF(COUNTIFS($A$4:$A169,$A170,$B$4:$B169,$B170,$I$4:$I169,"&lt;&gt;Complete")=0,$A170&amp;"|"&amp;$B170,""),"")</f>
        <v>|</v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/>
      <c r="B171" s="2"/>
      <c r="C171" s="3" t="s">
        <v>460</v>
      </c>
      <c r="D171" s="3" t="s">
        <v>388</v>
      </c>
      <c r="E171" s="2"/>
      <c r="F171" s="2"/>
      <c r="G171" s="5"/>
      <c r="H171" s="5"/>
      <c r="I171" s="4" t="s">
        <v>17</v>
      </c>
      <c r="J171" s="6" t="str">
        <f t="shared" si="7"/>
        <v/>
      </c>
      <c r="K171" s="4" t="str">
        <f t="shared" ca="1" si="8"/>
        <v/>
      </c>
      <c r="L171" s="7" t="str">
        <f>IF(I171="Completed","0",IF($H171="","",$H171-'[2]Read Me'!$B$4))</f>
        <v/>
      </c>
      <c r="M171" s="4" t="str">
        <f>IF($I171="Complete","Green",IF($H171="","Amber",IF($H171&lt;'[2]Read Me'!$B$4,"Red",IF($H171-'[2]Read Me'!$B$4&lt;=21,"Amber","Green"))))</f>
        <v>Amber</v>
      </c>
      <c r="N171" s="3"/>
      <c r="O171" t="str">
        <f>IF($I171&lt;&gt;"Complete",IF(COUNTIFS($A$4:$A170,$A171,$B$4:$B170,$B171,$I$4:$I170,"&lt;&gt;Complete")=0,$A171&amp;"|"&amp;$B171,""),"")</f>
        <v>|</v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/>
      <c r="B172" s="2"/>
      <c r="C172" s="3" t="s">
        <v>460</v>
      </c>
      <c r="D172" s="3" t="s">
        <v>211</v>
      </c>
      <c r="E172" s="2"/>
      <c r="F172" s="2"/>
      <c r="G172" s="5"/>
      <c r="H172" s="5"/>
      <c r="I172" s="4" t="s">
        <v>17</v>
      </c>
      <c r="J172" s="6" t="str">
        <f t="shared" si="7"/>
        <v/>
      </c>
      <c r="K172" s="4" t="str">
        <f t="shared" ca="1" si="8"/>
        <v/>
      </c>
      <c r="L172" s="7" t="str">
        <f>IF(I172="Completed","0",IF($H172="","",$H172-'[2]Read Me'!$B$4))</f>
        <v/>
      </c>
      <c r="M172" s="4" t="str">
        <f>IF($I172="Complete","Green",IF($H172="","Amber",IF($H172&lt;'[2]Read Me'!$B$4,"Red",IF($H172-'[2]Read Me'!$B$4&lt;=21,"Amber","Green"))))</f>
        <v>Amber</v>
      </c>
      <c r="N172" s="3"/>
      <c r="O172" t="str">
        <f>IF($I172&lt;&gt;"Complete",IF(COUNTIFS($A$4:$A171,$A172,$B$4:$B171,$B172,$I$4:$I171,"&lt;&gt;Complete")=0,$A172&amp;"|"&amp;$B172,""),"")</f>
        <v>|</v>
      </c>
      <c r="P172" t="str">
        <f ca="1">IF($K172="Yes",COUNTIFS($K$4:$K172,"Yes"),"")</f>
        <v/>
      </c>
      <c r="Q172">
        <f t="shared" ca="1" si="9"/>
        <v>0</v>
      </c>
      <c r="R172" t="str">
        <f ca="1">IF($Q172=1,SUM($Q$4:$Q172),"")</f>
        <v/>
      </c>
    </row>
    <row r="173" spans="1:18" ht="33.75" customHeight="1" x14ac:dyDescent="0.3">
      <c r="A173" s="2"/>
      <c r="B173" s="2"/>
      <c r="C173" s="3" t="s">
        <v>460</v>
      </c>
      <c r="D173" s="3" t="s">
        <v>463</v>
      </c>
      <c r="E173" s="2"/>
      <c r="F173" s="2"/>
      <c r="G173" s="5"/>
      <c r="H173" s="5"/>
      <c r="I173" s="4" t="s">
        <v>17</v>
      </c>
      <c r="J173" s="6" t="str">
        <f t="shared" si="7"/>
        <v/>
      </c>
      <c r="K173" s="4" t="str">
        <f t="shared" ca="1" si="8"/>
        <v/>
      </c>
      <c r="L173" s="7" t="str">
        <f>IF(I173="Completed","0",IF($H173="","",$H173-'[2]Read Me'!$B$4))</f>
        <v/>
      </c>
      <c r="M173" s="4" t="str">
        <f>IF($I173="Complete","Green",IF($H173="","Amber",IF($H173&lt;'[2]Read Me'!$B$4,"Red",IF($H173-'[2]Read Me'!$B$4&lt;=21,"Amber","Green"))))</f>
        <v>Amber</v>
      </c>
      <c r="N173" s="3"/>
      <c r="O173" t="str">
        <f>IF($I173&lt;&gt;"Complete",IF(COUNTIFS($A$4:$A172,$A173,$B$4:$B172,$B173,$I$4:$I172,"&lt;&gt;Complete")=0,$A173&amp;"|"&amp;$B173,""),"")</f>
        <v>|</v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/>
      <c r="B174" s="2"/>
      <c r="C174" s="3" t="s">
        <v>460</v>
      </c>
      <c r="D174" s="3" t="s">
        <v>388</v>
      </c>
      <c r="E174" s="2"/>
      <c r="F174" s="2"/>
      <c r="G174" s="5"/>
      <c r="H174" s="5"/>
      <c r="I174" s="4" t="s">
        <v>17</v>
      </c>
      <c r="J174" s="6" t="str">
        <f t="shared" si="7"/>
        <v/>
      </c>
      <c r="K174" s="4" t="str">
        <f t="shared" ca="1" si="8"/>
        <v/>
      </c>
      <c r="L174" s="7" t="str">
        <f>IF(I174="Completed","0",IF($H174="","",$H174-'[2]Read Me'!$B$4))</f>
        <v/>
      </c>
      <c r="M174" s="4" t="str">
        <f>IF($I174="Complete","Green",IF($H174="","Amber",IF($H174&lt;'[2]Read Me'!$B$4,"Red",IF($H174-'[2]Read Me'!$B$4&lt;=21,"Amber","Green"))))</f>
        <v>Amber</v>
      </c>
      <c r="N174" s="3"/>
      <c r="O174" t="str">
        <f>IF($I174&lt;&gt;"Complete",IF(COUNTIFS($A$4:$A173,$A174,$B$4:$B173,$B174,$I$4:$I173,"&lt;&gt;Complete")=0,$A174&amp;"|"&amp;$B174,""),"")</f>
        <v>|</v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/>
      <c r="B175" s="2"/>
      <c r="C175" s="3"/>
      <c r="D175" s="3"/>
      <c r="E175" s="2"/>
      <c r="F175" s="2"/>
      <c r="G175" s="5"/>
      <c r="H175" s="5"/>
      <c r="I175" s="4"/>
      <c r="J175" s="6" t="str">
        <f t="shared" si="7"/>
        <v/>
      </c>
      <c r="K175" s="4" t="str">
        <f t="shared" ca="1" si="8"/>
        <v/>
      </c>
      <c r="L175" s="7" t="str">
        <f>IF(I175="Completed","0",IF($H175="","",$H175-'[2]Read Me'!$B$4))</f>
        <v/>
      </c>
      <c r="M175" s="4" t="str">
        <f>IF($I175="Complete","Green",IF($H175="","Amber",IF($H175&lt;'[2]Read Me'!$B$4,"Red",IF($H175-'[2]Read Me'!$B$4&lt;=21,"Amber","Green"))))</f>
        <v>Amber</v>
      </c>
      <c r="N175" s="3"/>
      <c r="O175" t="str">
        <f>IF($I175&lt;&gt;"Complete",IF(COUNTIFS($A$4:$A174,$A175,$B$4:$B174,$B175,$I$4:$I174,"&lt;&gt;Complete")=0,$A175&amp;"|"&amp;$B175,""),"")</f>
        <v>|</v>
      </c>
      <c r="P175" t="str">
        <f ca="1">IF($K175="Yes",COUNTIFS($K$4:$K175,"Yes"),"")</f>
        <v/>
      </c>
      <c r="Q175">
        <f t="shared" ca="1" si="9"/>
        <v>0</v>
      </c>
      <c r="R175" t="str">
        <f ca="1">IF($Q175=1,SUM($Q$4:$Q175),"")</f>
        <v/>
      </c>
    </row>
    <row r="176" spans="1:18" ht="22.5" customHeight="1" x14ac:dyDescent="0.3">
      <c r="A176" s="2"/>
      <c r="B176" s="2"/>
      <c r="C176" s="3"/>
      <c r="D176" s="3"/>
      <c r="E176" s="2"/>
      <c r="F176" s="2"/>
      <c r="G176" s="5"/>
      <c r="H176" s="5"/>
      <c r="I176" s="4"/>
      <c r="J176" s="6" t="str">
        <f t="shared" si="7"/>
        <v/>
      </c>
      <c r="K176" s="4" t="str">
        <f t="shared" ca="1" si="8"/>
        <v/>
      </c>
      <c r="L176" s="7" t="str">
        <f>IF(I176="Completed","0",IF($H176="","",$H176-'[2]Read Me'!$B$4))</f>
        <v/>
      </c>
      <c r="M176" s="4" t="str">
        <f>IF($I176="Complete","Green",IF($H176="","Amber",IF($H176&lt;'[2]Read Me'!$B$4,"Red",IF($H176-'[2]Read Me'!$B$4&lt;=21,"Amber","Green"))))</f>
        <v>Amber</v>
      </c>
      <c r="N176" s="3"/>
      <c r="O176" t="str">
        <f>IF($I176&lt;&gt;"Complete",IF(COUNTIFS($A$4:$A175,$A176,$B$4:$B175,$B176,$I$4:$I175,"&lt;&gt;Complete")=0,$A176&amp;"|"&amp;$B176,""),"")</f>
        <v>|</v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/>
      <c r="B177" s="2"/>
      <c r="C177" s="3"/>
      <c r="D177" s="3"/>
      <c r="E177" s="2"/>
      <c r="F177" s="2"/>
      <c r="G177" s="5"/>
      <c r="H177" s="5"/>
      <c r="I177" s="4"/>
      <c r="J177" s="6" t="str">
        <f t="shared" si="7"/>
        <v/>
      </c>
      <c r="K177" s="4" t="str">
        <f t="shared" ca="1" si="8"/>
        <v/>
      </c>
      <c r="L177" s="7" t="str">
        <f>IF(I177="Completed","0",IF($H177="","",$H177-'[2]Read Me'!$B$4))</f>
        <v/>
      </c>
      <c r="M177" s="4" t="str">
        <f>IF($I177="Complete","Green",IF($H177="","Amber",IF($H177&lt;'[2]Read Me'!$B$4,"Red",IF($H177-'[2]Read Me'!$B$4&lt;=21,"Amber","Green"))))</f>
        <v>Amber</v>
      </c>
      <c r="N177" s="3"/>
      <c r="O177" t="str">
        <f>IF($I177&lt;&gt;"Complete",IF(COUNTIFS($A$4:$A176,$A177,$B$4:$B176,$B177,$I$4:$I176,"&lt;&gt;Complete")=0,$A177&amp;"|"&amp;$B177,""),"")</f>
        <v>|</v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/>
      <c r="B178" s="2"/>
      <c r="C178" s="3"/>
      <c r="D178" s="3"/>
      <c r="E178" s="2"/>
      <c r="F178" s="2"/>
      <c r="G178" s="5"/>
      <c r="H178" s="5"/>
      <c r="I178" s="4"/>
      <c r="J178" s="6" t="str">
        <f t="shared" si="7"/>
        <v/>
      </c>
      <c r="K178" s="4" t="str">
        <f t="shared" ca="1" si="8"/>
        <v/>
      </c>
      <c r="L178" s="7" t="str">
        <f>IF(I178="Completed","0",IF($H178="","",$H178-'[2]Read Me'!$B$4))</f>
        <v/>
      </c>
      <c r="M178" s="4" t="str">
        <f>IF($I178="Complete","Green",IF($H178="","Amber",IF($H178&lt;'[2]Read Me'!$B$4,"Red",IF($H178-'[2]Read Me'!$B$4&lt;=21,"Amber","Green"))))</f>
        <v>Amber</v>
      </c>
      <c r="N178" s="3"/>
      <c r="O178" t="str">
        <f>IF($I178&lt;&gt;"Complete",IF(COUNTIFS($A$4:$A177,$A178,$B$4:$B177,$B178,$I$4:$I177,"&lt;&gt;Complete")=0,$A178&amp;"|"&amp;$B178,""),"")</f>
        <v>|</v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/>
      <c r="B179" s="2"/>
      <c r="C179" s="3"/>
      <c r="D179" s="3"/>
      <c r="E179" s="2"/>
      <c r="F179" s="2"/>
      <c r="G179" s="5"/>
      <c r="H179" s="5"/>
      <c r="I179" s="4"/>
      <c r="J179" s="6" t="str">
        <f t="shared" si="7"/>
        <v/>
      </c>
      <c r="K179" s="4" t="str">
        <f t="shared" ca="1" si="8"/>
        <v/>
      </c>
      <c r="L179" s="7" t="str">
        <f>IF(I179="Completed","0",IF($H179="","",$H179-'[2]Read Me'!$B$4))</f>
        <v/>
      </c>
      <c r="M179" s="4" t="str">
        <f>IF($I179="Complete","Green",IF($H179="","Amber",IF($H179&lt;'[2]Read Me'!$B$4,"Red",IF($H179-'[2]Read Me'!$B$4&lt;=21,"Amber","Green"))))</f>
        <v>Amber</v>
      </c>
      <c r="N179" s="3"/>
      <c r="O179" t="str">
        <f>IF($I179&lt;&gt;"Complete",IF(COUNTIFS($A$4:$A178,$A179,$B$4:$B178,$B179,$I$4:$I178,"&lt;&gt;Complete")=0,$A179&amp;"|"&amp;$B179,""),"")</f>
        <v>|</v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/>
      <c r="B180" s="2"/>
      <c r="C180" s="3"/>
      <c r="D180" s="3"/>
      <c r="E180" s="2"/>
      <c r="F180" s="2"/>
      <c r="G180" s="5"/>
      <c r="H180" s="5"/>
      <c r="I180" s="4"/>
      <c r="J180" s="6" t="str">
        <f t="shared" si="7"/>
        <v/>
      </c>
      <c r="K180" s="4" t="str">
        <f t="shared" ca="1" si="8"/>
        <v/>
      </c>
      <c r="L180" s="7" t="str">
        <f>IF(I180="Completed","0",IF($H180="","",$H180-'[2]Read Me'!$B$4))</f>
        <v/>
      </c>
      <c r="M180" s="4" t="str">
        <f>IF($I180="Complete","Green",IF($H180="","Amber",IF($H180&lt;'[2]Read Me'!$B$4,"Red",IF($H180-'[2]Read Me'!$B$4&lt;=21,"Amber","Green"))))</f>
        <v>Amber</v>
      </c>
      <c r="N180" s="3"/>
      <c r="O180" t="str">
        <f>IF($I180&lt;&gt;"Complete",IF(COUNTIFS($A$4:$A179,$A180,$B$4:$B179,$B180,$I$4:$I179,"&lt;&gt;Complete")=0,$A180&amp;"|"&amp;$B180,""),"")</f>
        <v>|</v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/>
      <c r="B181" s="2"/>
      <c r="C181" s="3"/>
      <c r="D181" s="3"/>
      <c r="E181" s="2"/>
      <c r="F181" s="2"/>
      <c r="G181" s="5"/>
      <c r="H181" s="5"/>
      <c r="I181" s="4"/>
      <c r="J181" s="6" t="str">
        <f t="shared" si="7"/>
        <v/>
      </c>
      <c r="K181" s="4" t="str">
        <f t="shared" ca="1" si="8"/>
        <v/>
      </c>
      <c r="L181" s="7" t="str">
        <f>IF(I181="Completed","0",IF($H181="","",$H181-'[2]Read Me'!$B$4))</f>
        <v/>
      </c>
      <c r="M181" s="4" t="str">
        <f>IF($I181="Complete","Green",IF($H181="","Amber",IF($H181&lt;'[2]Read Me'!$B$4,"Red",IF($H181-'[2]Read Me'!$B$4&lt;=21,"Amber","Green"))))</f>
        <v>Amber</v>
      </c>
      <c r="N181" s="3"/>
      <c r="O181" t="str">
        <f>IF($I181&lt;&gt;"Complete",IF(COUNTIFS($A$4:$A180,$A181,$B$4:$B180,$B181,$I$4:$I180,"&lt;&gt;Complete")=0,$A181&amp;"|"&amp;$B181,""),"")</f>
        <v>|</v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/>
      <c r="B182" s="2"/>
      <c r="C182" s="3"/>
      <c r="D182" s="3"/>
      <c r="E182" s="2"/>
      <c r="F182" s="2"/>
      <c r="G182" s="5"/>
      <c r="H182" s="5"/>
      <c r="I182" s="4"/>
      <c r="J182" s="6" t="str">
        <f t="shared" si="7"/>
        <v/>
      </c>
      <c r="K182" s="4" t="str">
        <f t="shared" ca="1" si="8"/>
        <v/>
      </c>
      <c r="L182" s="7" t="str">
        <f>IF(I182="Completed","0",IF($H182="","",$H182-'[2]Read Me'!$B$4))</f>
        <v/>
      </c>
      <c r="M182" s="4" t="str">
        <f>IF($I182="Complete","Green",IF($H182="","Amber",IF($H182&lt;'[2]Read Me'!$B$4,"Red",IF($H182-'[2]Read Me'!$B$4&lt;=21,"Amber","Green"))))</f>
        <v>Amber</v>
      </c>
      <c r="N182" s="3"/>
      <c r="O182" t="str">
        <f>IF($I182&lt;&gt;"Complete",IF(COUNTIFS($A$4:$A181,$A182,$B$4:$B181,$B182,$I$4:$I181,"&lt;&gt;Complete")=0,$A182&amp;"|"&amp;$B182,""),"")</f>
        <v>|</v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/>
      <c r="B183" s="2"/>
      <c r="C183" s="3"/>
      <c r="D183" s="3"/>
      <c r="E183" s="2"/>
      <c r="F183" s="2"/>
      <c r="G183" s="5"/>
      <c r="H183" s="5"/>
      <c r="I183" s="4"/>
      <c r="J183" s="6" t="str">
        <f t="shared" si="7"/>
        <v/>
      </c>
      <c r="K183" s="4" t="str">
        <f t="shared" ca="1" si="8"/>
        <v/>
      </c>
      <c r="L183" s="7" t="str">
        <f>IF(I183="Completed","0",IF($H183="","",$H183-'[2]Read Me'!$B$4))</f>
        <v/>
      </c>
      <c r="M183" s="4" t="str">
        <f>IF($I183="Complete","Green",IF($H183="","Amber",IF($H183&lt;'[2]Read Me'!$B$4,"Red",IF($H183-'[2]Read Me'!$B$4&lt;=21,"Amber","Green"))))</f>
        <v>Amber</v>
      </c>
      <c r="N183" s="3"/>
      <c r="O183" t="str">
        <f>IF($I183&lt;&gt;"Complete",IF(COUNTIFS($A$4:$A182,$A183,$B$4:$B182,$B183,$I$4:$I182,"&lt;&gt;Complete")=0,$A183&amp;"|"&amp;$B183,""),"")</f>
        <v>|</v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/>
      <c r="B184" s="2"/>
      <c r="C184" s="3"/>
      <c r="D184" s="3"/>
      <c r="E184" s="2"/>
      <c r="F184" s="2"/>
      <c r="G184" s="5"/>
      <c r="H184" s="5"/>
      <c r="I184" s="4"/>
      <c r="J184" s="6" t="str">
        <f t="shared" si="7"/>
        <v/>
      </c>
      <c r="K184" s="4" t="str">
        <f t="shared" ca="1" si="8"/>
        <v/>
      </c>
      <c r="L184" s="7" t="str">
        <f>IF(I184="Completed","0",IF($H184="","",$H184-'[2]Read Me'!$B$4))</f>
        <v/>
      </c>
      <c r="M184" s="4" t="str">
        <f>IF($I184="Complete","Green",IF($H184="","Amber",IF($H184&lt;'[2]Read Me'!$B$4,"Red",IF($H184-'[2]Read Me'!$B$4&lt;=21,"Amber","Green"))))</f>
        <v>Amber</v>
      </c>
      <c r="N184" s="3"/>
      <c r="O184" t="str">
        <f>IF($I184&lt;&gt;"Complete",IF(COUNTIFS($A$4:$A183,$A184,$B$4:$B183,$B184,$I$4:$I183,"&lt;&gt;Complete")=0,$A184&amp;"|"&amp;$B184,""),"")</f>
        <v>|</v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/>
      <c r="B185" s="2"/>
      <c r="C185" s="3"/>
      <c r="D185" s="3"/>
      <c r="E185" s="2"/>
      <c r="F185" s="2"/>
      <c r="G185" s="5"/>
      <c r="H185" s="5"/>
      <c r="I185" s="4"/>
      <c r="J185" s="6" t="str">
        <f t="shared" si="7"/>
        <v/>
      </c>
      <c r="K185" s="4" t="str">
        <f t="shared" ca="1" si="8"/>
        <v/>
      </c>
      <c r="L185" s="7" t="str">
        <f>IF(I185="Completed","0",IF($H185="","",$H185-'[2]Read Me'!$B$4))</f>
        <v/>
      </c>
      <c r="M185" s="4" t="str">
        <f>IF($I185="Complete","Green",IF($H185="","Amber",IF($H185&lt;'[2]Read Me'!$B$4,"Red",IF($H185-'[2]Read Me'!$B$4&lt;=21,"Amber","Green"))))</f>
        <v>Amber</v>
      </c>
      <c r="N185" s="3"/>
      <c r="O185" t="str">
        <f>IF($I185&lt;&gt;"Complete",IF(COUNTIFS($A$4:$A184,$A185,$B$4:$B184,$B185,$I$4:$I184,"&lt;&gt;Complete")=0,$A185&amp;"|"&amp;$B185,""),"")</f>
        <v>|</v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/>
      <c r="B186" s="2"/>
      <c r="C186" s="3"/>
      <c r="D186" s="3"/>
      <c r="E186" s="2"/>
      <c r="F186" s="2"/>
      <c r="G186" s="5"/>
      <c r="H186" s="5"/>
      <c r="I186" s="4"/>
      <c r="J186" s="6" t="str">
        <f t="shared" si="7"/>
        <v/>
      </c>
      <c r="K186" s="4" t="str">
        <f t="shared" ca="1" si="8"/>
        <v/>
      </c>
      <c r="L186" s="7" t="str">
        <f>IF(I186="Completed","0",IF($H186="","",$H186-'[2]Read Me'!$B$4))</f>
        <v/>
      </c>
      <c r="M186" s="4" t="str">
        <f>IF($I186="Complete","Green",IF($H186="","Amber",IF($H186&lt;'[2]Read Me'!$B$4,"Red",IF($H186-'[2]Read Me'!$B$4&lt;=21,"Amber","Green"))))</f>
        <v>Amber</v>
      </c>
      <c r="N186" s="3"/>
      <c r="O186" t="str">
        <f>IF($I186&lt;&gt;"Complete",IF(COUNTIFS($A$4:$A185,$A186,$B$4:$B185,$B186,$I$4:$I185,"&lt;&gt;Complete")=0,$A186&amp;"|"&amp;$B186,""),"")</f>
        <v>|</v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/>
      <c r="B187" s="2"/>
      <c r="C187" s="3"/>
      <c r="D187" s="3"/>
      <c r="E187" s="2"/>
      <c r="F187" s="2"/>
      <c r="G187" s="5"/>
      <c r="H187" s="5"/>
      <c r="I187" s="4"/>
      <c r="J187" s="6" t="str">
        <f t="shared" si="7"/>
        <v/>
      </c>
      <c r="K187" s="4" t="str">
        <f t="shared" ca="1" si="8"/>
        <v/>
      </c>
      <c r="L187" s="7" t="str">
        <f>IF(I187="Completed","0",IF($H187="","",$H187-'[2]Read Me'!$B$4))</f>
        <v/>
      </c>
      <c r="M187" s="4" t="str">
        <f>IF($I187="Complete","Green",IF($H187="","Amber",IF($H187&lt;'[2]Read Me'!$B$4,"Red",IF($H187-'[2]Read Me'!$B$4&lt;=21,"Amber","Green"))))</f>
        <v>Amber</v>
      </c>
      <c r="N187" s="3"/>
      <c r="O187" t="str">
        <f>IF($I187&lt;&gt;"Complete",IF(COUNTIFS($A$4:$A186,$A187,$B$4:$B186,$B187,$I$4:$I186,"&lt;&gt;Complete")=0,$A187&amp;"|"&amp;$B187,""),"")</f>
        <v>|</v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/>
      <c r="B188" s="2"/>
      <c r="C188" s="3"/>
      <c r="D188" s="3"/>
      <c r="E188" s="2"/>
      <c r="F188" s="2"/>
      <c r="G188" s="5"/>
      <c r="H188" s="5"/>
      <c r="I188" s="4"/>
      <c r="J188" s="6" t="str">
        <f t="shared" si="7"/>
        <v/>
      </c>
      <c r="K188" s="4" t="str">
        <f t="shared" ca="1" si="8"/>
        <v/>
      </c>
      <c r="L188" s="7" t="str">
        <f>IF(I188="Completed","0",IF($H188="","",$H188-'[2]Read Me'!$B$4))</f>
        <v/>
      </c>
      <c r="M188" s="4" t="str">
        <f>IF($I188="Complete","Green",IF($H188="","Amber",IF($H188&lt;'[2]Read Me'!$B$4,"Red",IF($H188-'[2]Read Me'!$B$4&lt;=21,"Amber","Green"))))</f>
        <v>Amber</v>
      </c>
      <c r="N188" s="3"/>
      <c r="O188" t="str">
        <f>IF($I188&lt;&gt;"Complete",IF(COUNTIFS($A$4:$A187,$A188,$B$4:$B187,$B188,$I$4:$I187,"&lt;&gt;Complete")=0,$A188&amp;"|"&amp;$B188,""),"")</f>
        <v>|</v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/>
      <c r="B189" s="2"/>
      <c r="C189" s="3"/>
      <c r="D189" s="3"/>
      <c r="E189" s="2"/>
      <c r="F189" s="2"/>
      <c r="G189" s="5"/>
      <c r="H189" s="5"/>
      <c r="I189" s="4"/>
      <c r="J189" s="6" t="str">
        <f t="shared" si="7"/>
        <v/>
      </c>
      <c r="K189" s="4" t="str">
        <f t="shared" ca="1" si="8"/>
        <v/>
      </c>
      <c r="L189" s="7" t="str">
        <f>IF($H189="","",$H189-'[2]Read Me'!$B$4)</f>
        <v/>
      </c>
      <c r="M189" s="4" t="str">
        <f>IF($I189="Complete","Green",IF($H189="","Amber",IF($H189&lt;'[2]Read Me'!$B$4,"Red",IF($H189-'[2]Read Me'!$B$4&lt;=21,"Amber","Green"))))</f>
        <v>Amber</v>
      </c>
      <c r="N189" s="3"/>
      <c r="O189" t="str">
        <f>IF($I189&lt;&gt;"Complete",IF(COUNTIFS($A$4:$A188,$A189,$B$4:$B188,$B189,$I$4:$I188,"&lt;&gt;Complete")=0,$A189&amp;"|"&amp;$B189,""),"")</f>
        <v>|</v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/>
      <c r="B190" s="2"/>
      <c r="C190" s="3"/>
      <c r="D190" s="3"/>
      <c r="E190" s="2"/>
      <c r="F190" s="2"/>
      <c r="G190" s="5"/>
      <c r="H190" s="5"/>
      <c r="I190" s="4"/>
      <c r="J190" s="6" t="str">
        <f t="shared" si="7"/>
        <v/>
      </c>
      <c r="K190" s="4" t="str">
        <f t="shared" ca="1" si="8"/>
        <v/>
      </c>
      <c r="L190" s="7" t="str">
        <f>IF($H190="","",$H190-'[2]Read Me'!$B$4)</f>
        <v/>
      </c>
      <c r="M190" s="4" t="str">
        <f>IF($I190="Complete","Green",IF($H190="","Amber",IF($H190&lt;'[2]Read Me'!$B$4,"Red",IF($H190-'[2]Read Me'!$B$4&lt;=21,"Amber","Green"))))</f>
        <v>Amber</v>
      </c>
      <c r="N190" s="3"/>
      <c r="O190" t="str">
        <f>IF($I190&lt;&gt;"Complete",IF(COUNTIFS($A$4:$A189,$A190,$B$4:$B189,$B190,$I$4:$I189,"&lt;&gt;Complete")=0,$A190&amp;"|"&amp;$B190,""),"")</f>
        <v>|</v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/>
      <c r="B191" s="2"/>
      <c r="C191" s="3"/>
      <c r="D191" s="3"/>
      <c r="E191" s="2"/>
      <c r="F191" s="2"/>
      <c r="G191" s="5"/>
      <c r="H191" s="5"/>
      <c r="I191" s="4"/>
      <c r="J191" s="6" t="str">
        <f t="shared" si="7"/>
        <v/>
      </c>
      <c r="K191" s="4" t="str">
        <f t="shared" ca="1" si="8"/>
        <v/>
      </c>
      <c r="L191" s="7" t="str">
        <f>IF($H191="","",$H191-'[2]Read Me'!$B$4)</f>
        <v/>
      </c>
      <c r="M191" s="4" t="str">
        <f>IF($I191="Complete","Green",IF($H191="","Amber",IF($H191&lt;'[2]Read Me'!$B$4,"Red",IF($H191-'[2]Read Me'!$B$4&lt;=21,"Amber","Green"))))</f>
        <v>Amber</v>
      </c>
      <c r="N191" s="3"/>
      <c r="O191" t="str">
        <f>IF($I191&lt;&gt;"Complete",IF(COUNTIFS($A$4:$A190,$A191,$B$4:$B190,$B191,$I$4:$I190,"&lt;&gt;Complete")=0,$A191&amp;"|"&amp;$B191,""),"")</f>
        <v>|</v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/>
      <c r="B192" s="2"/>
      <c r="C192" s="3"/>
      <c r="D192" s="3"/>
      <c r="E192" s="2"/>
      <c r="F192" s="2"/>
      <c r="G192" s="5"/>
      <c r="H192" s="5"/>
      <c r="I192" s="4"/>
      <c r="J192" s="6" t="str">
        <f t="shared" si="7"/>
        <v/>
      </c>
      <c r="K192" s="4" t="str">
        <f t="shared" ca="1" si="8"/>
        <v/>
      </c>
      <c r="L192" s="7" t="str">
        <f>IF($H192="","",$H192-'[2]Read Me'!$B$4)</f>
        <v/>
      </c>
      <c r="M192" s="4" t="str">
        <f>IF($I192="Complete","Green",IF($H192="","Amber",IF($H192&lt;'[2]Read Me'!$B$4,"Red",IF($H192-'[2]Read Me'!$B$4&lt;=21,"Amber","Green"))))</f>
        <v>Amber</v>
      </c>
      <c r="N192" s="3"/>
      <c r="O192" t="str">
        <f>IF($I192&lt;&gt;"Complete",IF(COUNTIFS($A$4:$A191,$A192,$B$4:$B191,$B192,$I$4:$I191,"&lt;&gt;Complete")=0,$A192&amp;"|"&amp;$B192,""),"")</f>
        <v>|</v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/>
      <c r="B193" s="2"/>
      <c r="C193" s="3"/>
      <c r="D193" s="3"/>
      <c r="E193" s="2"/>
      <c r="F193" s="2"/>
      <c r="G193" s="5"/>
      <c r="H193" s="5"/>
      <c r="I193" s="4"/>
      <c r="J193" s="6" t="str">
        <f t="shared" si="7"/>
        <v/>
      </c>
      <c r="K193" s="4" t="str">
        <f t="shared" ca="1" si="8"/>
        <v/>
      </c>
      <c r="L193" s="7" t="str">
        <f>IF($H193="","",$H193-'[2]Read Me'!$B$4)</f>
        <v/>
      </c>
      <c r="M193" s="4" t="str">
        <f>IF($I193="Complete","Green",IF($H193="","Amber",IF($H193&lt;'[2]Read Me'!$B$4,"Red",IF($H193-'[2]Read Me'!$B$4&lt;=21,"Amber","Green"))))</f>
        <v>Amber</v>
      </c>
      <c r="N193" s="3"/>
      <c r="O193" t="str">
        <f>IF($I193&lt;&gt;"Complete",IF(COUNTIFS($A$4:$A192,$A193,$B$4:$B192,$B193,$I$4:$I192,"&lt;&gt;Complete")=0,$A193&amp;"|"&amp;$B193,""),"")</f>
        <v>|</v>
      </c>
      <c r="P193" t="str">
        <f ca="1">IF($K193="Yes",COUNTIFS($K$4:$K193,"Yes"),"")</f>
        <v/>
      </c>
      <c r="Q193">
        <f t="shared" ca="1" si="9"/>
        <v>0</v>
      </c>
      <c r="R193" t="str">
        <f ca="1">IF($Q193=1,SUM($Q$4:$Q193),"")</f>
        <v/>
      </c>
    </row>
    <row r="194" spans="1:18" ht="33.75" customHeight="1" x14ac:dyDescent="0.3">
      <c r="A194" s="2"/>
      <c r="B194" s="2"/>
      <c r="C194" s="3"/>
      <c r="D194" s="3"/>
      <c r="E194" s="2"/>
      <c r="F194" s="2"/>
      <c r="G194" s="5"/>
      <c r="H194" s="5"/>
      <c r="I194" s="4"/>
      <c r="J194" s="6" t="str">
        <f t="shared" si="7"/>
        <v/>
      </c>
      <c r="K194" s="4" t="str">
        <f t="shared" ca="1" si="8"/>
        <v/>
      </c>
      <c r="L194" s="7" t="str">
        <f>IF($H194="","",$H194-'[2]Read Me'!$B$4)</f>
        <v/>
      </c>
      <c r="M194" s="4" t="str">
        <f>IF($I194="Complete","Green",IF($H194="","Amber",IF($H194&lt;'[2]Read Me'!$B$4,"Red",IF($H194-'[2]Read Me'!$B$4&lt;=21,"Amber","Green"))))</f>
        <v>Amber</v>
      </c>
      <c r="N194" s="3"/>
      <c r="O194" t="str">
        <f>IF($I194&lt;&gt;"Complete",IF(COUNTIFS($A$4:$A193,$A194,$B$4:$B193,$B194,$I$4:$I193,"&lt;&gt;Complete")=0,$A194&amp;"|"&amp;$B194,""),"")</f>
        <v>|</v>
      </c>
      <c r="P194" t="str">
        <f ca="1">IF($K194="Yes",COUNTIFS($K$4:$K194,"Yes"),"")</f>
        <v/>
      </c>
      <c r="Q194">
        <f t="shared" ca="1" si="9"/>
        <v>0</v>
      </c>
      <c r="R194" t="str">
        <f ca="1">IF($Q194=1,SUM($Q$4:$Q194),"")</f>
        <v/>
      </c>
    </row>
    <row r="195" spans="1:18" ht="33.75" customHeight="1" x14ac:dyDescent="0.3">
      <c r="A195" s="2"/>
      <c r="B195" s="2"/>
      <c r="C195" s="3"/>
      <c r="D195" s="3"/>
      <c r="E195" s="2"/>
      <c r="F195" s="2"/>
      <c r="G195" s="5"/>
      <c r="H195" s="5"/>
      <c r="I195" s="4"/>
      <c r="J195" s="6" t="str">
        <f t="shared" si="7"/>
        <v/>
      </c>
      <c r="K195" s="4" t="str">
        <f t="shared" ca="1" si="8"/>
        <v/>
      </c>
      <c r="L195" s="7" t="str">
        <f>IF($H195="","",$H195-'[2]Read Me'!$B$4)</f>
        <v/>
      </c>
      <c r="M195" s="4" t="str">
        <f>IF($I195="Complete","Green",IF($H195="","Amber",IF($H195&lt;'[2]Read Me'!$B$4,"Red",IF($H195-'[2]Read Me'!$B$4&lt;=21,"Amber","Green"))))</f>
        <v>Amber</v>
      </c>
      <c r="N195" s="3"/>
      <c r="O195" t="str">
        <f>IF($I195&lt;&gt;"Complete",IF(COUNTIFS($A$4:$A194,$A195,$B$4:$B194,$B195,$I$4:$I194,"&lt;&gt;Complete")=0,$A195&amp;"|"&amp;$B195,""),"")</f>
        <v>|</v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/>
      <c r="B196" s="2"/>
      <c r="C196" s="3"/>
      <c r="D196" s="3"/>
      <c r="E196" s="2"/>
      <c r="F196" s="2"/>
      <c r="G196" s="5"/>
      <c r="H196" s="5"/>
      <c r="I196" s="4"/>
      <c r="J196" s="6" t="str">
        <f t="shared" ref="J196:J259" si="10">IF(OR($G196="",$H196=""),"",$H196-$G196)</f>
        <v/>
      </c>
      <c r="K196" s="4" t="str">
        <f t="shared" ref="K196:K243" ca="1" si="11">IF(C196="","",IF(H196="","",IF($I196="completed","-",IF($H196&gt;TODAY(),"No","Yes"))))</f>
        <v/>
      </c>
      <c r="L196" s="7" t="str">
        <f>IF($H196="","",$H196-'[2]Read Me'!$B$4)</f>
        <v/>
      </c>
      <c r="M196" s="4" t="str">
        <f>IF($I196="Complete","Green",IF($H196="","Amber",IF($H196&lt;'[2]Read Me'!$B$4,"Red",IF($H196-'[2]Read Me'!$B$4&lt;=21,"Amber","Green"))))</f>
        <v>Amber</v>
      </c>
      <c r="N196" s="3"/>
      <c r="O196" t="str">
        <f>IF($I196&lt;&gt;"Complete",IF(COUNTIFS($A$4:$A195,$A196,$B$4:$B195,$B196,$I$4:$I195,"&lt;&gt;Complete")=0,$A196&amp;"|"&amp;$B196,""),"")</f>
        <v>|</v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/>
      <c r="B197" s="2"/>
      <c r="C197" s="3"/>
      <c r="D197" s="3"/>
      <c r="E197" s="2"/>
      <c r="F197" s="2"/>
      <c r="G197" s="5"/>
      <c r="H197" s="5"/>
      <c r="I197" s="4"/>
      <c r="J197" s="6" t="str">
        <f t="shared" si="10"/>
        <v/>
      </c>
      <c r="K197" s="4" t="str">
        <f t="shared" ca="1" si="11"/>
        <v/>
      </c>
      <c r="L197" s="7" t="str">
        <f>IF($H197="","",$H197-'[2]Read Me'!$B$4)</f>
        <v/>
      </c>
      <c r="M197" s="4" t="str">
        <f>IF($I197="Complete","Green",IF($H197="","Amber",IF($H197&lt;'[2]Read Me'!$B$4,"Red",IF($H197-'[2]Read Me'!$B$4&lt;=21,"Amber","Green"))))</f>
        <v>Amber</v>
      </c>
      <c r="N197" s="3"/>
      <c r="O197" t="str">
        <f>IF($I197&lt;&gt;"Complete",IF(COUNTIFS($A$4:$A196,$A197,$B$4:$B196,$B197,$I$4:$I196,"&lt;&gt;Complete")=0,$A197&amp;"|"&amp;$B197,""),"")</f>
        <v>|</v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/>
      <c r="B198" s="2"/>
      <c r="C198" s="3"/>
      <c r="D198" s="3"/>
      <c r="E198" s="2"/>
      <c r="F198" s="2"/>
      <c r="G198" s="5"/>
      <c r="H198" s="5"/>
      <c r="I198" s="4"/>
      <c r="J198" s="6" t="str">
        <f t="shared" si="10"/>
        <v/>
      </c>
      <c r="K198" s="4" t="str">
        <f t="shared" ca="1" si="11"/>
        <v/>
      </c>
      <c r="L198" s="7" t="str">
        <f>IF($H198="","",$H198-'[2]Read Me'!$B$4)</f>
        <v/>
      </c>
      <c r="M198" s="4" t="str">
        <f>IF($I198="Complete","Green",IF($H198="","Amber",IF($H198&lt;'[2]Read Me'!$B$4,"Red",IF($H198-'[2]Read Me'!$B$4&lt;=21,"Amber","Green"))))</f>
        <v>Amber</v>
      </c>
      <c r="N198" s="3"/>
      <c r="O198" t="str">
        <f>IF($I198&lt;&gt;"Complete",IF(COUNTIFS($A$4:$A197,$A198,$B$4:$B197,$B198,$I$4:$I197,"&lt;&gt;Complete")=0,$A198&amp;"|"&amp;$B198,""),"")</f>
        <v>|</v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/>
      <c r="B199" s="2"/>
      <c r="C199" s="3"/>
      <c r="D199" s="3"/>
      <c r="E199" s="2"/>
      <c r="F199" s="2"/>
      <c r="G199" s="5"/>
      <c r="H199" s="5"/>
      <c r="I199" s="4"/>
      <c r="J199" s="6" t="str">
        <f t="shared" si="10"/>
        <v/>
      </c>
      <c r="K199" s="4" t="str">
        <f t="shared" ca="1" si="11"/>
        <v/>
      </c>
      <c r="L199" s="7" t="str">
        <f>IF($H199="","",$H199-'[2]Read Me'!$B$4)</f>
        <v/>
      </c>
      <c r="M199" s="4" t="str">
        <f>IF($I199="Complete","Green",IF($H199="","Amber",IF($H199&lt;'[2]Read Me'!$B$4,"Red",IF($H199-'[2]Read Me'!$B$4&lt;=21,"Amber","Green"))))</f>
        <v>Amber</v>
      </c>
      <c r="N199" s="3"/>
      <c r="O199" t="str">
        <f>IF($I199&lt;&gt;"Complete",IF(COUNTIFS($A$4:$A198,$A199,$B$4:$B198,$B199,$I$4:$I198,"&lt;&gt;Complete")=0,$A199&amp;"|"&amp;$B199,""),"")</f>
        <v>|</v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/>
      <c r="B200" s="2"/>
      <c r="C200" s="3"/>
      <c r="D200" s="3"/>
      <c r="E200" s="2"/>
      <c r="F200" s="2"/>
      <c r="G200" s="5"/>
      <c r="H200" s="5"/>
      <c r="I200" s="4"/>
      <c r="J200" s="6" t="str">
        <f t="shared" si="10"/>
        <v/>
      </c>
      <c r="K200" s="4" t="str">
        <f t="shared" ca="1" si="11"/>
        <v/>
      </c>
      <c r="L200" s="7" t="str">
        <f>IF($H200="","",$H200-'[2]Read Me'!$B$4)</f>
        <v/>
      </c>
      <c r="M200" s="4" t="str">
        <f>IF($I200="Complete","Green",IF($H200="","Amber",IF($H200&lt;'[2]Read Me'!$B$4,"Red",IF($H200-'[2]Read Me'!$B$4&lt;=21,"Amber","Green"))))</f>
        <v>Amber</v>
      </c>
      <c r="N200" s="3"/>
      <c r="O200" t="str">
        <f>IF($I200&lt;&gt;"Complete",IF(COUNTIFS($A$4:$A199,$A200,$B$4:$B199,$B200,$I$4:$I199,"&lt;&gt;Complete")=0,$A200&amp;"|"&amp;$B200,""),"")</f>
        <v>|</v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/>
      <c r="B201" s="2"/>
      <c r="C201" s="3"/>
      <c r="D201" s="3"/>
      <c r="E201" s="2"/>
      <c r="F201" s="2"/>
      <c r="G201" s="5"/>
      <c r="H201" s="5"/>
      <c r="I201" s="4"/>
      <c r="J201" s="6" t="str">
        <f t="shared" si="10"/>
        <v/>
      </c>
      <c r="K201" s="4" t="str">
        <f t="shared" ca="1" si="11"/>
        <v/>
      </c>
      <c r="L201" s="7" t="str">
        <f>IF($H201="","",$H201-'[2]Read Me'!$B$4)</f>
        <v/>
      </c>
      <c r="M201" s="4" t="str">
        <f>IF($I201="Complete","Green",IF($H201="","Amber",IF($H201&lt;'[2]Read Me'!$B$4,"Red",IF($H201-'[2]Read Me'!$B$4&lt;=21,"Amber","Green"))))</f>
        <v>Amber</v>
      </c>
      <c r="N201" s="3"/>
      <c r="O201" t="str">
        <f>IF($I201&lt;&gt;"Complete",IF(COUNTIFS($A$4:$A200,$A201,$B$4:$B200,$B201,$I$4:$I200,"&lt;&gt;Complete")=0,$A201&amp;"|"&amp;$B201,""),"")</f>
        <v>|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/>
      <c r="B202" s="2"/>
      <c r="C202" s="3"/>
      <c r="D202" s="3"/>
      <c r="E202" s="2"/>
      <c r="F202" s="2"/>
      <c r="G202" s="5"/>
      <c r="H202" s="5"/>
      <c r="I202" s="4"/>
      <c r="J202" s="6" t="str">
        <f t="shared" si="10"/>
        <v/>
      </c>
      <c r="K202" s="4" t="str">
        <f t="shared" ca="1" si="11"/>
        <v/>
      </c>
      <c r="L202" s="7" t="str">
        <f>IF($H202="","",$H202-'[2]Read Me'!$B$4)</f>
        <v/>
      </c>
      <c r="M202" s="4" t="str">
        <f>IF($I202="Complete","Green",IF($H202="","Amber",IF($H202&lt;'[2]Read Me'!$B$4,"Red",IF($H202-'[2]Read Me'!$B$4&lt;=21,"Amber","Green"))))</f>
        <v>Amber</v>
      </c>
      <c r="N202" s="3"/>
      <c r="O202" t="str">
        <f>IF($I202&lt;&gt;"Complete",IF(COUNTIFS($A$4:$A201,$A202,$B$4:$B201,$B202,$I$4:$I201,"&lt;&gt;Complete")=0,$A202&amp;"|"&amp;$B202,""),"")</f>
        <v>|</v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/>
      <c r="B203" s="2"/>
      <c r="C203" s="3"/>
      <c r="D203" s="3"/>
      <c r="E203" s="2"/>
      <c r="F203" s="2"/>
      <c r="G203" s="5"/>
      <c r="H203" s="5"/>
      <c r="I203" s="4"/>
      <c r="J203" s="6" t="str">
        <f t="shared" si="10"/>
        <v/>
      </c>
      <c r="K203" s="4" t="str">
        <f t="shared" ca="1" si="11"/>
        <v/>
      </c>
      <c r="L203" s="7" t="str">
        <f>IF($H203="","",$H203-'[2]Read Me'!$B$4)</f>
        <v/>
      </c>
      <c r="M203" s="4" t="str">
        <f>IF($I203="Complete","Green",IF($H203="","Amber",IF($H203&lt;'[2]Read Me'!$B$4,"Red",IF($H203-'[2]Read Me'!$B$4&lt;=21,"Amber","Green"))))</f>
        <v>Amber</v>
      </c>
      <c r="N203" s="3"/>
      <c r="O203" t="str">
        <f>IF($I203&lt;&gt;"Complete",IF(COUNTIFS($A$4:$A202,$A203,$B$4:$B202,$B203,$I$4:$I202,"&lt;&gt;Complete")=0,$A203&amp;"|"&amp;$B203,""),"")</f>
        <v>|</v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/>
      <c r="B204" s="2"/>
      <c r="C204" s="3"/>
      <c r="D204" s="3"/>
      <c r="E204" s="2"/>
      <c r="F204" s="2"/>
      <c r="G204" s="5"/>
      <c r="H204" s="5"/>
      <c r="I204" s="4"/>
      <c r="J204" s="6" t="str">
        <f t="shared" si="10"/>
        <v/>
      </c>
      <c r="K204" s="4" t="str">
        <f t="shared" ca="1" si="11"/>
        <v/>
      </c>
      <c r="L204" s="7" t="str">
        <f>IF($H204="","",$H204-'[2]Read Me'!$B$4)</f>
        <v/>
      </c>
      <c r="M204" s="4" t="str">
        <f>IF($I204="Complete","Green",IF($H204="","Amber",IF($H204&lt;'[2]Read Me'!$B$4,"Red",IF($H204-'[2]Read Me'!$B$4&lt;=21,"Amber","Green"))))</f>
        <v>Amber</v>
      </c>
      <c r="N204" s="3"/>
      <c r="O204" t="str">
        <f>IF($I204&lt;&gt;"Complete",IF(COUNTIFS($A$4:$A203,$A204,$B$4:$B203,$B204,$I$4:$I203,"&lt;&gt;Complete")=0,$A204&amp;"|"&amp;$B204,""),"")</f>
        <v>|</v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/>
      <c r="B205" s="2"/>
      <c r="C205" s="3"/>
      <c r="D205" s="3"/>
      <c r="E205" s="2"/>
      <c r="F205" s="2"/>
      <c r="G205" s="5"/>
      <c r="H205" s="5"/>
      <c r="I205" s="4"/>
      <c r="J205" s="6" t="str">
        <f t="shared" si="10"/>
        <v/>
      </c>
      <c r="K205" s="4" t="str">
        <f t="shared" ca="1" si="11"/>
        <v/>
      </c>
      <c r="L205" s="7" t="str">
        <f>IF($H205="","",$H205-'[2]Read Me'!$B$4)</f>
        <v/>
      </c>
      <c r="M205" s="4" t="str">
        <f>IF($I205="Complete","Green",IF($H205="","Amber",IF($H205&lt;'[2]Read Me'!$B$4,"Red",IF($H205-'[2]Read Me'!$B$4&lt;=21,"Amber","Green"))))</f>
        <v>Amber</v>
      </c>
      <c r="N205" s="3"/>
      <c r="O205" t="str">
        <f>IF($I205&lt;&gt;"Complete",IF(COUNTIFS($A$4:$A204,$A205,$B$4:$B204,$B205,$I$4:$I204,"&lt;&gt;Complete")=0,$A205&amp;"|"&amp;$B205,""),"")</f>
        <v>|</v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/>
      <c r="B206" s="2"/>
      <c r="C206" s="3"/>
      <c r="D206" s="3"/>
      <c r="E206" s="2"/>
      <c r="F206" s="2"/>
      <c r="G206" s="5"/>
      <c r="H206" s="5"/>
      <c r="I206" s="4"/>
      <c r="J206" s="6" t="str">
        <f t="shared" si="10"/>
        <v/>
      </c>
      <c r="K206" s="4" t="str">
        <f t="shared" ca="1" si="11"/>
        <v/>
      </c>
      <c r="L206" s="7" t="str">
        <f>IF($H206="","",$H206-'[2]Read Me'!$B$4)</f>
        <v/>
      </c>
      <c r="M206" s="4" t="str">
        <f>IF($I206="Complete","Green",IF($H206="","Amber",IF($H206&lt;'[2]Read Me'!$B$4,"Red",IF($H206-'[2]Read Me'!$B$4&lt;=21,"Amber","Green"))))</f>
        <v>Amber</v>
      </c>
      <c r="N206" s="3"/>
      <c r="O206" t="str">
        <f>IF($I206&lt;&gt;"Complete",IF(COUNTIFS($A$4:$A205,$A206,$B$4:$B205,$B206,$I$4:$I205,"&lt;&gt;Complete")=0,$A206&amp;"|"&amp;$B206,""),"")</f>
        <v>|</v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/>
      <c r="B207" s="2"/>
      <c r="C207" s="3"/>
      <c r="D207" s="3"/>
      <c r="E207" s="2"/>
      <c r="F207" s="2"/>
      <c r="G207" s="5"/>
      <c r="H207" s="5"/>
      <c r="I207" s="4"/>
      <c r="J207" s="6" t="str">
        <f t="shared" si="10"/>
        <v/>
      </c>
      <c r="K207" s="4" t="str">
        <f t="shared" ca="1" si="11"/>
        <v/>
      </c>
      <c r="L207" s="7" t="str">
        <f>IF($H207="","",$H207-'[2]Read Me'!$B$4)</f>
        <v/>
      </c>
      <c r="M207" s="4" t="str">
        <f>IF($I207="Complete","Green",IF($H207="","Amber",IF($H207&lt;'[2]Read Me'!$B$4,"Red",IF($H207-'[2]Read Me'!$B$4&lt;=21,"Amber","Green"))))</f>
        <v>Amber</v>
      </c>
      <c r="N207" s="3"/>
      <c r="O207" t="str">
        <f>IF($I207&lt;&gt;"Complete",IF(COUNTIFS($A$4:$A206,$A207,$B$4:$B206,$B207,$I$4:$I206,"&lt;&gt;Complete")=0,$A207&amp;"|"&amp;$B207,""),"")</f>
        <v>|</v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/>
      <c r="B208" s="2"/>
      <c r="C208" s="3"/>
      <c r="D208" s="3"/>
      <c r="E208" s="2"/>
      <c r="F208" s="2"/>
      <c r="G208" s="5"/>
      <c r="H208" s="5"/>
      <c r="I208" s="4"/>
      <c r="J208" s="6" t="str">
        <f t="shared" si="10"/>
        <v/>
      </c>
      <c r="K208" s="4" t="str">
        <f t="shared" ca="1" si="11"/>
        <v/>
      </c>
      <c r="L208" s="7" t="str">
        <f>IF($H208="","",$H208-'[2]Read Me'!$B$4)</f>
        <v/>
      </c>
      <c r="M208" s="4" t="str">
        <f>IF($I208="Complete","Green",IF($H208="","Amber",IF($H208&lt;'[2]Read Me'!$B$4,"Red",IF($H208-'[2]Read Me'!$B$4&lt;=21,"Amber","Green"))))</f>
        <v>Amber</v>
      </c>
      <c r="N208" s="3"/>
      <c r="O208" t="str">
        <f>IF($I208&lt;&gt;"Complete",IF(COUNTIFS($A$4:$A207,$A208,$B$4:$B207,$B208,$I$4:$I207,"&lt;&gt;Complete")=0,$A208&amp;"|"&amp;$B208,""),"")</f>
        <v>|</v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/>
      <c r="B209" s="2"/>
      <c r="C209" s="3"/>
      <c r="D209" s="3"/>
      <c r="E209" s="2"/>
      <c r="F209" s="2"/>
      <c r="G209" s="5"/>
      <c r="H209" s="5"/>
      <c r="I209" s="4"/>
      <c r="J209" s="6" t="str">
        <f t="shared" si="10"/>
        <v/>
      </c>
      <c r="K209" s="4" t="str">
        <f t="shared" ca="1" si="11"/>
        <v/>
      </c>
      <c r="L209" s="7" t="str">
        <f>IF($H209="","",$H209-'[2]Read Me'!$B$4)</f>
        <v/>
      </c>
      <c r="M209" s="4" t="str">
        <f>IF($I209="Complete","Green",IF($H209="","Amber",IF($H209&lt;'[2]Read Me'!$B$4,"Red",IF($H209-'[2]Read Me'!$B$4&lt;=21,"Amber","Green"))))</f>
        <v>Amber</v>
      </c>
      <c r="N209" s="3"/>
      <c r="O209" t="str">
        <f>IF($I209&lt;&gt;"Complete",IF(COUNTIFS($A$4:$A208,$A209,$B$4:$B208,$B209,$I$4:$I208,"&lt;&gt;Complete")=0,$A209&amp;"|"&amp;$B209,""),"")</f>
        <v>|</v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/>
      <c r="B210" s="2"/>
      <c r="C210" s="3"/>
      <c r="D210" s="3"/>
      <c r="E210" s="2"/>
      <c r="F210" s="2"/>
      <c r="G210" s="5"/>
      <c r="H210" s="5"/>
      <c r="I210" s="4"/>
      <c r="J210" s="6" t="str">
        <f t="shared" si="10"/>
        <v/>
      </c>
      <c r="K210" s="4" t="str">
        <f t="shared" ca="1" si="11"/>
        <v/>
      </c>
      <c r="L210" s="7" t="str">
        <f>IF($H210="","",$H210-'[2]Read Me'!$B$4)</f>
        <v/>
      </c>
      <c r="M210" s="4" t="str">
        <f>IF($I210="Complete","Green",IF($H210="","Amber",IF($H210&lt;'[2]Read Me'!$B$4,"Red",IF($H210-'[2]Read Me'!$B$4&lt;=21,"Amber","Green"))))</f>
        <v>Amber</v>
      </c>
      <c r="N210" s="3"/>
      <c r="O210" t="str">
        <f>IF($I210&lt;&gt;"Complete",IF(COUNTIFS($A$4:$A209,$A210,$B$4:$B209,$B210,$I$4:$I209,"&lt;&gt;Complete")=0,$A210&amp;"|"&amp;$B210,""),"")</f>
        <v>|</v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/>
      <c r="B211" s="2"/>
      <c r="C211" s="3"/>
      <c r="D211" s="3"/>
      <c r="E211" s="2"/>
      <c r="F211" s="2"/>
      <c r="G211" s="5"/>
      <c r="H211" s="5"/>
      <c r="I211" s="4"/>
      <c r="J211" s="6" t="str">
        <f t="shared" si="10"/>
        <v/>
      </c>
      <c r="K211" s="4" t="str">
        <f t="shared" ca="1" si="11"/>
        <v/>
      </c>
      <c r="L211" s="7" t="str">
        <f>IF($H211="","",$H211-'[2]Read Me'!$B$4)</f>
        <v/>
      </c>
      <c r="M211" s="4" t="str">
        <f>IF($I211="Complete","Green",IF($H211="","Amber",IF($H211&lt;'[2]Read Me'!$B$4,"Red",IF($H211-'[2]Read Me'!$B$4&lt;=21,"Amber","Green"))))</f>
        <v>Amber</v>
      </c>
      <c r="N211" s="3"/>
      <c r="O211" t="str">
        <f>IF($I211&lt;&gt;"Complete",IF(COUNTIFS($A$4:$A210,$A211,$B$4:$B210,$B211,$I$4:$I210,"&lt;&gt;Complete")=0,$A211&amp;"|"&amp;$B211,""),"")</f>
        <v>|</v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/>
      <c r="B212" s="2"/>
      <c r="C212" s="3"/>
      <c r="D212" s="3"/>
      <c r="E212" s="2"/>
      <c r="F212" s="2"/>
      <c r="G212" s="5"/>
      <c r="H212" s="5"/>
      <c r="I212" s="4"/>
      <c r="J212" s="6" t="str">
        <f t="shared" si="10"/>
        <v/>
      </c>
      <c r="K212" s="4" t="str">
        <f t="shared" ca="1" si="11"/>
        <v/>
      </c>
      <c r="L212" s="7" t="str">
        <f>IF($H212="","",$H212-'[2]Read Me'!$B$4)</f>
        <v/>
      </c>
      <c r="M212" s="4" t="str">
        <f>IF($I212="Complete","Green",IF($H212="","Amber",IF($H212&lt;'[2]Read Me'!$B$4,"Red",IF($H212-'[2]Read Me'!$B$4&lt;=21,"Amber","Green"))))</f>
        <v>Amber</v>
      </c>
      <c r="N212" s="3"/>
      <c r="O212" t="str">
        <f>IF($I212&lt;&gt;"Complete",IF(COUNTIFS($A$4:$A211,$A212,$B$4:$B211,$B212,$I$4:$I211,"&lt;&gt;Complete")=0,$A212&amp;"|"&amp;$B212,""),"")</f>
        <v>|</v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/>
      <c r="B213" s="2"/>
      <c r="C213" s="3"/>
      <c r="D213" s="3"/>
      <c r="E213" s="2"/>
      <c r="F213" s="2"/>
      <c r="G213" s="5"/>
      <c r="H213" s="5"/>
      <c r="I213" s="4"/>
      <c r="J213" s="6" t="str">
        <f t="shared" si="10"/>
        <v/>
      </c>
      <c r="K213" s="4" t="str">
        <f t="shared" ca="1" si="11"/>
        <v/>
      </c>
      <c r="L213" s="7" t="str">
        <f>IF($H213="","",$H213-'[2]Read Me'!$B$4)</f>
        <v/>
      </c>
      <c r="M213" s="4" t="str">
        <f>IF($I213="Complete","Green",IF($H213="","Amber",IF($H213&lt;'[2]Read Me'!$B$4,"Red",IF($H213-'[2]Read Me'!$B$4&lt;=21,"Amber","Green"))))</f>
        <v>Amber</v>
      </c>
      <c r="N213" s="3"/>
      <c r="O213" t="str">
        <f>IF($I213&lt;&gt;"Complete",IF(COUNTIFS($A$4:$A212,$A213,$B$4:$B212,$B213,$I$4:$I212,"&lt;&gt;Complete")=0,$A213&amp;"|"&amp;$B213,""),"")</f>
        <v>|</v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/>
      <c r="B214" s="2"/>
      <c r="C214" s="3"/>
      <c r="D214" s="3"/>
      <c r="E214" s="2"/>
      <c r="F214" s="2"/>
      <c r="G214" s="5"/>
      <c r="H214" s="5"/>
      <c r="I214" s="4"/>
      <c r="J214" s="6" t="str">
        <f t="shared" si="10"/>
        <v/>
      </c>
      <c r="K214" s="4" t="str">
        <f t="shared" ca="1" si="11"/>
        <v/>
      </c>
      <c r="L214" s="7" t="str">
        <f>IF($H214="","",$H214-'[2]Read Me'!$B$4)</f>
        <v/>
      </c>
      <c r="M214" s="4" t="str">
        <f>IF($I214="Complete","Green",IF($H214="","Amber",IF($H214&lt;'[2]Read Me'!$B$4,"Red",IF($H214-'[2]Read Me'!$B$4&lt;=21,"Amber","Green"))))</f>
        <v>Amber</v>
      </c>
      <c r="N214" s="3"/>
      <c r="O214" t="str">
        <f>IF($I214&lt;&gt;"Complete",IF(COUNTIFS($A$4:$A213,$A214,$B$4:$B213,$B214,$I$4:$I213,"&lt;&gt;Complete")=0,$A214&amp;"|"&amp;$B214,""),"")</f>
        <v>|</v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/>
      <c r="B215" s="2"/>
      <c r="C215" s="3"/>
      <c r="D215" s="3"/>
      <c r="E215" s="2"/>
      <c r="F215" s="2"/>
      <c r="G215" s="5"/>
      <c r="H215" s="5"/>
      <c r="I215" s="4"/>
      <c r="J215" s="6" t="str">
        <f t="shared" si="10"/>
        <v/>
      </c>
      <c r="K215" s="4" t="str">
        <f t="shared" ca="1" si="11"/>
        <v/>
      </c>
      <c r="L215" s="7" t="str">
        <f>IF($H215="","",$H215-'[2]Read Me'!$B$4)</f>
        <v/>
      </c>
      <c r="M215" s="4" t="str">
        <f>IF($I215="Complete","Green",IF($H215="","Amber",IF($H215&lt;'[2]Read Me'!$B$4,"Red",IF($H215-'[2]Read Me'!$B$4&lt;=21,"Amber","Green"))))</f>
        <v>Amber</v>
      </c>
      <c r="N215" s="3"/>
      <c r="O215" t="str">
        <f>IF($I215&lt;&gt;"Complete",IF(COUNTIFS($A$4:$A214,$A215,$B$4:$B214,$B215,$I$4:$I214,"&lt;&gt;Complete")=0,$A215&amp;"|"&amp;$B215,""),"")</f>
        <v>|</v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/>
      <c r="B216" s="2"/>
      <c r="C216" s="3"/>
      <c r="D216" s="3"/>
      <c r="E216" s="2"/>
      <c r="F216" s="2"/>
      <c r="G216" s="5"/>
      <c r="H216" s="5"/>
      <c r="I216" s="4"/>
      <c r="J216" s="6" t="str">
        <f t="shared" si="10"/>
        <v/>
      </c>
      <c r="K216" s="4" t="str">
        <f t="shared" ca="1" si="11"/>
        <v/>
      </c>
      <c r="L216" s="7" t="str">
        <f>IF($H216="","",$H216-'[2]Read Me'!$B$4)</f>
        <v/>
      </c>
      <c r="M216" s="4" t="str">
        <f>IF($I216="Complete","Green",IF($H216="","Amber",IF($H216&lt;'[2]Read Me'!$B$4,"Red",IF($H216-'[2]Read Me'!$B$4&lt;=21,"Amber","Green"))))</f>
        <v>Amber</v>
      </c>
      <c r="N216" s="3"/>
      <c r="O216" t="str">
        <f>IF($I216&lt;&gt;"Complete",IF(COUNTIFS($A$4:$A215,$A216,$B$4:$B215,$B216,$I$4:$I215,"&lt;&gt;Complete")=0,$A216&amp;"|"&amp;$B216,""),"")</f>
        <v>|</v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/>
      <c r="B217" s="2"/>
      <c r="C217" s="3"/>
      <c r="D217" s="3"/>
      <c r="E217" s="2"/>
      <c r="F217" s="2"/>
      <c r="G217" s="5"/>
      <c r="H217" s="5"/>
      <c r="I217" s="4"/>
      <c r="J217" s="6" t="str">
        <f t="shared" si="10"/>
        <v/>
      </c>
      <c r="K217" s="4" t="str">
        <f t="shared" ca="1" si="11"/>
        <v/>
      </c>
      <c r="L217" s="7" t="str">
        <f>IF($H217="","",$H217-'[2]Read Me'!$B$4)</f>
        <v/>
      </c>
      <c r="M217" s="4" t="str">
        <f>IF($I217="Complete","Green",IF($H217="","Amber",IF($H217&lt;'[2]Read Me'!$B$4,"Red",IF($H217-'[2]Read Me'!$B$4&lt;=21,"Amber","Green"))))</f>
        <v>Amber</v>
      </c>
      <c r="N217" s="3"/>
      <c r="O217" t="str">
        <f>IF($I217&lt;&gt;"Complete",IF(COUNTIFS($A$4:$A216,$A217,$B$4:$B216,$B217,$I$4:$I216,"&lt;&gt;Complete")=0,$A217&amp;"|"&amp;$B217,""),"")</f>
        <v>|</v>
      </c>
      <c r="P217" t="str">
        <f ca="1">IF($K217="Yes",COUNTIFS($K$4:$K217,"Yes"),"")</f>
        <v/>
      </c>
      <c r="Q217">
        <f t="shared" ca="1" si="12"/>
        <v>0</v>
      </c>
      <c r="R217" t="str">
        <f ca="1">IF($Q217=1,SUM($Q$4:$Q217),"")</f>
        <v/>
      </c>
    </row>
    <row r="218" spans="1:18" ht="22.5" customHeight="1" x14ac:dyDescent="0.3">
      <c r="A218" s="2"/>
      <c r="B218" s="2"/>
      <c r="C218" s="3"/>
      <c r="D218" s="3"/>
      <c r="E218" s="2"/>
      <c r="F218" s="2"/>
      <c r="G218" s="5"/>
      <c r="H218" s="5"/>
      <c r="I218" s="4"/>
      <c r="J218" s="6" t="str">
        <f t="shared" si="10"/>
        <v/>
      </c>
      <c r="K218" s="4" t="str">
        <f t="shared" ca="1" si="11"/>
        <v/>
      </c>
      <c r="L218" s="7" t="str">
        <f>IF($H218="","",$H218-'[2]Read Me'!$B$4)</f>
        <v/>
      </c>
      <c r="M218" s="4" t="str">
        <f>IF($I218="Complete","Green",IF($H218="","Amber",IF($H218&lt;'[2]Read Me'!$B$4,"Red",IF($H218-'[2]Read Me'!$B$4&lt;=21,"Amber","Green"))))</f>
        <v>Amber</v>
      </c>
      <c r="N218" s="3"/>
      <c r="O218" t="str">
        <f>IF($I218&lt;&gt;"Complete",IF(COUNTIFS($A$4:$A217,$A218,$B$4:$B217,$B218,$I$4:$I217,"&lt;&gt;Complete")=0,$A218&amp;"|"&amp;$B218,""),"")</f>
        <v>|</v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/>
      <c r="B219" s="2"/>
      <c r="C219" s="3"/>
      <c r="D219" s="3"/>
      <c r="E219" s="2"/>
      <c r="F219" s="2"/>
      <c r="G219" s="5"/>
      <c r="H219" s="5"/>
      <c r="I219" s="4"/>
      <c r="J219" s="6" t="str">
        <f t="shared" si="10"/>
        <v/>
      </c>
      <c r="K219" s="4" t="str">
        <f t="shared" ca="1" si="11"/>
        <v/>
      </c>
      <c r="L219" s="7" t="str">
        <f>IF($H219="","",$H219-'[2]Read Me'!$B$4)</f>
        <v/>
      </c>
      <c r="M219" s="4" t="str">
        <f>IF($I219="Complete","Green",IF($H219="","Amber",IF($H219&lt;'[2]Read Me'!$B$4,"Red",IF($H219-'[2]Read Me'!$B$4&lt;=21,"Amber","Green"))))</f>
        <v>Amber</v>
      </c>
      <c r="N219" s="3"/>
      <c r="O219" t="str">
        <f>IF($I219&lt;&gt;"Complete",IF(COUNTIFS($A$4:$A218,$A219,$B$4:$B218,$B219,$I$4:$I218,"&lt;&gt;Complete")=0,$A219&amp;"|"&amp;$B219,""),"")</f>
        <v>|</v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/>
      <c r="B220" s="2"/>
      <c r="C220" s="3"/>
      <c r="D220" s="3"/>
      <c r="E220" s="2"/>
      <c r="F220" s="2"/>
      <c r="G220" s="5"/>
      <c r="H220" s="5"/>
      <c r="I220" s="4"/>
      <c r="J220" s="6" t="str">
        <f t="shared" si="10"/>
        <v/>
      </c>
      <c r="K220" s="4" t="str">
        <f t="shared" ca="1" si="11"/>
        <v/>
      </c>
      <c r="L220" s="7" t="str">
        <f>IF($H220="","",$H220-'[2]Read Me'!$B$4)</f>
        <v/>
      </c>
      <c r="M220" s="4" t="str">
        <f>IF($I220="Complete","Green",IF($H220="","Amber",IF($H220&lt;'[2]Read Me'!$B$4,"Red",IF($H220-'[2]Read Me'!$B$4&lt;=21,"Amber","Green"))))</f>
        <v>Amber</v>
      </c>
      <c r="N220" s="3"/>
      <c r="O220" t="str">
        <f>IF($I220&lt;&gt;"Complete",IF(COUNTIFS($A$4:$A219,$A220,$B$4:$B219,$B220,$I$4:$I219,"&lt;&gt;Complete")=0,$A220&amp;"|"&amp;$B220,""),"")</f>
        <v>|</v>
      </c>
      <c r="P220" t="str">
        <f ca="1">IF($K220="Yes",COUNTIFS($K$4:$K220,"Yes"),"")</f>
        <v/>
      </c>
      <c r="Q220">
        <f t="shared" ca="1" si="12"/>
        <v>0</v>
      </c>
      <c r="R220" t="str">
        <f ca="1">IF($Q220=1,SUM($Q$4:$Q220),"")</f>
        <v/>
      </c>
    </row>
    <row r="221" spans="1:18" ht="22.5" customHeight="1" x14ac:dyDescent="0.3">
      <c r="A221" s="2"/>
      <c r="B221" s="2"/>
      <c r="C221" s="3"/>
      <c r="D221" s="3"/>
      <c r="E221" s="2"/>
      <c r="F221" s="2"/>
      <c r="G221" s="5"/>
      <c r="H221" s="5"/>
      <c r="I221" s="4"/>
      <c r="J221" s="6" t="str">
        <f t="shared" si="10"/>
        <v/>
      </c>
      <c r="K221" s="4" t="str">
        <f t="shared" ca="1" si="11"/>
        <v/>
      </c>
      <c r="L221" s="7" t="str">
        <f>IF($H221="","",$H221-'[2]Read Me'!$B$4)</f>
        <v/>
      </c>
      <c r="M221" s="4" t="str">
        <f>IF($I221="Complete","Green",IF($H221="","Amber",IF($H221&lt;'[2]Read Me'!$B$4,"Red",IF($H221-'[2]Read Me'!$B$4&lt;=21,"Amber","Green"))))</f>
        <v>Amber</v>
      </c>
      <c r="N221" s="3"/>
      <c r="O221" t="str">
        <f>IF($I221&lt;&gt;"Complete",IF(COUNTIFS($A$4:$A220,$A221,$B$4:$B220,$B221,$I$4:$I220,"&lt;&gt;Complete")=0,$A221&amp;"|"&amp;$B221,""),"")</f>
        <v>|</v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/>
      <c r="B222" s="2"/>
      <c r="C222" s="3"/>
      <c r="D222" s="3"/>
      <c r="E222" s="2"/>
      <c r="F222" s="2"/>
      <c r="G222" s="5"/>
      <c r="H222" s="5"/>
      <c r="I222" s="4"/>
      <c r="J222" s="6" t="str">
        <f t="shared" si="10"/>
        <v/>
      </c>
      <c r="K222" s="4" t="str">
        <f t="shared" ca="1" si="11"/>
        <v/>
      </c>
      <c r="L222" s="7" t="str">
        <f>IF($H222="","",$H222-'[2]Read Me'!$B$4)</f>
        <v/>
      </c>
      <c r="M222" s="4" t="str">
        <f>IF($I222="Complete","Green",IF($H222="","Amber",IF($H222&lt;'[2]Read Me'!$B$4,"Red",IF($H222-'[2]Read Me'!$B$4&lt;=21,"Amber","Green"))))</f>
        <v>Amber</v>
      </c>
      <c r="N222" s="3"/>
      <c r="O222" t="str">
        <f>IF($I222&lt;&gt;"Complete",IF(COUNTIFS($A$4:$A221,$A222,$B$4:$B221,$B222,$I$4:$I221,"&lt;&gt;Complete")=0,$A222&amp;"|"&amp;$B222,""),"")</f>
        <v>|</v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/>
      <c r="B223" s="2"/>
      <c r="C223" s="3"/>
      <c r="D223" s="3"/>
      <c r="E223" s="2"/>
      <c r="F223" s="2"/>
      <c r="G223" s="5"/>
      <c r="H223" s="5"/>
      <c r="I223" s="4"/>
      <c r="J223" s="6" t="str">
        <f t="shared" si="10"/>
        <v/>
      </c>
      <c r="K223" s="4" t="str">
        <f t="shared" ca="1" si="11"/>
        <v/>
      </c>
      <c r="L223" s="7" t="str">
        <f>IF($H223="","",$H223-'[2]Read Me'!$B$4)</f>
        <v/>
      </c>
      <c r="M223" s="4" t="str">
        <f>IF($I223="Complete","Green",IF($H223="","Amber",IF($H223&lt;'[2]Read Me'!$B$4,"Red",IF($H223-'[2]Read Me'!$B$4&lt;=21,"Amber","Green"))))</f>
        <v>Amber</v>
      </c>
      <c r="N223" s="3"/>
      <c r="O223" t="str">
        <f>IF($I223&lt;&gt;"Complete",IF(COUNTIFS($A$4:$A222,$A223,$B$4:$B222,$B223,$I$4:$I222,"&lt;&gt;Complete")=0,$A223&amp;"|"&amp;$B223,""),"")</f>
        <v>|</v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/>
      <c r="B224" s="2"/>
      <c r="C224" s="3"/>
      <c r="D224" s="3"/>
      <c r="E224" s="2"/>
      <c r="F224" s="2"/>
      <c r="G224" s="5"/>
      <c r="H224" s="5"/>
      <c r="I224" s="4"/>
      <c r="J224" s="6" t="str">
        <f t="shared" si="10"/>
        <v/>
      </c>
      <c r="K224" s="4" t="str">
        <f t="shared" ca="1" si="11"/>
        <v/>
      </c>
      <c r="L224" s="7" t="str">
        <f>IF($H224="","",$H224-'[2]Read Me'!$B$4)</f>
        <v/>
      </c>
      <c r="M224" s="4" t="str">
        <f>IF($I224="Complete","Green",IF($H224="","Amber",IF($H224&lt;'[2]Read Me'!$B$4,"Red",IF($H224-'[2]Read Me'!$B$4&lt;=21,"Amber","Green"))))</f>
        <v>Amber</v>
      </c>
      <c r="N224" s="3"/>
      <c r="O224" t="str">
        <f>IF($I224&lt;&gt;"Complete",IF(COUNTIFS($A$4:$A223,$A224,$B$4:$B223,$B224,$I$4:$I223,"&lt;&gt;Complete")=0,$A224&amp;"|"&amp;$B224,""),"")</f>
        <v>|</v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/>
      <c r="B225" s="2"/>
      <c r="C225" s="3"/>
      <c r="D225" s="3"/>
      <c r="E225" s="2"/>
      <c r="F225" s="2"/>
      <c r="G225" s="5"/>
      <c r="H225" s="5"/>
      <c r="I225" s="4"/>
      <c r="J225" s="6" t="str">
        <f t="shared" si="10"/>
        <v/>
      </c>
      <c r="K225" s="4" t="str">
        <f t="shared" ca="1" si="11"/>
        <v/>
      </c>
      <c r="L225" s="7" t="str">
        <f>IF($H225="","",$H225-'[2]Read Me'!$B$4)</f>
        <v/>
      </c>
      <c r="M225" s="4" t="str">
        <f>IF($I225="Complete","Green",IF($H225="","Amber",IF($H225&lt;'[2]Read Me'!$B$4,"Red",IF($H225-'[2]Read Me'!$B$4&lt;=21,"Amber","Green"))))</f>
        <v>Amber</v>
      </c>
      <c r="N225" s="3"/>
      <c r="O225" t="str">
        <f>IF($I225&lt;&gt;"Complete",IF(COUNTIFS($A$4:$A224,$A225,$B$4:$B224,$B225,$I$4:$I224,"&lt;&gt;Complete")=0,$A225&amp;"|"&amp;$B225,""),"")</f>
        <v>|</v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/>
      <c r="B226" s="2"/>
      <c r="C226" s="3"/>
      <c r="D226" s="3"/>
      <c r="E226" s="2"/>
      <c r="F226" s="2"/>
      <c r="G226" s="5"/>
      <c r="H226" s="5"/>
      <c r="I226" s="4"/>
      <c r="J226" s="6" t="str">
        <f t="shared" si="10"/>
        <v/>
      </c>
      <c r="K226" s="4" t="str">
        <f t="shared" ca="1" si="11"/>
        <v/>
      </c>
      <c r="L226" s="7" t="str">
        <f>IF($H226="","",$H226-'[2]Read Me'!$B$4)</f>
        <v/>
      </c>
      <c r="M226" s="4" t="str">
        <f>IF($I226="Complete","Green",IF($H226="","Amber",IF($H226&lt;'[2]Read Me'!$B$4,"Red",IF($H226-'[2]Read Me'!$B$4&lt;=21,"Amber","Green"))))</f>
        <v>Amber</v>
      </c>
      <c r="N226" s="3"/>
      <c r="O226" t="str">
        <f>IF($I226&lt;&gt;"Complete",IF(COUNTIFS($A$4:$A225,$A226,$B$4:$B225,$B226,$I$4:$I225,"&lt;&gt;Complete")=0,$A226&amp;"|"&amp;$B226,""),"")</f>
        <v>|</v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/>
      <c r="B227" s="2"/>
      <c r="C227" s="3"/>
      <c r="D227" s="3"/>
      <c r="E227" s="2"/>
      <c r="F227" s="2"/>
      <c r="G227" s="5"/>
      <c r="H227" s="5"/>
      <c r="I227" s="4"/>
      <c r="J227" s="6" t="str">
        <f t="shared" si="10"/>
        <v/>
      </c>
      <c r="K227" s="4" t="str">
        <f t="shared" ca="1" si="11"/>
        <v/>
      </c>
      <c r="L227" s="7" t="str">
        <f>IF($H227="","",$H227-'[2]Read Me'!$B$4)</f>
        <v/>
      </c>
      <c r="M227" s="4" t="str">
        <f>IF($I227="Complete","Green",IF($H227="","Amber",IF($H227&lt;'[2]Read Me'!$B$4,"Red",IF($H227-'[2]Read Me'!$B$4&lt;=21,"Amber","Green"))))</f>
        <v>Amber</v>
      </c>
      <c r="N227" s="3"/>
      <c r="O227" t="str">
        <f>IF($I227&lt;&gt;"Complete",IF(COUNTIFS($A$4:$A226,$A227,$B$4:$B226,$B227,$I$4:$I226,"&lt;&gt;Complete")=0,$A227&amp;"|"&amp;$B227,""),"")</f>
        <v>|</v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/>
      <c r="B228" s="2"/>
      <c r="C228" s="3"/>
      <c r="D228" s="3"/>
      <c r="E228" s="2"/>
      <c r="F228" s="2"/>
      <c r="G228" s="5"/>
      <c r="H228" s="5"/>
      <c r="I228" s="4"/>
      <c r="J228" s="6" t="str">
        <f t="shared" si="10"/>
        <v/>
      </c>
      <c r="K228" s="4" t="str">
        <f t="shared" ca="1" si="11"/>
        <v/>
      </c>
      <c r="L228" s="7" t="str">
        <f>IF($H228="","",$H228-'[2]Read Me'!$B$4)</f>
        <v/>
      </c>
      <c r="M228" s="4" t="str">
        <f>IF($I228="Complete","Green",IF($H228="","Amber",IF($H228&lt;'[2]Read Me'!$B$4,"Red",IF($H228-'[2]Read Me'!$B$4&lt;=21,"Amber","Green"))))</f>
        <v>Amber</v>
      </c>
      <c r="N228" s="3"/>
      <c r="O228" t="str">
        <f>IF($I228&lt;&gt;"Complete",IF(COUNTIFS($A$4:$A227,$A228,$B$4:$B227,$B228,$I$4:$I227,"&lt;&gt;Complete")=0,$A228&amp;"|"&amp;$B228,""),"")</f>
        <v>|</v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/>
      <c r="B229" s="2"/>
      <c r="C229" s="3"/>
      <c r="D229" s="3"/>
      <c r="E229" s="2"/>
      <c r="F229" s="2"/>
      <c r="G229" s="5"/>
      <c r="H229" s="5"/>
      <c r="I229" s="4"/>
      <c r="J229" s="6" t="str">
        <f t="shared" si="10"/>
        <v/>
      </c>
      <c r="K229" s="4" t="str">
        <f t="shared" ca="1" si="11"/>
        <v/>
      </c>
      <c r="L229" s="7" t="str">
        <f>IF($H229="","",$H229-'[2]Read Me'!$B$4)</f>
        <v/>
      </c>
      <c r="M229" s="4" t="str">
        <f>IF($I229="Complete","Green",IF($H229="","Amber",IF($H229&lt;'[2]Read Me'!$B$4,"Red",IF($H229-'[2]Read Me'!$B$4&lt;=21,"Amber","Green"))))</f>
        <v>Amber</v>
      </c>
      <c r="N229" s="3"/>
      <c r="O229" t="str">
        <f>IF($I229&lt;&gt;"Complete",IF(COUNTIFS($A$4:$A228,$A229,$B$4:$B228,$B229,$I$4:$I228,"&lt;&gt;Complete")=0,$A229&amp;"|"&amp;$B229,""),"")</f>
        <v>|</v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/>
      <c r="B230" s="2"/>
      <c r="C230" s="3"/>
      <c r="D230" s="3"/>
      <c r="E230" s="2"/>
      <c r="F230" s="2"/>
      <c r="G230" s="5"/>
      <c r="H230" s="5"/>
      <c r="I230" s="4"/>
      <c r="J230" s="6" t="str">
        <f t="shared" si="10"/>
        <v/>
      </c>
      <c r="K230" s="4" t="str">
        <f t="shared" ca="1" si="11"/>
        <v/>
      </c>
      <c r="L230" s="7" t="str">
        <f>IF($H230="","",$H230-'[2]Read Me'!$B$4)</f>
        <v/>
      </c>
      <c r="M230" s="4" t="str">
        <f>IF($I230="Complete","Green",IF($H230="","Amber",IF($H230&lt;'[2]Read Me'!$B$4,"Red",IF($H230-'[2]Read Me'!$B$4&lt;=21,"Amber","Green"))))</f>
        <v>Amber</v>
      </c>
      <c r="N230" s="3"/>
      <c r="O230" t="str">
        <f>IF($I230&lt;&gt;"Complete",IF(COUNTIFS($A$4:$A229,$A230,$B$4:$B229,$B230,$I$4:$I229,"&lt;&gt;Complete")=0,$A230&amp;"|"&amp;$B230,""),"")</f>
        <v>|</v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/>
      <c r="B231" s="2"/>
      <c r="C231" s="3"/>
      <c r="D231" s="3"/>
      <c r="E231" s="2"/>
      <c r="F231" s="2"/>
      <c r="G231" s="5"/>
      <c r="H231" s="5"/>
      <c r="I231" s="4"/>
      <c r="J231" s="6" t="str">
        <f t="shared" si="10"/>
        <v/>
      </c>
      <c r="K231" s="4" t="str">
        <f t="shared" ca="1" si="11"/>
        <v/>
      </c>
      <c r="L231" s="7" t="str">
        <f>IF($H231="","",$H231-'[2]Read Me'!$B$4)</f>
        <v/>
      </c>
      <c r="M231" s="4" t="str">
        <f>IF($I231="Complete","Green",IF($H231="","Amber",IF($H231&lt;'[2]Read Me'!$B$4,"Red",IF($H231-'[2]Read Me'!$B$4&lt;=21,"Amber","Green"))))</f>
        <v>Amber</v>
      </c>
      <c r="N231" s="3"/>
      <c r="O231" t="str">
        <f>IF($I231&lt;&gt;"Complete",IF(COUNTIFS($A$4:$A230,$A231,$B$4:$B230,$B231,$I$4:$I230,"&lt;&gt;Complete")=0,$A231&amp;"|"&amp;$B231,""),"")</f>
        <v>|</v>
      </c>
      <c r="P231" t="str">
        <f ca="1">IF($K231="Yes",COUNTIFS($K$4:$K231,"Yes"),"")</f>
        <v/>
      </c>
      <c r="Q231">
        <f t="shared" ca="1" si="12"/>
        <v>0</v>
      </c>
      <c r="R231" t="str">
        <f ca="1">IF($Q231=1,SUM($Q$4:$Q231),"")</f>
        <v/>
      </c>
    </row>
    <row r="232" spans="1:18" ht="22.5" customHeight="1" x14ac:dyDescent="0.3">
      <c r="A232" s="2"/>
      <c r="B232" s="2"/>
      <c r="C232" s="3"/>
      <c r="D232" s="3"/>
      <c r="E232" s="2"/>
      <c r="F232" s="2"/>
      <c r="G232" s="5"/>
      <c r="H232" s="5"/>
      <c r="I232" s="4"/>
      <c r="J232" s="6" t="str">
        <f t="shared" si="10"/>
        <v/>
      </c>
      <c r="K232" s="4" t="str">
        <f t="shared" ca="1" si="11"/>
        <v/>
      </c>
      <c r="L232" s="7" t="str">
        <f>IF($H232="","",$H232-'[2]Read Me'!$B$4)</f>
        <v/>
      </c>
      <c r="M232" s="4" t="str">
        <f>IF($I232="Complete","Green",IF($H232="","Amber",IF($H232&lt;'[2]Read Me'!$B$4,"Red",IF($H232-'[2]Read Me'!$B$4&lt;=21,"Amber","Green"))))</f>
        <v>Amber</v>
      </c>
      <c r="N232" s="3"/>
      <c r="O232" t="str">
        <f>IF($I232&lt;&gt;"Complete",IF(COUNTIFS($A$4:$A231,$A232,$B$4:$B231,$B232,$I$4:$I231,"&lt;&gt;Complete")=0,$A232&amp;"|"&amp;$B232,""),"")</f>
        <v>|</v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/>
      <c r="B233" s="2"/>
      <c r="C233" s="3"/>
      <c r="D233" s="3"/>
      <c r="E233" s="2"/>
      <c r="F233" s="2"/>
      <c r="G233" s="5"/>
      <c r="H233" s="5"/>
      <c r="I233" s="4"/>
      <c r="J233" s="6" t="str">
        <f t="shared" si="10"/>
        <v/>
      </c>
      <c r="K233" s="4" t="str">
        <f t="shared" ca="1" si="11"/>
        <v/>
      </c>
      <c r="L233" s="7" t="str">
        <f>IF($H233="","",$H233-'[2]Read Me'!$B$4)</f>
        <v/>
      </c>
      <c r="M233" s="4" t="str">
        <f>IF($I233="Complete","Green",IF($H233="","Amber",IF($H233&lt;'[2]Read Me'!$B$4,"Red",IF($H233-'[2]Read Me'!$B$4&lt;=21,"Amber","Green"))))</f>
        <v>Amber</v>
      </c>
      <c r="N233" s="3"/>
      <c r="O233" t="str">
        <f>IF($I233&lt;&gt;"Complete",IF(COUNTIFS($A$4:$A232,$A233,$B$4:$B232,$B233,$I$4:$I232,"&lt;&gt;Complete")=0,$A233&amp;"|"&amp;$B233,""),"")</f>
        <v>|</v>
      </c>
      <c r="P233" t="str">
        <f ca="1">IF($K233="Yes",COUNTIFS($K$4:$K233,"Yes"),"")</f>
        <v/>
      </c>
      <c r="Q233">
        <f t="shared" ca="1" si="12"/>
        <v>0</v>
      </c>
      <c r="R233" t="str">
        <f ca="1">IF($Q233=1,SUM($Q$4:$Q233),"")</f>
        <v/>
      </c>
    </row>
    <row r="234" spans="1:18" ht="22.5" customHeight="1" x14ac:dyDescent="0.3">
      <c r="A234" s="2"/>
      <c r="B234" s="2"/>
      <c r="C234" s="3"/>
      <c r="D234" s="3"/>
      <c r="E234" s="2"/>
      <c r="F234" s="2"/>
      <c r="G234" s="5"/>
      <c r="H234" s="5"/>
      <c r="I234" s="4"/>
      <c r="J234" s="6" t="str">
        <f t="shared" si="10"/>
        <v/>
      </c>
      <c r="K234" s="4" t="str">
        <f t="shared" ca="1" si="11"/>
        <v/>
      </c>
      <c r="L234" s="7" t="str">
        <f>IF($H234="","",$H234-'[2]Read Me'!$B$4)</f>
        <v/>
      </c>
      <c r="M234" s="4" t="str">
        <f>IF($I234="Complete","Green",IF($H234="","Amber",IF($H234&lt;'[2]Read Me'!$B$4,"Red",IF($H234-'[2]Read Me'!$B$4&lt;=21,"Amber","Green"))))</f>
        <v>Amber</v>
      </c>
      <c r="N234" s="3"/>
      <c r="O234" t="str">
        <f>IF($I234&lt;&gt;"Complete",IF(COUNTIFS($A$4:$A233,$A234,$B$4:$B233,$B234,$I$4:$I233,"&lt;&gt;Complete")=0,$A234&amp;"|"&amp;$B234,""),"")</f>
        <v>|</v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/>
      <c r="B235" s="2"/>
      <c r="C235" s="3"/>
      <c r="D235" s="3"/>
      <c r="E235" s="2"/>
      <c r="F235" s="2"/>
      <c r="G235" s="5"/>
      <c r="H235" s="5"/>
      <c r="I235" s="4"/>
      <c r="J235" s="6" t="str">
        <f t="shared" si="10"/>
        <v/>
      </c>
      <c r="K235" s="4" t="str">
        <f t="shared" ca="1" si="11"/>
        <v/>
      </c>
      <c r="L235" s="7" t="str">
        <f>IF($H235="","",$H235-'[2]Read Me'!$B$4)</f>
        <v/>
      </c>
      <c r="M235" s="4" t="str">
        <f>IF($I235="Complete","Green",IF($H235="","Amber",IF($H235&lt;'[2]Read Me'!$B$4,"Red",IF($H235-'[2]Read Me'!$B$4&lt;=21,"Amber","Green"))))</f>
        <v>Amber</v>
      </c>
      <c r="N235" s="3"/>
      <c r="O235" t="str">
        <f>IF($I235&lt;&gt;"Complete",IF(COUNTIFS($A$4:$A234,$A235,$B$4:$B234,$B235,$I$4:$I234,"&lt;&gt;Complete")=0,$A235&amp;"|"&amp;$B235,""),"")</f>
        <v>|</v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/>
      <c r="B236" s="2"/>
      <c r="C236" s="3"/>
      <c r="D236" s="3"/>
      <c r="E236" s="2"/>
      <c r="F236" s="2"/>
      <c r="G236" s="5"/>
      <c r="H236" s="5"/>
      <c r="I236" s="4"/>
      <c r="J236" s="6" t="str">
        <f t="shared" si="10"/>
        <v/>
      </c>
      <c r="K236" s="4" t="str">
        <f t="shared" ca="1" si="11"/>
        <v/>
      </c>
      <c r="L236" s="7" t="str">
        <f>IF($H236="","",$H236-'[2]Read Me'!$B$4)</f>
        <v/>
      </c>
      <c r="M236" s="4" t="str">
        <f>IF($I236="Complete","Green",IF($H236="","Amber",IF($H236&lt;'[2]Read Me'!$B$4,"Red",IF($H236-'[2]Read Me'!$B$4&lt;=21,"Amber","Green"))))</f>
        <v>Amber</v>
      </c>
      <c r="N236" s="3"/>
      <c r="O236" t="str">
        <f>IF($I236&lt;&gt;"Complete",IF(COUNTIFS($A$4:$A235,$A236,$B$4:$B235,$B236,$I$4:$I235,"&lt;&gt;Complete")=0,$A236&amp;"|"&amp;$B236,""),"")</f>
        <v>|</v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/>
      <c r="B237" s="2"/>
      <c r="C237" s="3"/>
      <c r="D237" s="3"/>
      <c r="E237" s="2"/>
      <c r="F237" s="2"/>
      <c r="G237" s="5"/>
      <c r="H237" s="5"/>
      <c r="I237" s="4"/>
      <c r="J237" s="6" t="str">
        <f t="shared" si="10"/>
        <v/>
      </c>
      <c r="K237" s="4" t="str">
        <f t="shared" ca="1" si="11"/>
        <v/>
      </c>
      <c r="L237" s="7" t="str">
        <f>IF($H237="","",$H237-'[2]Read Me'!$B$4)</f>
        <v/>
      </c>
      <c r="M237" s="4" t="str">
        <f>IF($I237="Complete","Green",IF($H237="","Amber",IF($H237&lt;'[2]Read Me'!$B$4,"Red",IF($H237-'[2]Read Me'!$B$4&lt;=21,"Amber","Green"))))</f>
        <v>Amber</v>
      </c>
      <c r="N237" s="3"/>
      <c r="O237" t="str">
        <f>IF($I237&lt;&gt;"Complete",IF(COUNTIFS($A$4:$A236,$A237,$B$4:$B236,$B237,$I$4:$I236,"&lt;&gt;Complete")=0,$A237&amp;"|"&amp;$B237,""),"")</f>
        <v>|</v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/>
      <c r="B238" s="2"/>
      <c r="C238" s="3"/>
      <c r="D238" s="3"/>
      <c r="E238" s="2"/>
      <c r="F238" s="2"/>
      <c r="G238" s="5"/>
      <c r="H238" s="5"/>
      <c r="I238" s="4"/>
      <c r="J238" s="6" t="str">
        <f t="shared" si="10"/>
        <v/>
      </c>
      <c r="K238" s="4" t="str">
        <f t="shared" ca="1" si="11"/>
        <v/>
      </c>
      <c r="L238" s="7" t="str">
        <f>IF($H238="","",$H238-'[2]Read Me'!$B$4)</f>
        <v/>
      </c>
      <c r="M238" s="4" t="str">
        <f>IF($I238="Complete","Green",IF($H238="","Amber",IF($H238&lt;'[2]Read Me'!$B$4,"Red",IF($H238-'[2]Read Me'!$B$4&lt;=21,"Amber","Green"))))</f>
        <v>Amber</v>
      </c>
      <c r="N238" s="3"/>
      <c r="O238" t="str">
        <f>IF($I238&lt;&gt;"Complete",IF(COUNTIFS($A$4:$A237,$A238,$B$4:$B237,$B238,$I$4:$I237,"&lt;&gt;Complete")=0,$A238&amp;"|"&amp;$B238,""),"")</f>
        <v>|</v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/>
      <c r="B239" s="2"/>
      <c r="C239" s="3"/>
      <c r="D239" s="3"/>
      <c r="E239" s="2"/>
      <c r="F239" s="2"/>
      <c r="G239" s="5"/>
      <c r="H239" s="5"/>
      <c r="I239" s="4"/>
      <c r="J239" s="6" t="str">
        <f t="shared" si="10"/>
        <v/>
      </c>
      <c r="K239" s="4" t="str">
        <f t="shared" ca="1" si="11"/>
        <v/>
      </c>
      <c r="L239" s="7" t="str">
        <f>IF($H239="","",$H239-'[2]Read Me'!$B$4)</f>
        <v/>
      </c>
      <c r="M239" s="4" t="str">
        <f>IF($I239="Complete","Green",IF($H239="","Amber",IF($H239&lt;'[2]Read Me'!$B$4,"Red",IF($H239-'[2]Read Me'!$B$4&lt;=21,"Amber","Green"))))</f>
        <v>Amber</v>
      </c>
      <c r="N239" s="3"/>
      <c r="O239" t="str">
        <f>IF($I239&lt;&gt;"Complete",IF(COUNTIFS($A$4:$A238,$A239,$B$4:$B238,$B239,$I$4:$I238,"&lt;&gt;Complete")=0,$A239&amp;"|"&amp;$B239,""),"")</f>
        <v>|</v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/>
      <c r="B240" s="2"/>
      <c r="C240" s="3"/>
      <c r="D240" s="3"/>
      <c r="E240" s="2"/>
      <c r="F240" s="2"/>
      <c r="G240" s="5"/>
      <c r="H240" s="5"/>
      <c r="I240" s="4"/>
      <c r="J240" s="6" t="str">
        <f t="shared" si="10"/>
        <v/>
      </c>
      <c r="K240" s="4" t="str">
        <f t="shared" ca="1" si="11"/>
        <v/>
      </c>
      <c r="L240" s="7" t="str">
        <f>IF($H240="","",$H240-'[2]Read Me'!$B$4)</f>
        <v/>
      </c>
      <c r="M240" s="4" t="str">
        <f>IF($I240="Complete","Green",IF($H240="","Amber",IF($H240&lt;'[2]Read Me'!$B$4,"Red",IF($H240-'[2]Read Me'!$B$4&lt;=21,"Amber","Green"))))</f>
        <v>Amber</v>
      </c>
      <c r="N240" s="3"/>
      <c r="O240" t="str">
        <f>IF($I240&lt;&gt;"Complete",IF(COUNTIFS($A$4:$A239,$A240,$B$4:$B239,$B240,$I$4:$I239,"&lt;&gt;Complete")=0,$A240&amp;"|"&amp;$B240,""),"")</f>
        <v>|</v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/>
      <c r="B241" s="2"/>
      <c r="C241" s="3"/>
      <c r="D241" s="3"/>
      <c r="E241" s="2"/>
      <c r="F241" s="2"/>
      <c r="G241" s="5"/>
      <c r="H241" s="5"/>
      <c r="I241" s="4"/>
      <c r="J241" s="6" t="str">
        <f t="shared" si="10"/>
        <v/>
      </c>
      <c r="K241" s="4" t="str">
        <f t="shared" ca="1" si="11"/>
        <v/>
      </c>
      <c r="L241" s="7" t="str">
        <f>IF($H241="","",$H241-'[2]Read Me'!$B$4)</f>
        <v/>
      </c>
      <c r="M241" s="4" t="str">
        <f>IF($I241="Complete","Green",IF($H241="","Amber",IF($H241&lt;'[2]Read Me'!$B$4,"Red",IF($H241-'[2]Read Me'!$B$4&lt;=21,"Amber","Green"))))</f>
        <v>Amber</v>
      </c>
      <c r="N241" s="3"/>
      <c r="O241" t="str">
        <f>IF($I241&lt;&gt;"Complete",IF(COUNTIFS($A$4:$A240,$A241,$B$4:$B240,$B241,$I$4:$I240,"&lt;&gt;Complete")=0,$A241&amp;"|"&amp;$B241,""),"")</f>
        <v>|</v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/>
      <c r="B242" s="2"/>
      <c r="C242" s="3"/>
      <c r="D242" s="3"/>
      <c r="E242" s="2"/>
      <c r="F242" s="2"/>
      <c r="G242" s="5"/>
      <c r="H242" s="5"/>
      <c r="I242" s="4"/>
      <c r="J242" s="6" t="str">
        <f t="shared" si="10"/>
        <v/>
      </c>
      <c r="K242" s="4" t="str">
        <f t="shared" ca="1" si="11"/>
        <v/>
      </c>
      <c r="L242" s="7" t="str">
        <f>IF($H242="","",$H242-'[2]Read Me'!$B$4)</f>
        <v/>
      </c>
      <c r="M242" s="4" t="str">
        <f>IF($I242="Complete","Green",IF($H242="","Amber",IF($H242&lt;'[2]Read Me'!$B$4,"Red",IF($H242-'[2]Read Me'!$B$4&lt;=21,"Amber","Green"))))</f>
        <v>Amber</v>
      </c>
      <c r="N242" s="3"/>
      <c r="O242" t="str">
        <f>IF($I242&lt;&gt;"Complete",IF(COUNTIFS($A$4:$A241,$A242,$B$4:$B241,$B242,$I$4:$I241,"&lt;&gt;Complete")=0,$A242&amp;"|"&amp;$B242,""),"")</f>
        <v>|</v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/>
      <c r="B243" s="2"/>
      <c r="C243" s="3"/>
      <c r="D243" s="3"/>
      <c r="E243" s="2"/>
      <c r="F243" s="2"/>
      <c r="G243" s="5"/>
      <c r="H243" s="5"/>
      <c r="I243" s="4"/>
      <c r="J243" s="6" t="str">
        <f t="shared" si="10"/>
        <v/>
      </c>
      <c r="K243" s="4" t="str">
        <f t="shared" ca="1" si="11"/>
        <v/>
      </c>
      <c r="L243" s="7" t="str">
        <f>IF($H243="","",$H243-'[2]Read Me'!$B$4)</f>
        <v/>
      </c>
      <c r="M243" s="4" t="str">
        <f>IF($I243="Complete","Green",IF($H243="","Amber",IF($H243&lt;'[2]Read Me'!$B$4,"Red",IF($H243-'[2]Read Me'!$B$4&lt;=21,"Amber","Green"))))</f>
        <v>Amber</v>
      </c>
      <c r="N243" s="3"/>
      <c r="O243" t="str">
        <f>IF($I243&lt;&gt;"Complete",IF(COUNTIFS($A$4:$A242,$A243,$B$4:$B242,$B243,$I$4:$I242,"&lt;&gt;Complete")=0,$A243&amp;"|"&amp;$B243,""),"")</f>
        <v>|</v>
      </c>
      <c r="P243" t="str">
        <f ca="1">IF($K243="Yes",COUNTIFS($K$4:$K243,"Yes"),"")</f>
        <v/>
      </c>
      <c r="Q243">
        <f t="shared" ca="1" si="12"/>
        <v>0</v>
      </c>
      <c r="R243" t="str">
        <f ca="1">IF($Q243=1,SUM($Q$4:$Q243),"")</f>
        <v/>
      </c>
    </row>
    <row r="244" spans="1:18" ht="22.5" customHeight="1" x14ac:dyDescent="0.3">
      <c r="A244" s="2"/>
      <c r="B244" s="2"/>
      <c r="C244" s="3"/>
      <c r="D244" s="3"/>
      <c r="E244" s="2"/>
      <c r="F244" s="2"/>
      <c r="G244" s="5"/>
      <c r="H244" s="5"/>
      <c r="I244" s="4"/>
      <c r="J244" s="6" t="str">
        <f t="shared" si="10"/>
        <v/>
      </c>
      <c r="K244" s="4" t="str">
        <f t="shared" ref="K244:K264" ca="1" si="13">IF($H244="","",IF($H244&gt;TODAY(),"No","Yes"))</f>
        <v/>
      </c>
      <c r="L244" s="7" t="str">
        <f>IF($H244="","",$H244-'[2]Read Me'!$B$4)</f>
        <v/>
      </c>
      <c r="M244" s="4" t="str">
        <f>IF($I244="Complete","Green",IF($H244="","Amber",IF($H244&lt;'[2]Read Me'!$B$4,"Red",IF($H244-'[2]Read Me'!$B$4&lt;=21,"Amber","Green"))))</f>
        <v>Amber</v>
      </c>
      <c r="N244" s="3"/>
      <c r="O244" t="str">
        <f>IF($I244&lt;&gt;"Complete",IF(COUNTIFS($A$4:$A243,$A244,$B$4:$B243,$B244,$I$4:$I243,"&lt;&gt;Complete")=0,$A244&amp;"|"&amp;$B244,""),"")</f>
        <v>|</v>
      </c>
      <c r="P244" t="str">
        <f ca="1">IF($K244="Yes",COUNTIFS($K$4:$K244,"Yes"),"")</f>
        <v/>
      </c>
      <c r="Q244">
        <f t="shared" ca="1" si="12"/>
        <v>0</v>
      </c>
      <c r="R244" t="str">
        <f ca="1">IF($Q244=1,SUM($Q$4:$Q244),"")</f>
        <v/>
      </c>
    </row>
    <row r="245" spans="1:18" ht="22.5" customHeight="1" x14ac:dyDescent="0.3">
      <c r="A245" s="2"/>
      <c r="B245" s="2"/>
      <c r="C245" s="3"/>
      <c r="D245" s="3"/>
      <c r="E245" s="2"/>
      <c r="F245" s="2"/>
      <c r="G245" s="5"/>
      <c r="H245" s="5"/>
      <c r="I245" s="4"/>
      <c r="J245" s="6" t="str">
        <f t="shared" si="10"/>
        <v/>
      </c>
      <c r="K245" s="4" t="str">
        <f t="shared" ca="1" si="13"/>
        <v/>
      </c>
      <c r="L245" s="7" t="str">
        <f>IF($H245="","",$H245-'[2]Read Me'!$B$4)</f>
        <v/>
      </c>
      <c r="M245" s="4" t="str">
        <f>IF($I245="Complete","Green",IF($H245="","Amber",IF($H245&lt;'[2]Read Me'!$B$4,"Red",IF($H245-'[2]Read Me'!$B$4&lt;=21,"Amber","Green"))))</f>
        <v>Amber</v>
      </c>
      <c r="N245" s="3"/>
      <c r="O245" t="str">
        <f>IF($I245&lt;&gt;"Complete",IF(COUNTIFS($A$4:$A244,$A245,$B$4:$B244,$B245,$I$4:$I244,"&lt;&gt;Complete")=0,$A245&amp;"|"&amp;$B245,""),"")</f>
        <v>|</v>
      </c>
      <c r="P245" t="str">
        <f ca="1">IF($K245="Yes",COUNTIFS($K$4:$K245,"Yes"),"")</f>
        <v/>
      </c>
      <c r="Q245">
        <f t="shared" ca="1" si="12"/>
        <v>0</v>
      </c>
      <c r="R245" t="str">
        <f ca="1">IF($Q245=1,SUM($Q$4:$Q245),"")</f>
        <v/>
      </c>
    </row>
    <row r="246" spans="1:18" ht="22.5" customHeight="1" x14ac:dyDescent="0.3">
      <c r="A246" s="2"/>
      <c r="B246" s="2"/>
      <c r="C246" s="3"/>
      <c r="D246" s="3"/>
      <c r="E246" s="2"/>
      <c r="F246" s="2"/>
      <c r="G246" s="5"/>
      <c r="H246" s="5"/>
      <c r="I246" s="4"/>
      <c r="J246" s="6" t="str">
        <f t="shared" si="10"/>
        <v/>
      </c>
      <c r="K246" s="4" t="str">
        <f t="shared" ca="1" si="13"/>
        <v/>
      </c>
      <c r="L246" s="7" t="str">
        <f>IF($H246="","",$H246-'[2]Read Me'!$B$4)</f>
        <v/>
      </c>
      <c r="M246" s="4" t="str">
        <f>IF($I246="Complete","Green",IF($H246="","Amber",IF($H246&lt;'[2]Read Me'!$B$4,"Red",IF($H246-'[2]Read Me'!$B$4&lt;=21,"Amber","Green"))))</f>
        <v>Amber</v>
      </c>
      <c r="N246" s="3"/>
      <c r="O246" t="str">
        <f>IF($I246&lt;&gt;"Complete",IF(COUNTIFS($A$4:$A245,$A246,$B$4:$B245,$B246,$I$4:$I245,"&lt;&gt;Complete")=0,$A246&amp;"|"&amp;$B246,""),"")</f>
        <v>|</v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/>
      <c r="B247" s="2"/>
      <c r="C247" s="3"/>
      <c r="D247" s="3"/>
      <c r="E247" s="2"/>
      <c r="F247" s="2"/>
      <c r="G247" s="5"/>
      <c r="H247" s="5"/>
      <c r="I247" s="4"/>
      <c r="J247" s="6" t="str">
        <f t="shared" si="10"/>
        <v/>
      </c>
      <c r="K247" s="4" t="str">
        <f t="shared" ca="1" si="13"/>
        <v/>
      </c>
      <c r="L247" s="7" t="str">
        <f>IF($H247="","",$H247-'[2]Read Me'!$B$4)</f>
        <v/>
      </c>
      <c r="M247" s="4" t="str">
        <f>IF($I247="Complete","Green",IF($H247="","Amber",IF($H247&lt;'[2]Read Me'!$B$4,"Red",IF($H247-'[2]Read Me'!$B$4&lt;=21,"Amber","Green"))))</f>
        <v>Amber</v>
      </c>
      <c r="N247" s="3"/>
      <c r="O247" t="str">
        <f>IF($I247&lt;&gt;"Complete",IF(COUNTIFS($A$4:$A246,$A247,$B$4:$B246,$B247,$I$4:$I246,"&lt;&gt;Complete")=0,$A247&amp;"|"&amp;$B247,""),"")</f>
        <v>|</v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/>
      <c r="B248" s="2"/>
      <c r="C248" s="3"/>
      <c r="D248" s="3"/>
      <c r="E248" s="2"/>
      <c r="F248" s="2"/>
      <c r="G248" s="5"/>
      <c r="H248" s="5"/>
      <c r="I248" s="4"/>
      <c r="J248" s="6" t="str">
        <f t="shared" si="10"/>
        <v/>
      </c>
      <c r="K248" s="4" t="str">
        <f t="shared" ca="1" si="13"/>
        <v/>
      </c>
      <c r="L248" s="7" t="str">
        <f>IF($H248="","",$H248-'[2]Read Me'!$B$4)</f>
        <v/>
      </c>
      <c r="M248" s="4" t="str">
        <f>IF($I248="Complete","Green",IF($H248="","Amber",IF($H248&lt;'[2]Read Me'!$B$4,"Red",IF($H248-'[2]Read Me'!$B$4&lt;=21,"Amber","Green"))))</f>
        <v>Amber</v>
      </c>
      <c r="N248" s="3"/>
      <c r="O248" t="str">
        <f>IF($I248&lt;&gt;"Complete",IF(COUNTIFS($A$4:$A247,$A248,$B$4:$B247,$B248,$I$4:$I247,"&lt;&gt;Complete")=0,$A248&amp;"|"&amp;$B248,""),"")</f>
        <v>|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/>
      <c r="B249" s="2"/>
      <c r="C249" s="3"/>
      <c r="D249" s="3"/>
      <c r="E249" s="2"/>
      <c r="F249" s="2"/>
      <c r="G249" s="5"/>
      <c r="H249" s="5"/>
      <c r="I249" s="4"/>
      <c r="J249" s="6" t="str">
        <f t="shared" si="10"/>
        <v/>
      </c>
      <c r="K249" s="4" t="str">
        <f t="shared" ca="1" si="13"/>
        <v/>
      </c>
      <c r="L249" s="7" t="str">
        <f>IF($H249="","",$H249-'[2]Read Me'!$B$4)</f>
        <v/>
      </c>
      <c r="M249" s="4" t="str">
        <f>IF($I249="Complete","Green",IF($H249="","Amber",IF($H249&lt;'[2]Read Me'!$B$4,"Red",IF($H249-'[2]Read Me'!$B$4&lt;=21,"Amber","Green"))))</f>
        <v>Amber</v>
      </c>
      <c r="N249" s="3"/>
      <c r="O249" t="str">
        <f>IF($I249&lt;&gt;"Complete",IF(COUNTIFS($A$4:$A248,$A249,$B$4:$B248,$B249,$I$4:$I248,"&lt;&gt;Complete")=0,$A249&amp;"|"&amp;$B249,""),"")</f>
        <v>|</v>
      </c>
      <c r="P249" t="str">
        <f ca="1">IF($K249="Yes",COUNTIFS($K$4:$K249,"Yes"),"")</f>
        <v/>
      </c>
      <c r="Q249">
        <f t="shared" ca="1" si="12"/>
        <v>0</v>
      </c>
      <c r="R249" t="str">
        <f ca="1">IF($Q249=1,SUM($Q$4:$Q249),"")</f>
        <v/>
      </c>
    </row>
    <row r="250" spans="1:18" ht="22.5" customHeight="1" x14ac:dyDescent="0.3">
      <c r="A250" s="2"/>
      <c r="B250" s="2"/>
      <c r="C250" s="3"/>
      <c r="D250" s="3"/>
      <c r="E250" s="2"/>
      <c r="F250" s="2"/>
      <c r="G250" s="5"/>
      <c r="H250" s="5"/>
      <c r="I250" s="4"/>
      <c r="J250" s="6" t="str">
        <f t="shared" si="10"/>
        <v/>
      </c>
      <c r="K250" s="4" t="str">
        <f t="shared" ca="1" si="13"/>
        <v/>
      </c>
      <c r="L250" s="7" t="str">
        <f>IF($H250="","",$H250-'[2]Read Me'!$B$4)</f>
        <v/>
      </c>
      <c r="M250" s="4" t="str">
        <f>IF($I250="Complete","Green",IF($H250="","Amber",IF($H250&lt;'[2]Read Me'!$B$4,"Red",IF($H250-'[2]Read Me'!$B$4&lt;=21,"Amber","Green"))))</f>
        <v>Amber</v>
      </c>
      <c r="N250" s="8"/>
      <c r="O250" t="str">
        <f>IF($I250&lt;&gt;"Complete",IF(COUNTIFS($A$4:$A249,$A250,$B$4:$B249,$B250,$I$4:$I249,"&lt;&gt;Complete")=0,$A250&amp;"|"&amp;$B250,""),"")</f>
        <v>|</v>
      </c>
      <c r="P250" t="str">
        <f ca="1">IF($K250="Yes",COUNTIFS($K$4:$K250,"Yes"),"")</f>
        <v/>
      </c>
      <c r="Q250">
        <f t="shared" ca="1" si="12"/>
        <v>0</v>
      </c>
      <c r="R250" t="str">
        <f ca="1">IF($Q250=1,SUM($Q$4:$Q250),"")</f>
        <v/>
      </c>
    </row>
    <row r="251" spans="1:18" ht="22.5" customHeight="1" x14ac:dyDescent="0.3">
      <c r="A251" s="2"/>
      <c r="B251" s="2"/>
      <c r="C251" s="3"/>
      <c r="D251" s="3"/>
      <c r="E251" s="2"/>
      <c r="F251" s="2"/>
      <c r="G251" s="5"/>
      <c r="H251" s="5"/>
      <c r="I251" s="4"/>
      <c r="J251" s="6" t="str">
        <f t="shared" si="10"/>
        <v/>
      </c>
      <c r="K251" s="4" t="str">
        <f t="shared" ca="1" si="13"/>
        <v/>
      </c>
      <c r="L251" s="7" t="str">
        <f>IF($H251="","",$H251-'[2]Read Me'!$B$4)</f>
        <v/>
      </c>
      <c r="M251" s="4" t="str">
        <f>IF($I251="Complete","Green",IF($H251="","Amber",IF($H251&lt;'[2]Read Me'!$B$4,"Red",IF($H251-'[2]Read Me'!$B$4&lt;=21,"Amber","Green"))))</f>
        <v>Amber</v>
      </c>
      <c r="N251" s="3"/>
      <c r="O251" t="str">
        <f>IF($I251&lt;&gt;"Complete",IF(COUNTIFS($A$4:$A250,$A251,$B$4:$B250,$B251,$I$4:$I250,"&lt;&gt;Complete")=0,$A251&amp;"|"&amp;$B251,""),"")</f>
        <v>|</v>
      </c>
      <c r="P251" t="str">
        <f ca="1">IF($K251="Yes",COUNTIFS($K$4:$K251,"Yes"),"")</f>
        <v/>
      </c>
      <c r="Q251">
        <f t="shared" ca="1" si="12"/>
        <v>0</v>
      </c>
      <c r="R251" t="str">
        <f ca="1">IF($Q251=1,SUM($Q$4:$Q251),"")</f>
        <v/>
      </c>
    </row>
    <row r="252" spans="1:18" ht="22.5" customHeight="1" x14ac:dyDescent="0.3">
      <c r="A252" s="2"/>
      <c r="B252" s="2"/>
      <c r="C252" s="3"/>
      <c r="D252" s="3"/>
      <c r="E252" s="2"/>
      <c r="F252" s="2"/>
      <c r="G252" s="5"/>
      <c r="H252" s="5"/>
      <c r="I252" s="4"/>
      <c r="J252" s="6" t="str">
        <f t="shared" si="10"/>
        <v/>
      </c>
      <c r="K252" s="4" t="str">
        <f t="shared" ca="1" si="13"/>
        <v/>
      </c>
      <c r="L252" s="7" t="str">
        <f>IF($H252="","",$H252-'[2]Read Me'!$B$4)</f>
        <v/>
      </c>
      <c r="M252" s="4" t="str">
        <f>IF($I252="Complete","Green",IF($H252="","Amber",IF($H252&lt;'[2]Read Me'!$B$4,"Red",IF($H252-'[2]Read Me'!$B$4&lt;=21,"Amber","Green"))))</f>
        <v>Amber</v>
      </c>
      <c r="N252" s="3"/>
      <c r="O252" t="str">
        <f>IF($I252&lt;&gt;"Complete",IF(COUNTIFS($A$4:$A251,$A252,$B$4:$B251,$B252,$I$4:$I251,"&lt;&gt;Complete")=0,$A252&amp;"|"&amp;$B252,""),"")</f>
        <v>|</v>
      </c>
      <c r="P252" t="str">
        <f ca="1">IF($K252="Yes",COUNTIFS($K$4:$K252,"Yes"),"")</f>
        <v/>
      </c>
      <c r="Q252">
        <f t="shared" ca="1" si="12"/>
        <v>0</v>
      </c>
      <c r="R252" t="str">
        <f ca="1">IF($Q252=1,SUM($Q$4:$Q252),"")</f>
        <v/>
      </c>
    </row>
    <row r="253" spans="1:18" ht="22.5" customHeight="1" x14ac:dyDescent="0.3">
      <c r="A253" s="2"/>
      <c r="B253" s="2"/>
      <c r="C253" s="3"/>
      <c r="D253" s="3"/>
      <c r="E253" s="2"/>
      <c r="F253" s="2"/>
      <c r="G253" s="5"/>
      <c r="H253" s="5"/>
      <c r="I253" s="4"/>
      <c r="J253" s="6" t="str">
        <f t="shared" si="10"/>
        <v/>
      </c>
      <c r="K253" s="4" t="str">
        <f t="shared" ca="1" si="13"/>
        <v/>
      </c>
      <c r="L253" s="7" t="str">
        <f>IF($H253="","",$H253-'[2]Read Me'!$B$4)</f>
        <v/>
      </c>
      <c r="M253" s="4" t="str">
        <f>IF($I253="Complete","Green",IF($H253="","Amber",IF($H253&lt;'[2]Read Me'!$B$4,"Red",IF($H253-'[2]Read Me'!$B$4&lt;=21,"Amber","Green"))))</f>
        <v>Amber</v>
      </c>
      <c r="N253" s="3"/>
      <c r="O253" t="str">
        <f>IF($I253&lt;&gt;"Complete",IF(COUNTIFS($A$4:$A252,$A253,$B$4:$B252,$B253,$I$4:$I252,"&lt;&gt;Complete")=0,$A253&amp;"|"&amp;$B253,""),"")</f>
        <v>|</v>
      </c>
      <c r="P253" t="str">
        <f ca="1">IF($K253="Yes",COUNTIFS($K$4:$K253,"Yes"),"")</f>
        <v/>
      </c>
      <c r="Q253">
        <f t="shared" ca="1" si="12"/>
        <v>0</v>
      </c>
      <c r="R253" t="str">
        <f ca="1">IF($Q253=1,SUM($Q$4:$Q253),"")</f>
        <v/>
      </c>
    </row>
    <row r="254" spans="1:18" ht="22.5" customHeight="1" x14ac:dyDescent="0.3">
      <c r="A254" s="2"/>
      <c r="B254" s="2"/>
      <c r="C254" s="3"/>
      <c r="D254" s="3"/>
      <c r="E254" s="2"/>
      <c r="F254" s="2"/>
      <c r="G254" s="5"/>
      <c r="H254" s="5"/>
      <c r="I254" s="4"/>
      <c r="J254" s="6" t="str">
        <f t="shared" si="10"/>
        <v/>
      </c>
      <c r="K254" s="4" t="str">
        <f t="shared" ca="1" si="13"/>
        <v/>
      </c>
      <c r="L254" s="7" t="str">
        <f>IF($H254="","",$H254-'[2]Read Me'!$B$4)</f>
        <v/>
      </c>
      <c r="M254" s="4" t="str">
        <f>IF($I254="Complete","Green",IF($H254="","Amber",IF($H254&lt;'[2]Read Me'!$B$4,"Red",IF($H254-'[2]Read Me'!$B$4&lt;=21,"Amber","Green"))))</f>
        <v>Amber</v>
      </c>
      <c r="N254" s="3"/>
      <c r="O254" t="str">
        <f>IF($I254&lt;&gt;"Complete",IF(COUNTIFS($A$4:$A253,$A254,$B$4:$B253,$B254,$I$4:$I253,"&lt;&gt;Complete")=0,$A254&amp;"|"&amp;$B254,""),"")</f>
        <v>|</v>
      </c>
      <c r="P254" t="str">
        <f ca="1">IF($K254="Yes",COUNTIFS($K$4:$K254,"Yes"),"")</f>
        <v/>
      </c>
      <c r="Q254">
        <f t="shared" ca="1" si="12"/>
        <v>0</v>
      </c>
      <c r="R254" t="str">
        <f ca="1">IF($Q254=1,SUM($Q$4:$Q254),"")</f>
        <v/>
      </c>
    </row>
    <row r="255" spans="1:18" ht="22.5" customHeight="1" x14ac:dyDescent="0.3">
      <c r="A255" s="2"/>
      <c r="B255" s="2"/>
      <c r="C255" s="3"/>
      <c r="D255" s="3"/>
      <c r="E255" s="2"/>
      <c r="F255" s="2"/>
      <c r="G255" s="5"/>
      <c r="H255" s="5"/>
      <c r="I255" s="4"/>
      <c r="J255" s="6" t="str">
        <f t="shared" si="10"/>
        <v/>
      </c>
      <c r="K255" s="4" t="str">
        <f t="shared" ca="1" si="13"/>
        <v/>
      </c>
      <c r="L255" s="7" t="str">
        <f>IF($H255="","",$H255-'[2]Read Me'!$B$4)</f>
        <v/>
      </c>
      <c r="M255" s="4" t="str">
        <f>IF($I255="Complete","Green",IF($H255="","Amber",IF($H255&lt;'[2]Read Me'!$B$4,"Red",IF($H255-'[2]Read Me'!$B$4&lt;=21,"Amber","Green"))))</f>
        <v>Amber</v>
      </c>
      <c r="N255" s="3"/>
      <c r="O255" t="str">
        <f>IF($I255&lt;&gt;"Complete",IF(COUNTIFS($A$4:$A254,$A255,$B$4:$B254,$B255,$I$4:$I254,"&lt;&gt;Complete")=0,$A255&amp;"|"&amp;$B255,""),"")</f>
        <v>|</v>
      </c>
      <c r="P255" t="str">
        <f ca="1">IF($K255="Yes",COUNTIFS($K$4:$K255,"Yes"),"")</f>
        <v/>
      </c>
      <c r="Q255">
        <f t="shared" ca="1" si="12"/>
        <v>0</v>
      </c>
      <c r="R255" t="str">
        <f ca="1">IF($Q255=1,SUM($Q$4:$Q255),"")</f>
        <v/>
      </c>
    </row>
    <row r="256" spans="1:18" ht="22.5" customHeight="1" x14ac:dyDescent="0.3">
      <c r="A256" s="2"/>
      <c r="B256" s="2"/>
      <c r="C256" s="3"/>
      <c r="D256" s="3"/>
      <c r="E256" s="2"/>
      <c r="F256" s="2"/>
      <c r="G256" s="5"/>
      <c r="H256" s="5"/>
      <c r="I256" s="4"/>
      <c r="J256" s="6" t="str">
        <f t="shared" si="10"/>
        <v/>
      </c>
      <c r="K256" s="4" t="str">
        <f t="shared" ca="1" si="13"/>
        <v/>
      </c>
      <c r="L256" s="7" t="str">
        <f>IF($H256="","",$H256-'[2]Read Me'!$B$4)</f>
        <v/>
      </c>
      <c r="M256" s="4" t="str">
        <f>IF($I256="Complete","Green",IF($H256="","Amber",IF($H256&lt;'[2]Read Me'!$B$4,"Red",IF($H256-'[2]Read Me'!$B$4&lt;=21,"Amber","Green"))))</f>
        <v>Amber</v>
      </c>
      <c r="N256" s="3"/>
      <c r="O256" t="str">
        <f>IF($I256&lt;&gt;"Complete",IF(COUNTIFS($A$4:$A255,$A256,$B$4:$B255,$B256,$I$4:$I255,"&lt;&gt;Complete")=0,$A256&amp;"|"&amp;$B256,""),"")</f>
        <v>|</v>
      </c>
      <c r="P256" t="str">
        <f ca="1">IF($K256="Yes",COUNTIFS($K$4:$K256,"Yes"),"")</f>
        <v/>
      </c>
      <c r="Q256">
        <f t="shared" ca="1" si="12"/>
        <v>0</v>
      </c>
      <c r="R256" t="str">
        <f ca="1">IF($Q256=1,SUM($Q$4:$Q256),"")</f>
        <v/>
      </c>
    </row>
    <row r="257" spans="1:18" ht="22.5" customHeight="1" x14ac:dyDescent="0.3">
      <c r="A257" s="2"/>
      <c r="B257" s="2"/>
      <c r="C257" s="3"/>
      <c r="D257" s="3"/>
      <c r="E257" s="2"/>
      <c r="F257" s="2"/>
      <c r="G257" s="5"/>
      <c r="H257" s="5"/>
      <c r="I257" s="4"/>
      <c r="J257" s="6" t="str">
        <f t="shared" si="10"/>
        <v/>
      </c>
      <c r="K257" s="4" t="str">
        <f t="shared" ca="1" si="13"/>
        <v/>
      </c>
      <c r="L257" s="7" t="str">
        <f>IF($H257="","",$H257-'[2]Read Me'!$B$4)</f>
        <v/>
      </c>
      <c r="M257" s="4" t="str">
        <f>IF($I257="Complete","Green",IF($H257="","Amber",IF($H257&lt;'[2]Read Me'!$B$4,"Red",IF($H257-'[2]Read Me'!$B$4&lt;=21,"Amber","Green"))))</f>
        <v>Amber</v>
      </c>
      <c r="N257" s="3"/>
      <c r="O257" t="str">
        <f>IF($I257&lt;&gt;"Complete",IF(COUNTIFS($A$4:$A256,$A257,$B$4:$B256,$B257,$I$4:$I256,"&lt;&gt;Complete")=0,$A257&amp;"|"&amp;$B257,""),"")</f>
        <v>|</v>
      </c>
      <c r="P257" t="str">
        <f ca="1">IF($K257="Yes",COUNTIFS($K$4:$K257,"Yes"),"")</f>
        <v/>
      </c>
      <c r="Q257">
        <f t="shared" ca="1" si="12"/>
        <v>0</v>
      </c>
      <c r="R257" t="str">
        <f ca="1">IF($Q257=1,SUM($Q$4:$Q257),"")</f>
        <v/>
      </c>
    </row>
    <row r="258" spans="1:18" ht="45" customHeight="1" x14ac:dyDescent="0.3">
      <c r="A258" s="2"/>
      <c r="B258" s="2"/>
      <c r="C258" s="3"/>
      <c r="D258" s="3"/>
      <c r="E258" s="2"/>
      <c r="F258" s="2"/>
      <c r="G258" s="5"/>
      <c r="H258" s="5"/>
      <c r="I258" s="4"/>
      <c r="J258" s="6" t="str">
        <f t="shared" si="10"/>
        <v/>
      </c>
      <c r="K258" s="4" t="str">
        <f t="shared" ca="1" si="13"/>
        <v/>
      </c>
      <c r="L258" s="7" t="str">
        <f>IF($H258="","",$H258-'[2]Read Me'!$B$4)</f>
        <v/>
      </c>
      <c r="M258" s="4" t="str">
        <f>IF($I258="Complete","Green",IF($H258="","Amber",IF($H258&lt;'[2]Read Me'!$B$4,"Red",IF($H258-'[2]Read Me'!$B$4&lt;=21,"Amber","Green"))))</f>
        <v>Amber</v>
      </c>
      <c r="N258" s="3"/>
      <c r="O258" t="str">
        <f>IF($I258&lt;&gt;"Complete",IF(COUNTIFS($A$4:$A257,$A258,$B$4:$B257,$B258,$I$4:$I257,"&lt;&gt;Complete")=0,$A258&amp;"|"&amp;$B258,""),"")</f>
        <v>|</v>
      </c>
      <c r="P258" t="str">
        <f ca="1">IF($K258="Yes",COUNTIFS($K$4:$K258,"Yes"),"")</f>
        <v/>
      </c>
      <c r="Q258">
        <f t="shared" ca="1" si="12"/>
        <v>0</v>
      </c>
      <c r="R258" t="str">
        <f ca="1">IF($Q258=1,SUM($Q$4:$Q258),"")</f>
        <v/>
      </c>
    </row>
    <row r="259" spans="1:18" ht="45" customHeight="1" x14ac:dyDescent="0.3">
      <c r="A259" s="2"/>
      <c r="B259" s="2"/>
      <c r="C259" s="3"/>
      <c r="D259" s="3"/>
      <c r="E259" s="2"/>
      <c r="F259" s="2"/>
      <c r="G259" s="5"/>
      <c r="H259" s="5"/>
      <c r="I259" s="4"/>
      <c r="J259" s="6" t="str">
        <f t="shared" si="10"/>
        <v/>
      </c>
      <c r="K259" s="4" t="str">
        <f t="shared" ca="1" si="13"/>
        <v/>
      </c>
      <c r="L259" s="7" t="str">
        <f>IF($H259="","",$H259-'[2]Read Me'!$B$4)</f>
        <v/>
      </c>
      <c r="M259" s="4" t="str">
        <f>IF($I259="Complete","Green",IF($H259="","Amber",IF($H259&lt;'[2]Read Me'!$B$4,"Red",IF($H259-'[2]Read Me'!$B$4&lt;=21,"Amber","Green"))))</f>
        <v>Amber</v>
      </c>
      <c r="N259" s="3"/>
      <c r="O259" t="str">
        <f>IF($I259&lt;&gt;"Complete",IF(COUNTIFS($A$4:$A258,$A259,$B$4:$B258,$B259,$I$4:$I258,"&lt;&gt;Complete")=0,$A259&amp;"|"&amp;$B259,""),"")</f>
        <v>|</v>
      </c>
      <c r="P259" t="str">
        <f ca="1">IF($K259="Yes",COUNTIFS($K$4:$K259,"Yes"),"")</f>
        <v/>
      </c>
      <c r="Q259">
        <f t="shared" ca="1" si="12"/>
        <v>0</v>
      </c>
      <c r="R259" t="str">
        <f ca="1">IF($Q259=1,SUM($Q$4:$Q259),"")</f>
        <v/>
      </c>
    </row>
    <row r="260" spans="1:18" ht="45" customHeight="1" x14ac:dyDescent="0.3">
      <c r="A260" s="2"/>
      <c r="B260" s="2"/>
      <c r="C260" s="3"/>
      <c r="D260" s="3"/>
      <c r="E260" s="2"/>
      <c r="F260" s="2"/>
      <c r="G260" s="5"/>
      <c r="H260" s="5"/>
      <c r="I260" s="4"/>
      <c r="J260" s="6" t="str">
        <f t="shared" ref="J260:J312" si="14">IF(OR($G260="",$H260=""),"",$H260-$G260)</f>
        <v/>
      </c>
      <c r="K260" s="4" t="str">
        <f t="shared" ca="1" si="13"/>
        <v/>
      </c>
      <c r="L260" s="7" t="str">
        <f>IF($H260="","",$H260-'[2]Read Me'!$B$4)</f>
        <v/>
      </c>
      <c r="M260" s="4" t="str">
        <f>IF($I260="Complete","Green",IF($H260="","Amber",IF($H260&lt;'[2]Read Me'!$B$4,"Red",IF($H260-'[2]Read Me'!$B$4&lt;=21,"Amber","Green"))))</f>
        <v>Amber</v>
      </c>
      <c r="N260" s="3"/>
      <c r="O260" t="str">
        <f>IF($I260&lt;&gt;"Complete",IF(COUNTIFS($A$4:$A259,$A260,$B$4:$B259,$B260,$I$4:$I259,"&lt;&gt;Complete")=0,$A260&amp;"|"&amp;$B260,""),"")</f>
        <v>|</v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/>
      <c r="B261" s="2"/>
      <c r="C261" s="3"/>
      <c r="D261" s="3"/>
      <c r="E261" s="2"/>
      <c r="F261" s="2"/>
      <c r="G261" s="5"/>
      <c r="H261" s="5"/>
      <c r="I261" s="4"/>
      <c r="J261" s="6" t="str">
        <f t="shared" si="14"/>
        <v/>
      </c>
      <c r="K261" s="4" t="str">
        <f t="shared" ca="1" si="13"/>
        <v/>
      </c>
      <c r="L261" s="7" t="str">
        <f>IF($H261="","",$H261-'[2]Read Me'!$B$4)</f>
        <v/>
      </c>
      <c r="M261" s="4" t="str">
        <f>IF($I261="Complete","Green",IF($H261="","Amber",IF($H261&lt;'[2]Read Me'!$B$4,"Red",IF($H261-'[2]Read Me'!$B$4&lt;=21,"Amber","Green"))))</f>
        <v>Amber</v>
      </c>
      <c r="N261" s="3"/>
      <c r="O261" t="str">
        <f>IF($I261&lt;&gt;"Complete",IF(COUNTIFS($A$4:$A260,$A261,$B$4:$B260,$B261,$I$4:$I260,"&lt;&gt;Complete")=0,$A261&amp;"|"&amp;$B261,""),"")</f>
        <v>|</v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/>
      <c r="B262" s="2"/>
      <c r="C262" s="3"/>
      <c r="D262" s="3"/>
      <c r="E262" s="2"/>
      <c r="F262" s="2"/>
      <c r="G262" s="5"/>
      <c r="H262" s="5"/>
      <c r="I262" s="4"/>
      <c r="J262" s="6" t="str">
        <f t="shared" si="14"/>
        <v/>
      </c>
      <c r="K262" s="4" t="str">
        <f t="shared" ca="1" si="13"/>
        <v/>
      </c>
      <c r="L262" s="7" t="str">
        <f>IF($H262="","",$H262-'[2]Read Me'!$B$4)</f>
        <v/>
      </c>
      <c r="M262" s="4" t="str">
        <f>IF($I262="Complete","Green",IF($H262="","Amber",IF($H262&lt;'[2]Read Me'!$B$4,"Red",IF($H262-'[2]Read Me'!$B$4&lt;=21,"Amber","Green"))))</f>
        <v>Amber</v>
      </c>
      <c r="N262" s="3"/>
      <c r="O262" t="str">
        <f>IF($I262&lt;&gt;"Complete",IF(COUNTIFS($A$4:$A261,$A262,$B$4:$B261,$B262,$I$4:$I261,"&lt;&gt;Complete")=0,$A262&amp;"|"&amp;$B262,""),"")</f>
        <v>|</v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/>
      <c r="B263" s="2"/>
      <c r="C263" s="3"/>
      <c r="D263" s="3"/>
      <c r="E263" s="2"/>
      <c r="F263" s="2"/>
      <c r="G263" s="5"/>
      <c r="H263" s="5"/>
      <c r="I263" s="4"/>
      <c r="J263" s="6" t="str">
        <f t="shared" si="14"/>
        <v/>
      </c>
      <c r="K263" s="4" t="str">
        <f t="shared" ca="1" si="13"/>
        <v/>
      </c>
      <c r="L263" s="7" t="str">
        <f>IF($H263="","",$H263-'[2]Read Me'!$B$4)</f>
        <v/>
      </c>
      <c r="M263" s="4" t="str">
        <f>IF($I263="Complete","Green",IF($H263="","Amber",IF($H263&lt;'[2]Read Me'!$B$4,"Red",IF($H263-'[2]Read Me'!$B$4&lt;=21,"Amber","Green"))))</f>
        <v>Amber</v>
      </c>
      <c r="N263" s="3"/>
      <c r="O263" t="str">
        <f>IF($I263&lt;&gt;"Complete",IF(COUNTIFS($A$4:$A262,$A263,$B$4:$B262,$B263,$I$4:$I262,"&lt;&gt;Complete")=0,$A263&amp;"|"&amp;$B263,""),"")</f>
        <v>|</v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/>
      <c r="B264" s="2"/>
      <c r="C264" s="3"/>
      <c r="D264" s="3"/>
      <c r="E264" s="2"/>
      <c r="F264" s="2"/>
      <c r="G264" s="5"/>
      <c r="H264" s="5"/>
      <c r="I264" s="4"/>
      <c r="J264" s="6" t="str">
        <f t="shared" si="14"/>
        <v/>
      </c>
      <c r="K264" s="4" t="str">
        <f t="shared" ca="1" si="13"/>
        <v/>
      </c>
      <c r="L264" s="7" t="str">
        <f>IF($H264="","",$H264-'[2]Read Me'!$B$4)</f>
        <v/>
      </c>
      <c r="M264" s="4" t="str">
        <f>IF($I264="Complete","Green",IF($H264="","Amber",IF($H264&lt;'[2]Read Me'!$B$4,"Red",IF($H264-'[2]Read Me'!$B$4&lt;=21,"Amber","Green"))))</f>
        <v>Amber</v>
      </c>
      <c r="N264" s="3"/>
      <c r="O264" t="str">
        <f>IF($I264&lt;&gt;"Complete",IF(COUNTIFS($A$4:$A263,$A264,$B$4:$B263,$B264,$I$4:$I263,"&lt;&gt;Complete")=0,$A264&amp;"|"&amp;$B264,""),"")</f>
        <v>|</v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/>
      <c r="B265" s="2"/>
      <c r="C265" s="3"/>
      <c r="D265" s="3"/>
      <c r="E265" s="2"/>
      <c r="F265" s="2"/>
      <c r="G265" s="5"/>
      <c r="H265" s="5"/>
      <c r="I265" s="4"/>
      <c r="J265" s="6" t="str">
        <f t="shared" si="14"/>
        <v/>
      </c>
      <c r="K265" s="4" t="str">
        <f t="shared" ref="K265:K312" ca="1" si="16">IF($H265="","",IF($H265&lt;TODAY(),"No","Yes"))</f>
        <v/>
      </c>
      <c r="L265" s="7" t="str">
        <f>IF($H265="","",$H265-'[2]Read Me'!$B$4)</f>
        <v/>
      </c>
      <c r="M265" s="4" t="str">
        <f>IF($I265="Complete","Green",IF($H265="","Amber",IF($H265&lt;'[2]Read Me'!$B$4,"Red",IF($H265-'[2]Read Me'!$B$4&lt;=21,"Amber","Green"))))</f>
        <v>Amber</v>
      </c>
      <c r="N265" s="3"/>
      <c r="O265" t="str">
        <f>IF($I265&lt;&gt;"Complete",IF(COUNTIFS($A$4:$A264,$A265,$B$4:$B264,$B265,$I$4:$I264,"&lt;&gt;Complete")=0,$A265&amp;"|"&amp;$B265,""),"")</f>
        <v>|</v>
      </c>
      <c r="P265" t="str">
        <f ca="1">IF($K265="Yes",COUNTIFS($K$4:$K265,"Yes"),"")</f>
        <v/>
      </c>
      <c r="Q265">
        <f t="shared" ca="1" si="15"/>
        <v>0</v>
      </c>
      <c r="R265" t="str">
        <f ca="1">IF($Q265=1,SUM($Q$4:$Q265),"")</f>
        <v/>
      </c>
    </row>
    <row r="266" spans="1:18" ht="45" customHeight="1" x14ac:dyDescent="0.3">
      <c r="A266" s="2"/>
      <c r="B266" s="2"/>
      <c r="C266" s="3"/>
      <c r="D266" s="3"/>
      <c r="E266" s="2"/>
      <c r="F266" s="2"/>
      <c r="G266" s="5"/>
      <c r="H266" s="5"/>
      <c r="I266" s="4"/>
      <c r="J266" s="6" t="str">
        <f t="shared" si="14"/>
        <v/>
      </c>
      <c r="K266" s="4" t="str">
        <f t="shared" ca="1" si="16"/>
        <v/>
      </c>
      <c r="L266" s="7" t="str">
        <f>IF($H266="","",$H266-'[2]Read Me'!$B$4)</f>
        <v/>
      </c>
      <c r="M266" s="4" t="str">
        <f>IF($I266="Complete","Green",IF($H266="","Amber",IF($H266&lt;'[2]Read Me'!$B$4,"Red",IF($H266-'[2]Read Me'!$B$4&lt;=21,"Amber","Green"))))</f>
        <v>Amber</v>
      </c>
      <c r="N266" s="3"/>
      <c r="O266" t="str">
        <f>IF($I266&lt;&gt;"Complete",IF(COUNTIFS($A$4:$A265,$A266,$B$4:$B265,$B266,$I$4:$I265,"&lt;&gt;Complete")=0,$A266&amp;"|"&amp;$B266,""),"")</f>
        <v>|</v>
      </c>
      <c r="P266" t="str">
        <f ca="1">IF($K266="Yes",COUNTIFS($K$4:$K266,"Yes"),"")</f>
        <v/>
      </c>
      <c r="Q266">
        <f t="shared" ca="1" si="15"/>
        <v>0</v>
      </c>
      <c r="R266" t="str">
        <f ca="1">IF($Q266=1,SUM($Q$4:$Q266),"")</f>
        <v/>
      </c>
    </row>
    <row r="267" spans="1:18" ht="45" customHeight="1" x14ac:dyDescent="0.3">
      <c r="A267" s="2"/>
      <c r="B267" s="2"/>
      <c r="C267" s="3"/>
      <c r="D267" s="3"/>
      <c r="E267" s="2"/>
      <c r="F267" s="2"/>
      <c r="G267" s="5"/>
      <c r="H267" s="5"/>
      <c r="I267" s="4"/>
      <c r="J267" s="6" t="str">
        <f t="shared" si="14"/>
        <v/>
      </c>
      <c r="K267" s="4" t="str">
        <f t="shared" ca="1" si="16"/>
        <v/>
      </c>
      <c r="L267" s="7" t="str">
        <f>IF($H267="","",$H267-'[2]Read Me'!$B$4)</f>
        <v/>
      </c>
      <c r="M267" s="4" t="str">
        <f>IF($I267="Complete","Green",IF($H267="","Amber",IF($H267&lt;'[2]Read Me'!$B$4,"Red",IF($H267-'[2]Read Me'!$B$4&lt;=21,"Amber","Green"))))</f>
        <v>Amber</v>
      </c>
      <c r="N267" s="3"/>
      <c r="O267" t="str">
        <f>IF($I267&lt;&gt;"Complete",IF(COUNTIFS($A$4:$A266,$A267,$B$4:$B266,$B267,$I$4:$I266,"&lt;&gt;Complete")=0,$A267&amp;"|"&amp;$B267,""),"")</f>
        <v>|</v>
      </c>
      <c r="P267" t="str">
        <f ca="1">IF($K267="Yes",COUNTIFS($K$4:$K267,"Yes"),"")</f>
        <v/>
      </c>
      <c r="Q267">
        <f t="shared" ca="1" si="15"/>
        <v>0</v>
      </c>
      <c r="R267" t="str">
        <f ca="1">IF($Q267=1,SUM($Q$4:$Q267),"")</f>
        <v/>
      </c>
    </row>
    <row r="268" spans="1:18" ht="14.25" customHeight="1" x14ac:dyDescent="0.3">
      <c r="A268" s="2"/>
      <c r="B268" s="2"/>
      <c r="C268" s="3"/>
      <c r="D268" s="3"/>
      <c r="E268" s="2"/>
      <c r="F268" s="2"/>
      <c r="G268" s="5"/>
      <c r="H268" s="5"/>
      <c r="I268" s="4"/>
      <c r="J268" s="6" t="str">
        <f t="shared" si="14"/>
        <v/>
      </c>
      <c r="K268" s="4" t="str">
        <f t="shared" ca="1" si="16"/>
        <v/>
      </c>
      <c r="L268" s="7" t="str">
        <f>IF($H268="","",$H268-'[2]Read Me'!$B$4)</f>
        <v/>
      </c>
      <c r="M268" s="4" t="str">
        <f>IF($I268="Complete","Green",IF($H268="","Amber",IF($H268&lt;'[2]Read Me'!$B$4,"Red",IF($H268-'[2]Read Me'!$B$4&lt;=21,"Amber","Green"))))</f>
        <v>Amber</v>
      </c>
      <c r="N268" s="3"/>
      <c r="O268" t="str">
        <f>IF($I268&lt;&gt;"Complete",IF(COUNTIFS($A$4:$A267,$A268,$B$4:$B267,$B268,$I$4:$I267,"&lt;&gt;Complete")=0,$A268&amp;"|"&amp;$B268,""),"")</f>
        <v>|</v>
      </c>
      <c r="P268" t="str">
        <f ca="1">IF($K268="Yes",COUNTIFS($K$4:$K268,"Yes"),"")</f>
        <v/>
      </c>
      <c r="Q268">
        <f t="shared" ca="1" si="15"/>
        <v>0</v>
      </c>
      <c r="R268" t="str">
        <f ca="1">IF($Q268=1,SUM($Q$4:$Q268),"")</f>
        <v/>
      </c>
    </row>
    <row r="269" spans="1:18" ht="14.25" customHeight="1" x14ac:dyDescent="0.3">
      <c r="A269" s="2"/>
      <c r="B269" s="2"/>
      <c r="C269" s="3"/>
      <c r="D269" s="3"/>
      <c r="E269" s="2"/>
      <c r="F269" s="2"/>
      <c r="G269" s="5"/>
      <c r="H269" s="5"/>
      <c r="I269" s="4"/>
      <c r="J269" s="6" t="str">
        <f t="shared" si="14"/>
        <v/>
      </c>
      <c r="K269" s="4" t="str">
        <f t="shared" ca="1" si="16"/>
        <v/>
      </c>
      <c r="L269" s="7" t="str">
        <f>IF($H269="","",$H269-'[2]Read Me'!$B$4)</f>
        <v/>
      </c>
      <c r="M269" s="4" t="str">
        <f>IF($I269="Complete","Green",IF($H269="","Amber",IF($H269&lt;'[2]Read Me'!$B$4,"Red",IF($H269-'[2]Read Me'!$B$4&lt;=21,"Amber","Green"))))</f>
        <v>Amber</v>
      </c>
      <c r="N269" s="3"/>
      <c r="O269" t="str">
        <f>IF($I269&lt;&gt;"Complete",IF(COUNTIFS($A$4:$A268,$A269,$B$4:$B268,$B269,$I$4:$I268,"&lt;&gt;Complete")=0,$A269&amp;"|"&amp;$B269,""),"")</f>
        <v>|</v>
      </c>
      <c r="P269" t="str">
        <f ca="1">IF($K269="Yes",COUNTIFS($K$4:$K269,"Yes"),"")</f>
        <v/>
      </c>
      <c r="Q269">
        <f t="shared" ca="1" si="15"/>
        <v>0</v>
      </c>
      <c r="R269" t="str">
        <f ca="1">IF($Q269=1,SUM($Q$4:$Q269),"")</f>
        <v/>
      </c>
    </row>
    <row r="270" spans="1:18" ht="14.25" customHeight="1" x14ac:dyDescent="0.3">
      <c r="A270" s="2"/>
      <c r="B270" s="2"/>
      <c r="C270" s="3"/>
      <c r="D270" s="3"/>
      <c r="E270" s="2"/>
      <c r="F270" s="2"/>
      <c r="G270" s="5"/>
      <c r="H270" s="5"/>
      <c r="I270" s="4"/>
      <c r="J270" s="6" t="str">
        <f t="shared" si="14"/>
        <v/>
      </c>
      <c r="K270" s="4" t="str">
        <f t="shared" ca="1" si="16"/>
        <v/>
      </c>
      <c r="L270" s="7" t="str">
        <f>IF($H270="","",$H270-'[2]Read Me'!$B$4)</f>
        <v/>
      </c>
      <c r="M270" s="4" t="str">
        <f>IF($I270="Complete","Green",IF($H270="","Amber",IF($H270&lt;'[2]Read Me'!$B$4,"Red",IF($H270-'[2]Read Me'!$B$4&lt;=21,"Amber","Green"))))</f>
        <v>Amber</v>
      </c>
      <c r="N270" s="3"/>
      <c r="O270" t="str">
        <f>IF($I270&lt;&gt;"Complete",IF(COUNTIFS($A$4:$A269,$A270,$B$4:$B269,$B270,$I$4:$I269,"&lt;&gt;Complete")=0,$A270&amp;"|"&amp;$B270,""),"")</f>
        <v>|</v>
      </c>
      <c r="P270" t="str">
        <f ca="1">IF($K270="Yes",COUNTIFS($K$4:$K270,"Yes"),"")</f>
        <v/>
      </c>
      <c r="Q270">
        <f t="shared" ca="1" si="15"/>
        <v>0</v>
      </c>
      <c r="R270" t="str">
        <f ca="1">IF($Q270=1,SUM($Q$4:$Q270),"")</f>
        <v/>
      </c>
    </row>
    <row r="271" spans="1:18" ht="14.25" customHeight="1" x14ac:dyDescent="0.3">
      <c r="A271" s="2"/>
      <c r="B271" s="2"/>
      <c r="C271" s="3"/>
      <c r="D271" s="3"/>
      <c r="E271" s="2"/>
      <c r="F271" s="2"/>
      <c r="G271" s="5"/>
      <c r="H271" s="5"/>
      <c r="I271" s="4"/>
      <c r="J271" s="6" t="str">
        <f t="shared" si="14"/>
        <v/>
      </c>
      <c r="K271" s="4" t="str">
        <f t="shared" ca="1" si="16"/>
        <v/>
      </c>
      <c r="L271" s="7" t="str">
        <f>IF($H271="","",$H271-'[2]Read Me'!$B$4)</f>
        <v/>
      </c>
      <c r="M271" s="4" t="str">
        <f>IF($I271="Complete","Green",IF($H271="","Amber",IF($H271&lt;'[2]Read Me'!$B$4,"Red",IF($H271-'[2]Read Me'!$B$4&lt;=21,"Amber","Green"))))</f>
        <v>Amber</v>
      </c>
      <c r="N271" s="3"/>
      <c r="O271" t="str">
        <f>IF($I271&lt;&gt;"Complete",IF(COUNTIFS($A$4:$A270,$A271,$B$4:$B270,$B271,$I$4:$I270,"&lt;&gt;Complete")=0,$A271&amp;"|"&amp;$B271,""),"")</f>
        <v>|</v>
      </c>
      <c r="P271" t="str">
        <f ca="1">IF($K271="Yes",COUNTIFS($K$4:$K271,"Yes"),"")</f>
        <v/>
      </c>
      <c r="Q271">
        <f t="shared" ca="1" si="15"/>
        <v>0</v>
      </c>
      <c r="R271" t="str">
        <f ca="1">IF($Q271=1,SUM($Q$4:$Q271),"")</f>
        <v/>
      </c>
    </row>
    <row r="272" spans="1:18" ht="14.25" customHeight="1" x14ac:dyDescent="0.3">
      <c r="A272" s="2"/>
      <c r="B272" s="2"/>
      <c r="C272" s="3"/>
      <c r="D272" s="3"/>
      <c r="E272" s="2"/>
      <c r="F272" s="2"/>
      <c r="G272" s="5"/>
      <c r="H272" s="5"/>
      <c r="I272" s="4"/>
      <c r="J272" s="6" t="str">
        <f t="shared" si="14"/>
        <v/>
      </c>
      <c r="K272" s="4" t="str">
        <f t="shared" ca="1" si="16"/>
        <v/>
      </c>
      <c r="L272" s="7" t="str">
        <f>IF($H272="","",$H272-'[2]Read Me'!$B$4)</f>
        <v/>
      </c>
      <c r="M272" s="4" t="str">
        <f>IF($I272="Complete","Green",IF($H272="","Amber",IF($H272&lt;'[2]Read Me'!$B$4,"Red",IF($H272-'[2]Read Me'!$B$4&lt;=21,"Amber","Green"))))</f>
        <v>Amber</v>
      </c>
      <c r="N272" s="3"/>
      <c r="O272" t="str">
        <f>IF($I272&lt;&gt;"Complete",IF(COUNTIFS($A$4:$A271,$A272,$B$4:$B271,$B272,$I$4:$I271,"&lt;&gt;Complete")=0,$A272&amp;"|"&amp;$B272,""),"")</f>
        <v>|</v>
      </c>
      <c r="P272" t="str">
        <f ca="1">IF($K272="Yes",COUNTIFS($K$4:$K272,"Yes"),"")</f>
        <v/>
      </c>
      <c r="Q272">
        <f t="shared" ca="1" si="15"/>
        <v>0</v>
      </c>
      <c r="R272" t="str">
        <f ca="1">IF($Q272=1,SUM($Q$4:$Q272),"")</f>
        <v/>
      </c>
    </row>
    <row r="273" spans="1:18" ht="14.25" customHeight="1" x14ac:dyDescent="0.3">
      <c r="A273" s="2"/>
      <c r="B273" s="2"/>
      <c r="C273" s="3"/>
      <c r="D273" s="3"/>
      <c r="E273" s="2"/>
      <c r="F273" s="2"/>
      <c r="G273" s="5"/>
      <c r="H273" s="5"/>
      <c r="I273" s="4"/>
      <c r="J273" s="6" t="str">
        <f t="shared" si="14"/>
        <v/>
      </c>
      <c r="K273" s="4" t="str">
        <f t="shared" ca="1" si="16"/>
        <v/>
      </c>
      <c r="L273" s="7" t="str">
        <f>IF($H273="","",$H273-'[2]Read Me'!$B$4)</f>
        <v/>
      </c>
      <c r="M273" s="4" t="str">
        <f>IF($I273="Complete","Green",IF($H273="","Amber",IF($H273&lt;'[2]Read Me'!$B$4,"Red",IF($H273-'[2]Read Me'!$B$4&lt;=21,"Amber","Green"))))</f>
        <v>Amber</v>
      </c>
      <c r="N273" s="3"/>
      <c r="O273" t="str">
        <f>IF($I273&lt;&gt;"Complete",IF(COUNTIFS($A$4:$A272,$A273,$B$4:$B272,$B273,$I$4:$I272,"&lt;&gt;Complete")=0,$A273&amp;"|"&amp;$B273,""),"")</f>
        <v>|</v>
      </c>
      <c r="P273" t="str">
        <f ca="1">IF($K273="Yes",COUNTIFS($K$4:$K273,"Yes"),"")</f>
        <v/>
      </c>
      <c r="Q273">
        <f t="shared" ca="1" si="15"/>
        <v>0</v>
      </c>
      <c r="R273" t="str">
        <f ca="1">IF($Q273=1,SUM($Q$4:$Q273),"")</f>
        <v/>
      </c>
    </row>
    <row r="274" spans="1:18" ht="14.25" customHeight="1" x14ac:dyDescent="0.3">
      <c r="A274" s="2"/>
      <c r="B274" s="2"/>
      <c r="C274" s="3"/>
      <c r="D274" s="3"/>
      <c r="E274" s="2"/>
      <c r="F274" s="2"/>
      <c r="G274" s="5"/>
      <c r="H274" s="5"/>
      <c r="I274" s="4"/>
      <c r="J274" s="6" t="str">
        <f t="shared" si="14"/>
        <v/>
      </c>
      <c r="K274" s="4" t="str">
        <f t="shared" ca="1" si="16"/>
        <v/>
      </c>
      <c r="L274" s="7" t="str">
        <f>IF($H274="","",$H274-'[2]Read Me'!$B$4)</f>
        <v/>
      </c>
      <c r="M274" s="4" t="str">
        <f>IF($I274="Complete","Green",IF($H274="","Amber",IF($H274&lt;'[2]Read Me'!$B$4,"Red",IF($H274-'[2]Read Me'!$B$4&lt;=21,"Amber","Green"))))</f>
        <v>Amber</v>
      </c>
      <c r="N274" s="3"/>
      <c r="O274" t="str">
        <f>IF($I274&lt;&gt;"Complete",IF(COUNTIFS($A$4:$A273,$A274,$B$4:$B273,$B274,$I$4:$I273,"&lt;&gt;Complete")=0,$A274&amp;"|"&amp;$B274,""),"")</f>
        <v>|</v>
      </c>
      <c r="P274" t="str">
        <f ca="1">IF($K274="Yes",COUNTIFS($K$4:$K274,"Yes"),"")</f>
        <v/>
      </c>
      <c r="Q274">
        <f t="shared" ca="1" si="15"/>
        <v>0</v>
      </c>
      <c r="R274" t="str">
        <f ca="1">IF($Q274=1,SUM($Q$4:$Q274),"")</f>
        <v/>
      </c>
    </row>
    <row r="275" spans="1:18" ht="14.25" customHeight="1" x14ac:dyDescent="0.3">
      <c r="A275" s="2"/>
      <c r="B275" s="2"/>
      <c r="C275" s="3"/>
      <c r="D275" s="3"/>
      <c r="E275" s="2"/>
      <c r="F275" s="2"/>
      <c r="G275" s="5"/>
      <c r="H275" s="5"/>
      <c r="I275" s="4"/>
      <c r="J275" s="6" t="str">
        <f t="shared" si="14"/>
        <v/>
      </c>
      <c r="K275" s="4" t="str">
        <f t="shared" ca="1" si="16"/>
        <v/>
      </c>
      <c r="L275" s="7" t="str">
        <f>IF($H275="","",$H275-'[2]Read Me'!$B$4)</f>
        <v/>
      </c>
      <c r="M275" s="4" t="str">
        <f>IF($I275="Complete","Green",IF($H275="","Amber",IF($H275&lt;'[2]Read Me'!$B$4,"Red",IF($H275-'[2]Read Me'!$B$4&lt;=21,"Amber","Green"))))</f>
        <v>Amber</v>
      </c>
      <c r="N275" s="3"/>
      <c r="O275" t="str">
        <f>IF($I275&lt;&gt;"Complete",IF(COUNTIFS($A$4:$A274,$A275,$B$4:$B274,$B275,$I$4:$I274,"&lt;&gt;Complete")=0,$A275&amp;"|"&amp;$B275,""),"")</f>
        <v>|</v>
      </c>
      <c r="P275" t="str">
        <f ca="1">IF($K275="Yes",COUNTIFS($K$4:$K275,"Yes"),"")</f>
        <v/>
      </c>
      <c r="Q275">
        <f t="shared" ca="1" si="15"/>
        <v>0</v>
      </c>
      <c r="R275" t="str">
        <f ca="1">IF($Q275=1,SUM($Q$4:$Q275),"")</f>
        <v/>
      </c>
    </row>
    <row r="276" spans="1:18" ht="14.25" customHeight="1" x14ac:dyDescent="0.3">
      <c r="A276" s="2"/>
      <c r="B276" s="2"/>
      <c r="C276" s="3"/>
      <c r="D276" s="3"/>
      <c r="E276" s="2"/>
      <c r="F276" s="2"/>
      <c r="G276" s="5"/>
      <c r="H276" s="5"/>
      <c r="I276" s="4"/>
      <c r="J276" s="6" t="str">
        <f t="shared" si="14"/>
        <v/>
      </c>
      <c r="K276" s="4" t="str">
        <f t="shared" ca="1" si="16"/>
        <v/>
      </c>
      <c r="L276" s="7" t="str">
        <f>IF($H276="","",$H276-'[2]Read Me'!$B$4)</f>
        <v/>
      </c>
      <c r="M276" s="4" t="str">
        <f>IF($I276="Complete","Green",IF($H276="","Amber",IF($H276&lt;'[2]Read Me'!$B$4,"Red",IF($H276-'[2]Read Me'!$B$4&lt;=21,"Amber","Green"))))</f>
        <v>Amber</v>
      </c>
      <c r="N276" s="3"/>
      <c r="O276" t="str">
        <f>IF($I276&lt;&gt;"Complete",IF(COUNTIFS($A$4:$A275,$A276,$B$4:$B275,$B276,$I$4:$I275,"&lt;&gt;Complete")=0,$A276&amp;"|"&amp;$B276,""),"")</f>
        <v>|</v>
      </c>
      <c r="P276" t="str">
        <f ca="1">IF($K276="Yes",COUNTIFS($K$4:$K276,"Yes"),"")</f>
        <v/>
      </c>
      <c r="Q276">
        <f t="shared" ca="1" si="15"/>
        <v>0</v>
      </c>
      <c r="R276" t="str">
        <f ca="1">IF($Q276=1,SUM($Q$4:$Q276),"")</f>
        <v/>
      </c>
    </row>
    <row r="277" spans="1:18" ht="14.25" customHeight="1" x14ac:dyDescent="0.3">
      <c r="A277" s="2"/>
      <c r="B277" s="2"/>
      <c r="C277" s="3"/>
      <c r="D277" s="3"/>
      <c r="E277" s="2"/>
      <c r="F277" s="2"/>
      <c r="G277" s="5"/>
      <c r="H277" s="5"/>
      <c r="I277" s="4"/>
      <c r="J277" s="6" t="str">
        <f t="shared" si="14"/>
        <v/>
      </c>
      <c r="K277" s="4" t="str">
        <f t="shared" ca="1" si="16"/>
        <v/>
      </c>
      <c r="L277" s="7" t="str">
        <f>IF($H277="","",$H277-'[2]Read Me'!$B$4)</f>
        <v/>
      </c>
      <c r="M277" s="4" t="str">
        <f>IF($I277="Complete","Green",IF($H277="","Amber",IF($H277&lt;'[2]Read Me'!$B$4,"Red",IF($H277-'[2]Read Me'!$B$4&lt;=21,"Amber","Green"))))</f>
        <v>Amber</v>
      </c>
      <c r="N277" s="3"/>
      <c r="O277" t="str">
        <f>IF($I277&lt;&gt;"Complete",IF(COUNTIFS($A$4:$A276,$A277,$B$4:$B276,$B277,$I$4:$I276,"&lt;&gt;Complete")=0,$A277&amp;"|"&amp;$B277,""),"")</f>
        <v>|</v>
      </c>
      <c r="P277" t="str">
        <f ca="1">IF($K277="Yes",COUNTIFS($K$4:$K277,"Yes"),"")</f>
        <v/>
      </c>
      <c r="Q277">
        <f t="shared" ca="1" si="15"/>
        <v>0</v>
      </c>
      <c r="R277" t="str">
        <f ca="1">IF($Q277=1,SUM($Q$4:$Q277),"")</f>
        <v/>
      </c>
    </row>
    <row r="278" spans="1:18" ht="14.25" customHeight="1" x14ac:dyDescent="0.3">
      <c r="A278" s="2"/>
      <c r="B278" s="2"/>
      <c r="C278" s="3"/>
      <c r="D278" s="3"/>
      <c r="E278" s="2"/>
      <c r="F278" s="2"/>
      <c r="G278" s="5"/>
      <c r="H278" s="5"/>
      <c r="I278" s="4"/>
      <c r="J278" s="6" t="str">
        <f t="shared" si="14"/>
        <v/>
      </c>
      <c r="K278" s="4" t="str">
        <f t="shared" ca="1" si="16"/>
        <v/>
      </c>
      <c r="L278" s="7" t="str">
        <f>IF($H278="","",$H278-'[2]Read Me'!$B$4)</f>
        <v/>
      </c>
      <c r="M278" s="4" t="str">
        <f>IF($I278="Complete","Green",IF($H278="","Amber",IF($H278&lt;'[2]Read Me'!$B$4,"Red",IF($H278-'[2]Read Me'!$B$4&lt;=21,"Amber","Green"))))</f>
        <v>Amber</v>
      </c>
      <c r="N278" s="3"/>
      <c r="O278" t="str">
        <f>IF($I278&lt;&gt;"Complete",IF(COUNTIFS($A$4:$A277,$A278,$B$4:$B277,$B278,$I$4:$I277,"&lt;&gt;Complete")=0,$A278&amp;"|"&amp;$B278,""),"")</f>
        <v>|</v>
      </c>
      <c r="P278" t="str">
        <f ca="1">IF($K278="Yes",COUNTIFS($K$4:$K278,"Yes"),"")</f>
        <v/>
      </c>
      <c r="Q278">
        <f t="shared" ca="1" si="15"/>
        <v>0</v>
      </c>
      <c r="R278" t="str">
        <f ca="1">IF($Q278=1,SUM($Q$4:$Q278),"")</f>
        <v/>
      </c>
    </row>
    <row r="279" spans="1:18" ht="14.25" customHeight="1" x14ac:dyDescent="0.3">
      <c r="A279" s="2"/>
      <c r="B279" s="2"/>
      <c r="C279" s="3"/>
      <c r="D279" s="3"/>
      <c r="E279" s="2"/>
      <c r="F279" s="2"/>
      <c r="G279" s="5"/>
      <c r="H279" s="5"/>
      <c r="I279" s="4"/>
      <c r="J279" s="6" t="str">
        <f t="shared" si="14"/>
        <v/>
      </c>
      <c r="K279" s="4" t="str">
        <f t="shared" ca="1" si="16"/>
        <v/>
      </c>
      <c r="L279" s="7" t="str">
        <f>IF($H279="","",$H279-'[2]Read Me'!$B$4)</f>
        <v/>
      </c>
      <c r="M279" s="4" t="str">
        <f>IF($I279="Complete","Green",IF($H279="","Amber",IF($H279&lt;'[2]Read Me'!$B$4,"Red",IF($H279-'[2]Read Me'!$B$4&lt;=21,"Amber","Green"))))</f>
        <v>Amber</v>
      </c>
      <c r="N279" s="3"/>
      <c r="O279" t="str">
        <f>IF($I279&lt;&gt;"Complete",IF(COUNTIFS($A$4:$A278,$A279,$B$4:$B278,$B279,$I$4:$I278,"&lt;&gt;Complete")=0,$A279&amp;"|"&amp;$B279,""),"")</f>
        <v>|</v>
      </c>
      <c r="P279" t="str">
        <f ca="1">IF($K279="Yes",COUNTIFS($K$4:$K279,"Yes"),"")</f>
        <v/>
      </c>
      <c r="Q279">
        <f t="shared" ca="1" si="15"/>
        <v>0</v>
      </c>
      <c r="R279" t="str">
        <f ca="1">IF($Q279=1,SUM($Q$4:$Q279),"")</f>
        <v/>
      </c>
    </row>
    <row r="280" spans="1:18" ht="14.25" customHeight="1" x14ac:dyDescent="0.3">
      <c r="A280" s="2"/>
      <c r="B280" s="2"/>
      <c r="C280" s="3"/>
      <c r="D280" s="3"/>
      <c r="E280" s="2"/>
      <c r="F280" s="2"/>
      <c r="G280" s="5"/>
      <c r="H280" s="5"/>
      <c r="I280" s="4"/>
      <c r="J280" s="6" t="str">
        <f t="shared" si="14"/>
        <v/>
      </c>
      <c r="K280" s="4" t="str">
        <f t="shared" ca="1" si="16"/>
        <v/>
      </c>
      <c r="L280" s="7" t="str">
        <f>IF($H280="","",$H280-'[2]Read Me'!$B$4)</f>
        <v/>
      </c>
      <c r="M280" s="4" t="str">
        <f>IF($I280="Complete","Green",IF($H280="","Amber",IF($H280&lt;'[2]Read Me'!$B$4,"Red",IF($H280-'[2]Read Me'!$B$4&lt;=21,"Amber","Green"))))</f>
        <v>Amber</v>
      </c>
      <c r="N280" s="3"/>
      <c r="O280" t="str">
        <f>IF($I280&lt;&gt;"Complete",IF(COUNTIFS($A$4:$A279,$A280,$B$4:$B279,$B280,$I$4:$I279,"&lt;&gt;Complete")=0,$A280&amp;"|"&amp;$B280,""),"")</f>
        <v>|</v>
      </c>
      <c r="P280" t="str">
        <f ca="1">IF($K280="Yes",COUNTIFS($K$4:$K280,"Yes"),"")</f>
        <v/>
      </c>
      <c r="Q280">
        <f t="shared" ca="1" si="15"/>
        <v>0</v>
      </c>
      <c r="R280" t="str">
        <f ca="1">IF($Q280=1,SUM($Q$4:$Q280),"")</f>
        <v/>
      </c>
    </row>
    <row r="281" spans="1:18" ht="14.25" customHeight="1" x14ac:dyDescent="0.3">
      <c r="A281" s="2"/>
      <c r="B281" s="2"/>
      <c r="C281" s="3"/>
      <c r="D281" s="3"/>
      <c r="E281" s="2"/>
      <c r="F281" s="2"/>
      <c r="G281" s="5"/>
      <c r="H281" s="5"/>
      <c r="I281" s="4"/>
      <c r="J281" s="6" t="str">
        <f t="shared" si="14"/>
        <v/>
      </c>
      <c r="K281" s="4" t="str">
        <f t="shared" ca="1" si="16"/>
        <v/>
      </c>
      <c r="L281" s="7" t="str">
        <f>IF($H281="","",$H281-'[2]Read Me'!$B$4)</f>
        <v/>
      </c>
      <c r="M281" s="4" t="str">
        <f>IF($I281="Complete","Green",IF($H281="","Amber",IF($H281&lt;'[2]Read Me'!$B$4,"Red",IF($H281-'[2]Read Me'!$B$4&lt;=21,"Amber","Green"))))</f>
        <v>Amber</v>
      </c>
      <c r="N281" s="3"/>
      <c r="O281" t="str">
        <f>IF($I281&lt;&gt;"Complete",IF(COUNTIFS($A$4:$A280,$A281,$B$4:$B280,$B281,$I$4:$I280,"&lt;&gt;Complete")=0,$A281&amp;"|"&amp;$B281,""),"")</f>
        <v>|</v>
      </c>
      <c r="P281" t="str">
        <f ca="1">IF($K281="Yes",COUNTIFS($K$4:$K281,"Yes"),"")</f>
        <v/>
      </c>
      <c r="Q281">
        <f t="shared" ca="1" si="15"/>
        <v>0</v>
      </c>
      <c r="R281" t="str">
        <f ca="1">IF($Q281=1,SUM($Q$4:$Q281),"")</f>
        <v/>
      </c>
    </row>
    <row r="282" spans="1:18" ht="14.25" customHeight="1" x14ac:dyDescent="0.3">
      <c r="A282" s="2"/>
      <c r="B282" s="2"/>
      <c r="C282" s="3"/>
      <c r="D282" s="3"/>
      <c r="E282" s="2"/>
      <c r="F282" s="2"/>
      <c r="G282" s="5"/>
      <c r="H282" s="5"/>
      <c r="I282" s="4"/>
      <c r="J282" s="6" t="str">
        <f t="shared" si="14"/>
        <v/>
      </c>
      <c r="K282" s="4" t="str">
        <f t="shared" ca="1" si="16"/>
        <v/>
      </c>
      <c r="L282" s="7" t="str">
        <f>IF($H282="","",$H282-'[2]Read Me'!$B$4)</f>
        <v/>
      </c>
      <c r="M282" s="4" t="str">
        <f>IF($I282="Complete","Green",IF($H282="","Amber",IF($H282&lt;'[2]Read Me'!$B$4,"Red",IF($H282-'[2]Read Me'!$B$4&lt;=21,"Amber","Green"))))</f>
        <v>Amber</v>
      </c>
      <c r="N282" s="3"/>
      <c r="O282" t="str">
        <f>IF($I282&lt;&gt;"Complete",IF(COUNTIFS($A$4:$A281,$A282,$B$4:$B281,$B282,$I$4:$I281,"&lt;&gt;Complete")=0,$A282&amp;"|"&amp;$B282,""),"")</f>
        <v>|</v>
      </c>
      <c r="P282" t="str">
        <f ca="1">IF($K282="Yes",COUNTIFS($K$4:$K282,"Yes"),"")</f>
        <v/>
      </c>
      <c r="Q282">
        <f t="shared" ca="1" si="15"/>
        <v>0</v>
      </c>
      <c r="R282" t="str">
        <f ca="1">IF($Q282=1,SUM($Q$4:$Q282),"")</f>
        <v/>
      </c>
    </row>
    <row r="283" spans="1:18" ht="14.25" customHeight="1" x14ac:dyDescent="0.3">
      <c r="A283" s="2"/>
      <c r="B283" s="2"/>
      <c r="C283" s="3"/>
      <c r="D283" s="3"/>
      <c r="E283" s="2"/>
      <c r="F283" s="2"/>
      <c r="G283" s="5"/>
      <c r="H283" s="5"/>
      <c r="I283" s="4"/>
      <c r="J283" s="6" t="str">
        <f t="shared" si="14"/>
        <v/>
      </c>
      <c r="K283" s="4" t="str">
        <f t="shared" ca="1" si="16"/>
        <v/>
      </c>
      <c r="L283" s="7" t="str">
        <f>IF($H283="","",$H283-'[2]Read Me'!$B$4)</f>
        <v/>
      </c>
      <c r="M283" s="4" t="str">
        <f>IF($I283="Complete","Green",IF($H283="","Amber",IF($H283&lt;'[2]Read Me'!$B$4,"Red",IF($H283-'[2]Read Me'!$B$4&lt;=21,"Amber","Green"))))</f>
        <v>Amber</v>
      </c>
      <c r="N283" s="3"/>
      <c r="O283" t="str">
        <f>IF($I283&lt;&gt;"Complete",IF(COUNTIFS($A$4:$A282,$A283,$B$4:$B282,$B283,$I$4:$I282,"&lt;&gt;Complete")=0,$A283&amp;"|"&amp;$B283,""),"")</f>
        <v>|</v>
      </c>
      <c r="P283" t="str">
        <f ca="1">IF($K283="Yes",COUNTIFS($K$4:$K283,"Yes"),"")</f>
        <v/>
      </c>
      <c r="Q283">
        <f t="shared" ca="1" si="15"/>
        <v>0</v>
      </c>
      <c r="R283" t="str">
        <f ca="1">IF($Q283=1,SUM($Q$4:$Q283),"")</f>
        <v/>
      </c>
    </row>
    <row r="284" spans="1:18" ht="14.25" customHeight="1" x14ac:dyDescent="0.3">
      <c r="A284" s="2"/>
      <c r="B284" s="2"/>
      <c r="C284" s="3"/>
      <c r="D284" s="3"/>
      <c r="E284" s="2"/>
      <c r="F284" s="2"/>
      <c r="G284" s="5"/>
      <c r="H284" s="5"/>
      <c r="I284" s="4"/>
      <c r="J284" s="6" t="str">
        <f t="shared" si="14"/>
        <v/>
      </c>
      <c r="K284" s="4" t="str">
        <f t="shared" ca="1" si="16"/>
        <v/>
      </c>
      <c r="L284" s="7" t="str">
        <f>IF($H284="","",$H284-'[2]Read Me'!$B$4)</f>
        <v/>
      </c>
      <c r="M284" s="4" t="str">
        <f>IF($I284="Complete","Green",IF($H284="","Amber",IF($H284&lt;'[2]Read Me'!$B$4,"Red",IF($H284-'[2]Read Me'!$B$4&lt;=21,"Amber","Green"))))</f>
        <v>Amber</v>
      </c>
      <c r="N284" s="3"/>
      <c r="O284" t="str">
        <f>IF($I284&lt;&gt;"Complete",IF(COUNTIFS($A$4:$A283,$A284,$B$4:$B283,$B284,$I$4:$I283,"&lt;&gt;Complete")=0,$A284&amp;"|"&amp;$B284,""),"")</f>
        <v>|</v>
      </c>
      <c r="P284" t="str">
        <f ca="1">IF($K284="Yes",COUNTIFS($K$4:$K284,"Yes"),"")</f>
        <v/>
      </c>
      <c r="Q284">
        <f t="shared" ca="1" si="15"/>
        <v>0</v>
      </c>
      <c r="R284" t="str">
        <f ca="1">IF($Q284=1,SUM($Q$4:$Q284),"")</f>
        <v/>
      </c>
    </row>
    <row r="285" spans="1:18" ht="14.25" customHeight="1" x14ac:dyDescent="0.3">
      <c r="A285" s="2"/>
      <c r="B285" s="2"/>
      <c r="C285" s="3"/>
      <c r="D285" s="3"/>
      <c r="E285" s="2"/>
      <c r="F285" s="2"/>
      <c r="G285" s="5"/>
      <c r="H285" s="5"/>
      <c r="I285" s="4"/>
      <c r="J285" s="6" t="str">
        <f t="shared" si="14"/>
        <v/>
      </c>
      <c r="K285" s="4" t="str">
        <f t="shared" ca="1" si="16"/>
        <v/>
      </c>
      <c r="L285" s="7" t="str">
        <f>IF($H285="","",$H285-'[2]Read Me'!$B$4)</f>
        <v/>
      </c>
      <c r="M285" s="4" t="str">
        <f>IF($I285="Complete","Green",IF($H285="","Amber",IF($H285&lt;'[2]Read Me'!$B$4,"Red",IF($H285-'[2]Read Me'!$B$4&lt;=21,"Amber","Green"))))</f>
        <v>Amber</v>
      </c>
      <c r="N285" s="3"/>
      <c r="O285" t="str">
        <f>IF($I285&lt;&gt;"Complete",IF(COUNTIFS($A$4:$A284,$A285,$B$4:$B284,$B285,$I$4:$I284,"&lt;&gt;Complete")=0,$A285&amp;"|"&amp;$B285,""),"")</f>
        <v>|</v>
      </c>
      <c r="P285" t="str">
        <f ca="1">IF($K285="Yes",COUNTIFS($K$4:$K285,"Yes"),"")</f>
        <v/>
      </c>
      <c r="Q285">
        <f t="shared" ca="1" si="15"/>
        <v>0</v>
      </c>
      <c r="R285" t="str">
        <f ca="1">IF($Q285=1,SUM($Q$4:$Q285),"")</f>
        <v/>
      </c>
    </row>
    <row r="286" spans="1:18" ht="14.25" customHeight="1" x14ac:dyDescent="0.3">
      <c r="A286" s="2"/>
      <c r="B286" s="2"/>
      <c r="C286" s="3"/>
      <c r="D286" s="3"/>
      <c r="E286" s="2"/>
      <c r="F286" s="2"/>
      <c r="G286" s="5"/>
      <c r="H286" s="5"/>
      <c r="I286" s="4"/>
      <c r="J286" s="6" t="str">
        <f t="shared" si="14"/>
        <v/>
      </c>
      <c r="K286" s="4" t="str">
        <f t="shared" ca="1" si="16"/>
        <v/>
      </c>
      <c r="L286" s="7" t="str">
        <f>IF($H286="","",$H286-'[2]Read Me'!$B$4)</f>
        <v/>
      </c>
      <c r="M286" s="4" t="str">
        <f>IF($I286="Complete","Green",IF($H286="","Amber",IF($H286&lt;'[2]Read Me'!$B$4,"Red",IF($H286-'[2]Read Me'!$B$4&lt;=21,"Amber","Green"))))</f>
        <v>Amber</v>
      </c>
      <c r="N286" s="3"/>
      <c r="O286" t="str">
        <f>IF($I286&lt;&gt;"Complete",IF(COUNTIFS($A$4:$A285,$A286,$B$4:$B285,$B286,$I$4:$I285,"&lt;&gt;Complete")=0,$A286&amp;"|"&amp;$B286,""),"")</f>
        <v>|</v>
      </c>
      <c r="P286" t="str">
        <f ca="1">IF($K286="Yes",COUNTIFS($K$4:$K286,"Yes"),"")</f>
        <v/>
      </c>
      <c r="Q286">
        <f t="shared" ca="1" si="15"/>
        <v>0</v>
      </c>
      <c r="R286" t="str">
        <f ca="1">IF($Q286=1,SUM($Q$4:$Q286),"")</f>
        <v/>
      </c>
    </row>
    <row r="287" spans="1:18" ht="14.25" customHeight="1" x14ac:dyDescent="0.3">
      <c r="A287" s="2"/>
      <c r="B287" s="2"/>
      <c r="C287" s="3"/>
      <c r="D287" s="3"/>
      <c r="E287" s="2"/>
      <c r="F287" s="2"/>
      <c r="G287" s="5"/>
      <c r="H287" s="5"/>
      <c r="I287" s="4"/>
      <c r="J287" s="6" t="str">
        <f t="shared" si="14"/>
        <v/>
      </c>
      <c r="K287" s="4" t="str">
        <f t="shared" ca="1" si="16"/>
        <v/>
      </c>
      <c r="L287" s="7" t="str">
        <f>IF($H287="","",$H287-'[2]Read Me'!$B$4)</f>
        <v/>
      </c>
      <c r="M287" s="4" t="str">
        <f>IF($I287="Complete","Green",IF($H287="","Amber",IF($H287&lt;'[2]Read Me'!$B$4,"Red",IF($H287-'[2]Read Me'!$B$4&lt;=21,"Amber","Green"))))</f>
        <v>Amber</v>
      </c>
      <c r="N287" s="3"/>
      <c r="O287" t="str">
        <f>IF($I287&lt;&gt;"Complete",IF(COUNTIFS($A$4:$A286,$A287,$B$4:$B286,$B287,$I$4:$I286,"&lt;&gt;Complete")=0,$A287&amp;"|"&amp;$B287,""),"")</f>
        <v>|</v>
      </c>
      <c r="P287" t="str">
        <f ca="1">IF($K287="Yes",COUNTIFS($K$4:$K287,"Yes"),"")</f>
        <v/>
      </c>
      <c r="Q287">
        <f t="shared" ca="1" si="15"/>
        <v>0</v>
      </c>
      <c r="R287" t="str">
        <f ca="1">IF($Q287=1,SUM($Q$4:$Q287),"")</f>
        <v/>
      </c>
    </row>
    <row r="288" spans="1:18" ht="14.25" customHeight="1" x14ac:dyDescent="0.3">
      <c r="A288" s="2"/>
      <c r="B288" s="2"/>
      <c r="C288" s="3"/>
      <c r="D288" s="3"/>
      <c r="E288" s="2"/>
      <c r="F288" s="2"/>
      <c r="G288" s="5"/>
      <c r="H288" s="5"/>
      <c r="I288" s="4"/>
      <c r="J288" s="6" t="str">
        <f t="shared" si="14"/>
        <v/>
      </c>
      <c r="K288" s="4" t="str">
        <f t="shared" ca="1" si="16"/>
        <v/>
      </c>
      <c r="L288" s="7" t="str">
        <f>IF($H288="","",$H288-'[2]Read Me'!$B$4)</f>
        <v/>
      </c>
      <c r="M288" s="4" t="str">
        <f>IF($I288="Complete","Green",IF($H288="","Amber",IF($H288&lt;'[2]Read Me'!$B$4,"Red",IF($H288-'[2]Read Me'!$B$4&lt;=21,"Amber","Green"))))</f>
        <v>Amber</v>
      </c>
      <c r="N288" s="3"/>
      <c r="O288" t="str">
        <f>IF($I288&lt;&gt;"Complete",IF(COUNTIFS($A$4:$A287,$A288,$B$4:$B287,$B288,$I$4:$I287,"&lt;&gt;Complete")=0,$A288&amp;"|"&amp;$B288,""),"")</f>
        <v>|</v>
      </c>
      <c r="P288" t="str">
        <f ca="1">IF($K288="Yes",COUNTIFS($K$4:$K288,"Yes"),"")</f>
        <v/>
      </c>
      <c r="Q288">
        <f t="shared" ca="1" si="15"/>
        <v>0</v>
      </c>
      <c r="R288" t="str">
        <f ca="1">IF($Q288=1,SUM($Q$4:$Q288),"")</f>
        <v/>
      </c>
    </row>
    <row r="289" spans="1:18" ht="14.25" customHeight="1" x14ac:dyDescent="0.3">
      <c r="A289" s="2"/>
      <c r="B289" s="2"/>
      <c r="C289" s="3"/>
      <c r="D289" s="3"/>
      <c r="E289" s="2"/>
      <c r="F289" s="2"/>
      <c r="G289" s="5"/>
      <c r="H289" s="5"/>
      <c r="I289" s="4"/>
      <c r="J289" s="6" t="str">
        <f t="shared" si="14"/>
        <v/>
      </c>
      <c r="K289" s="4" t="str">
        <f t="shared" ca="1" si="16"/>
        <v/>
      </c>
      <c r="L289" s="7" t="str">
        <f>IF($H289="","",$H289-'[2]Read Me'!$B$4)</f>
        <v/>
      </c>
      <c r="M289" s="4" t="str">
        <f>IF($I289="Complete","Green",IF($H289="","Amber",IF($H289&lt;'[2]Read Me'!$B$4,"Red",IF($H289-'[2]Read Me'!$B$4&lt;=21,"Amber","Green"))))</f>
        <v>Amber</v>
      </c>
      <c r="N289" s="3"/>
      <c r="O289" t="str">
        <f>IF($I289&lt;&gt;"Complete",IF(COUNTIFS($A$4:$A288,$A289,$B$4:$B288,$B289,$I$4:$I288,"&lt;&gt;Complete")=0,$A289&amp;"|"&amp;$B289,""),"")</f>
        <v>|</v>
      </c>
      <c r="P289" t="str">
        <f ca="1">IF($K289="Yes",COUNTIFS($K$4:$K289,"Yes"),"")</f>
        <v/>
      </c>
      <c r="Q289">
        <f t="shared" ca="1" si="15"/>
        <v>0</v>
      </c>
      <c r="R289" t="str">
        <f ca="1">IF($Q289=1,SUM($Q$4:$Q289),"")</f>
        <v/>
      </c>
    </row>
    <row r="290" spans="1:18" ht="14.25" customHeight="1" x14ac:dyDescent="0.3">
      <c r="A290" s="2"/>
      <c r="B290" s="2"/>
      <c r="C290" s="3"/>
      <c r="D290" s="3"/>
      <c r="E290" s="2"/>
      <c r="F290" s="2"/>
      <c r="G290" s="5"/>
      <c r="H290" s="5"/>
      <c r="I290" s="4"/>
      <c r="J290" s="6" t="str">
        <f t="shared" si="14"/>
        <v/>
      </c>
      <c r="K290" s="4" t="str">
        <f t="shared" ca="1" si="16"/>
        <v/>
      </c>
      <c r="L290" s="7" t="str">
        <f>IF($H290="","",$H290-'[2]Read Me'!$B$4)</f>
        <v/>
      </c>
      <c r="M290" s="4" t="str">
        <f>IF($I290="Complete","Green",IF($H290="","Amber",IF($H290&lt;'[2]Read Me'!$B$4,"Red",IF($H290-'[2]Read Me'!$B$4&lt;=21,"Amber","Green"))))</f>
        <v>Amber</v>
      </c>
      <c r="N290" s="3"/>
      <c r="O290" t="str">
        <f>IF($I290&lt;&gt;"Complete",IF(COUNTIFS($A$4:$A289,$A290,$B$4:$B289,$B290,$I$4:$I289,"&lt;&gt;Complete")=0,$A290&amp;"|"&amp;$B290,""),"")</f>
        <v>|</v>
      </c>
      <c r="P290" t="str">
        <f ca="1">IF($K290="Yes",COUNTIFS($K$4:$K290,"Yes"),"")</f>
        <v/>
      </c>
      <c r="Q290">
        <f t="shared" ca="1" si="15"/>
        <v>0</v>
      </c>
      <c r="R290" t="str">
        <f ca="1">IF($Q290=1,SUM($Q$4:$Q290),"")</f>
        <v/>
      </c>
    </row>
    <row r="291" spans="1:18" ht="14.25" customHeight="1" x14ac:dyDescent="0.3">
      <c r="A291" s="2"/>
      <c r="B291" s="2"/>
      <c r="C291" s="3"/>
      <c r="D291" s="3"/>
      <c r="E291" s="2"/>
      <c r="F291" s="2"/>
      <c r="G291" s="5"/>
      <c r="H291" s="5"/>
      <c r="I291" s="4"/>
      <c r="J291" s="6" t="str">
        <f t="shared" si="14"/>
        <v/>
      </c>
      <c r="K291" s="4" t="str">
        <f t="shared" ca="1" si="16"/>
        <v/>
      </c>
      <c r="L291" s="7" t="str">
        <f>IF($H291="","",$H291-'[2]Read Me'!$B$4)</f>
        <v/>
      </c>
      <c r="M291" s="4" t="str">
        <f>IF($I291="Complete","Green",IF($H291="","Amber",IF($H291&lt;'[2]Read Me'!$B$4,"Red",IF($H291-'[2]Read Me'!$B$4&lt;=21,"Amber","Green"))))</f>
        <v>Amber</v>
      </c>
      <c r="N291" s="3"/>
      <c r="O291" t="str">
        <f>IF($I291&lt;&gt;"Complete",IF(COUNTIFS($A$4:$A290,$A291,$B$4:$B290,$B291,$I$4:$I290,"&lt;&gt;Complete")=0,$A291&amp;"|"&amp;$B291,""),"")</f>
        <v>|</v>
      </c>
      <c r="P291" t="str">
        <f ca="1">IF($K291="Yes",COUNTIFS($K$4:$K291,"Yes"),"")</f>
        <v/>
      </c>
      <c r="Q291">
        <f t="shared" ca="1" si="15"/>
        <v>0</v>
      </c>
      <c r="R291" t="str">
        <f ca="1">IF($Q291=1,SUM($Q$4:$Q291),"")</f>
        <v/>
      </c>
    </row>
    <row r="292" spans="1:18" ht="14.25" customHeight="1" x14ac:dyDescent="0.3">
      <c r="A292" s="2"/>
      <c r="B292" s="2"/>
      <c r="C292" s="3"/>
      <c r="D292" s="3"/>
      <c r="E292" s="2"/>
      <c r="F292" s="2"/>
      <c r="G292" s="5"/>
      <c r="H292" s="5"/>
      <c r="I292" s="4"/>
      <c r="J292" s="6" t="str">
        <f t="shared" si="14"/>
        <v/>
      </c>
      <c r="K292" s="4" t="str">
        <f t="shared" ca="1" si="16"/>
        <v/>
      </c>
      <c r="L292" s="7" t="str">
        <f>IF($H292="","",$H292-'[2]Read Me'!$B$4)</f>
        <v/>
      </c>
      <c r="M292" s="4" t="str">
        <f>IF($I292="Complete","Green",IF($H292="","Amber",IF($H292&lt;'[2]Read Me'!$B$4,"Red",IF($H292-'[2]Read Me'!$B$4&lt;=21,"Amber","Green"))))</f>
        <v>Amber</v>
      </c>
      <c r="N292" s="3"/>
      <c r="O292" t="str">
        <f>IF($I292&lt;&gt;"Complete",IF(COUNTIFS($A$4:$A291,$A292,$B$4:$B291,$B292,$I$4:$I291,"&lt;&gt;Complete")=0,$A292&amp;"|"&amp;$B292,""),"")</f>
        <v>|</v>
      </c>
      <c r="P292" t="str">
        <f ca="1">IF($K292="Yes",COUNTIFS($K$4:$K292,"Yes"),"")</f>
        <v/>
      </c>
      <c r="Q292">
        <f t="shared" ca="1" si="15"/>
        <v>0</v>
      </c>
      <c r="R292" t="str">
        <f ca="1">IF($Q292=1,SUM($Q$4:$Q292),"")</f>
        <v/>
      </c>
    </row>
    <row r="293" spans="1:18" ht="22.5" customHeight="1" x14ac:dyDescent="0.3">
      <c r="A293" s="2"/>
      <c r="B293" s="2"/>
      <c r="C293" s="3"/>
      <c r="D293" s="3"/>
      <c r="E293" s="2"/>
      <c r="F293" s="2"/>
      <c r="G293" s="5"/>
      <c r="H293" s="5"/>
      <c r="I293" s="4"/>
      <c r="J293" s="6" t="str">
        <f t="shared" si="14"/>
        <v/>
      </c>
      <c r="K293" s="4" t="str">
        <f t="shared" ca="1" si="16"/>
        <v/>
      </c>
      <c r="L293" s="7" t="str">
        <f>IF($H293="","",$H293-'[2]Read Me'!$B$4)</f>
        <v/>
      </c>
      <c r="M293" s="4" t="str">
        <f>IF($I293="Complete","Green",IF($H293="","Amber",IF($H293&lt;'[2]Read Me'!$B$4,"Red",IF($H293-'[2]Read Me'!$B$4&lt;=21,"Amber","Green"))))</f>
        <v>Amber</v>
      </c>
      <c r="N293" s="3"/>
      <c r="O293" t="str">
        <f>IF($I293&lt;&gt;"Complete",IF(COUNTIFS($A$4:$A292,$A293,$B$4:$B292,$B293,$I$4:$I292,"&lt;&gt;Complete")=0,$A293&amp;"|"&amp;$B293,""),"")</f>
        <v>|</v>
      </c>
      <c r="P293" t="str">
        <f ca="1">IF($K293="Yes",COUNTIFS($K$4:$K293,"Yes"),"")</f>
        <v/>
      </c>
      <c r="Q293">
        <f t="shared" ca="1" si="15"/>
        <v>0</v>
      </c>
      <c r="R293" t="str">
        <f ca="1">IF($Q293=1,SUM($Q$4:$Q293),"")</f>
        <v/>
      </c>
    </row>
    <row r="294" spans="1:18" ht="22.5" customHeight="1" x14ac:dyDescent="0.3">
      <c r="A294" s="2"/>
      <c r="B294" s="2"/>
      <c r="C294" s="3"/>
      <c r="D294" s="3"/>
      <c r="E294" s="2"/>
      <c r="F294" s="2"/>
      <c r="G294" s="5"/>
      <c r="H294" s="5"/>
      <c r="I294" s="4"/>
      <c r="J294" s="6" t="str">
        <f t="shared" si="14"/>
        <v/>
      </c>
      <c r="K294" s="4" t="str">
        <f t="shared" ca="1" si="16"/>
        <v/>
      </c>
      <c r="L294" s="7" t="str">
        <f>IF($H294="","",$H294-'[2]Read Me'!$B$4)</f>
        <v/>
      </c>
      <c r="M294" s="4" t="str">
        <f>IF($I294="Complete","Green",IF($H294="","Amber",IF($H294&lt;'[2]Read Me'!$B$4,"Red",IF($H294-'[2]Read Me'!$B$4&lt;=21,"Amber","Green"))))</f>
        <v>Amber</v>
      </c>
      <c r="N294" s="3"/>
      <c r="O294" t="str">
        <f>IF($I294&lt;&gt;"Complete",IF(COUNTIFS($A$4:$A293,$A294,$B$4:$B293,$B294,$I$4:$I293,"&lt;&gt;Complete")=0,$A294&amp;"|"&amp;$B294,""),"")</f>
        <v>|</v>
      </c>
      <c r="P294" t="str">
        <f ca="1">IF($K294="Yes",COUNTIFS($K$4:$K294,"Yes"),"")</f>
        <v/>
      </c>
      <c r="Q294">
        <f t="shared" ca="1" si="15"/>
        <v>0</v>
      </c>
      <c r="R294" t="str">
        <f ca="1">IF($Q294=1,SUM($Q$4:$Q294),"")</f>
        <v/>
      </c>
    </row>
    <row r="295" spans="1:18" ht="22.5" customHeight="1" x14ac:dyDescent="0.3">
      <c r="A295" s="2"/>
      <c r="B295" s="2"/>
      <c r="C295" s="3"/>
      <c r="D295" s="3"/>
      <c r="E295" s="2"/>
      <c r="F295" s="2"/>
      <c r="G295" s="5"/>
      <c r="H295" s="5"/>
      <c r="I295" s="4"/>
      <c r="J295" s="6" t="str">
        <f t="shared" si="14"/>
        <v/>
      </c>
      <c r="K295" s="4" t="str">
        <f t="shared" ca="1" si="16"/>
        <v/>
      </c>
      <c r="L295" s="7" t="str">
        <f>IF($H295="","",$H295-'[2]Read Me'!$B$4)</f>
        <v/>
      </c>
      <c r="M295" s="4" t="str">
        <f>IF($I295="Complete","Green",IF($H295="","Amber",IF($H295&lt;'[2]Read Me'!$B$4,"Red",IF($H295-'[2]Read Me'!$B$4&lt;=21,"Amber","Green"))))</f>
        <v>Amber</v>
      </c>
      <c r="N295" s="3"/>
      <c r="O295" t="str">
        <f>IF($I295&lt;&gt;"Complete",IF(COUNTIFS($A$4:$A294,$A295,$B$4:$B294,$B295,$I$4:$I294,"&lt;&gt;Complete")=0,$A295&amp;"|"&amp;$B295,""),"")</f>
        <v>|</v>
      </c>
      <c r="P295" t="str">
        <f ca="1">IF($K295="Yes",COUNTIFS($K$4:$K295,"Yes"),"")</f>
        <v/>
      </c>
      <c r="Q295">
        <f t="shared" ca="1" si="15"/>
        <v>0</v>
      </c>
      <c r="R295" t="str">
        <f ca="1">IF($Q295=1,SUM($Q$4:$Q295),"")</f>
        <v/>
      </c>
    </row>
    <row r="296" spans="1:18" ht="22.5" customHeight="1" x14ac:dyDescent="0.3">
      <c r="A296" s="2"/>
      <c r="B296" s="2"/>
      <c r="C296" s="3"/>
      <c r="D296" s="3"/>
      <c r="E296" s="2"/>
      <c r="F296" s="2"/>
      <c r="G296" s="5"/>
      <c r="H296" s="5"/>
      <c r="I296" s="4"/>
      <c r="J296" s="6" t="str">
        <f t="shared" si="14"/>
        <v/>
      </c>
      <c r="K296" s="4" t="str">
        <f t="shared" ca="1" si="16"/>
        <v/>
      </c>
      <c r="L296" s="7" t="str">
        <f>IF($H296="","",$H296-'[2]Read Me'!$B$4)</f>
        <v/>
      </c>
      <c r="M296" s="4" t="str">
        <f>IF($I296="Complete","Green",IF($H296="","Amber",IF($H296&lt;'[2]Read Me'!$B$4,"Red",IF($H296-'[2]Read Me'!$B$4&lt;=21,"Amber","Green"))))</f>
        <v>Amber</v>
      </c>
      <c r="N296" s="3"/>
      <c r="O296" t="str">
        <f>IF($I296&lt;&gt;"Complete",IF(COUNTIFS($A$4:$A295,$A296,$B$4:$B295,$B296,$I$4:$I295,"&lt;&gt;Complete")=0,$A296&amp;"|"&amp;$B296,""),"")</f>
        <v>|</v>
      </c>
      <c r="P296" t="str">
        <f ca="1">IF($K296="Yes",COUNTIFS($K$4:$K296,"Yes"),"")</f>
        <v/>
      </c>
      <c r="Q296">
        <f t="shared" ca="1" si="15"/>
        <v>0</v>
      </c>
      <c r="R296" t="str">
        <f ca="1">IF($Q296=1,SUM($Q$4:$Q296),"")</f>
        <v/>
      </c>
    </row>
    <row r="297" spans="1:18" ht="22.5" customHeight="1" x14ac:dyDescent="0.3">
      <c r="A297" s="2"/>
      <c r="B297" s="2"/>
      <c r="C297" s="3"/>
      <c r="D297" s="3"/>
      <c r="E297" s="2"/>
      <c r="F297" s="2"/>
      <c r="G297" s="5"/>
      <c r="H297" s="5"/>
      <c r="I297" s="4"/>
      <c r="J297" s="6" t="str">
        <f t="shared" si="14"/>
        <v/>
      </c>
      <c r="K297" s="4" t="str">
        <f t="shared" ca="1" si="16"/>
        <v/>
      </c>
      <c r="L297" s="7" t="str">
        <f>IF($H297="","",$H297-'[2]Read Me'!$B$4)</f>
        <v/>
      </c>
      <c r="M297" s="4" t="str">
        <f>IF($I297="Complete","Green",IF($H297="","Amber",IF($H297&lt;'[2]Read Me'!$B$4,"Red",IF($H297-'[2]Read Me'!$B$4&lt;=21,"Amber","Green"))))</f>
        <v>Amber</v>
      </c>
      <c r="N297" s="3"/>
      <c r="O297" t="str">
        <f>IF($I297&lt;&gt;"Complete",IF(COUNTIFS($A$4:$A296,$A297,$B$4:$B296,$B297,$I$4:$I296,"&lt;&gt;Complete")=0,$A297&amp;"|"&amp;$B297,""),"")</f>
        <v>|</v>
      </c>
      <c r="P297" t="str">
        <f ca="1">IF($K297="Yes",COUNTIFS($K$4:$K297,"Yes"),"")</f>
        <v/>
      </c>
      <c r="Q297">
        <f t="shared" ca="1" si="15"/>
        <v>0</v>
      </c>
      <c r="R297" t="str">
        <f ca="1">IF($Q297=1,SUM($Q$4:$Q297),"")</f>
        <v/>
      </c>
    </row>
    <row r="298" spans="1:18" ht="22.5" customHeight="1" x14ac:dyDescent="0.3">
      <c r="A298" s="2"/>
      <c r="B298" s="2"/>
      <c r="C298" s="3"/>
      <c r="D298" s="3"/>
      <c r="E298" s="2"/>
      <c r="F298" s="2"/>
      <c r="G298" s="5"/>
      <c r="H298" s="5"/>
      <c r="I298" s="4"/>
      <c r="J298" s="6" t="str">
        <f t="shared" si="14"/>
        <v/>
      </c>
      <c r="K298" s="4" t="str">
        <f t="shared" ca="1" si="16"/>
        <v/>
      </c>
      <c r="L298" s="7" t="str">
        <f>IF($H298="","",$H298-'[2]Read Me'!$B$4)</f>
        <v/>
      </c>
      <c r="M298" s="4" t="str">
        <f>IF($I298="Complete","Green",IF($H298="","Amber",IF($H298&lt;'[2]Read Me'!$B$4,"Red",IF($H298-'[2]Read Me'!$B$4&lt;=21,"Amber","Green"))))</f>
        <v>Amber</v>
      </c>
      <c r="N298" s="3"/>
      <c r="O298" t="str">
        <f>IF($I298&lt;&gt;"Complete",IF(COUNTIFS($A$4:$A297,$A298,$B$4:$B297,$B298,$I$4:$I297,"&lt;&gt;Complete")=0,$A298&amp;"|"&amp;$B298,""),"")</f>
        <v>|</v>
      </c>
      <c r="P298" t="str">
        <f ca="1">IF($K298="Yes",COUNTIFS($K$4:$K298,"Yes"),"")</f>
        <v/>
      </c>
      <c r="Q298">
        <f t="shared" ca="1" si="15"/>
        <v>0</v>
      </c>
      <c r="R298" t="str">
        <f ca="1">IF($Q298=1,SUM($Q$4:$Q298),"")</f>
        <v/>
      </c>
    </row>
    <row r="299" spans="1:18" ht="22.5" customHeight="1" x14ac:dyDescent="0.3">
      <c r="A299" s="2"/>
      <c r="B299" s="2"/>
      <c r="C299" s="3"/>
      <c r="D299" s="3"/>
      <c r="E299" s="2"/>
      <c r="F299" s="2"/>
      <c r="G299" s="5"/>
      <c r="H299" s="5"/>
      <c r="I299" s="4"/>
      <c r="J299" s="6" t="str">
        <f t="shared" si="14"/>
        <v/>
      </c>
      <c r="K299" s="4" t="str">
        <f t="shared" ca="1" si="16"/>
        <v/>
      </c>
      <c r="L299" s="7" t="str">
        <f>IF($H299="","",$H299-'[2]Read Me'!$B$4)</f>
        <v/>
      </c>
      <c r="M299" s="4" t="str">
        <f>IF($I299="Complete","Green",IF($H299="","Amber",IF($H299&lt;'[2]Read Me'!$B$4,"Red",IF($H299-'[2]Read Me'!$B$4&lt;=21,"Amber","Green"))))</f>
        <v>Amber</v>
      </c>
      <c r="N299" s="3"/>
      <c r="O299" t="str">
        <f>IF($I299&lt;&gt;"Complete",IF(COUNTIFS($A$4:$A298,$A299,$B$4:$B298,$B299,$I$4:$I298,"&lt;&gt;Complete")=0,$A299&amp;"|"&amp;$B299,""),"")</f>
        <v>|</v>
      </c>
      <c r="P299" t="str">
        <f ca="1">IF($K299="Yes",COUNTIFS($K$4:$K299,"Yes"),"")</f>
        <v/>
      </c>
      <c r="Q299">
        <f t="shared" ca="1" si="15"/>
        <v>0</v>
      </c>
      <c r="R299" t="str">
        <f ca="1">IF($Q299=1,SUM($Q$4:$Q299),"")</f>
        <v/>
      </c>
    </row>
    <row r="300" spans="1:18" ht="22.5" customHeight="1" x14ac:dyDescent="0.3">
      <c r="A300" s="2"/>
      <c r="B300" s="2"/>
      <c r="C300" s="3"/>
      <c r="D300" s="3"/>
      <c r="E300" s="2"/>
      <c r="F300" s="2"/>
      <c r="G300" s="5"/>
      <c r="H300" s="5"/>
      <c r="I300" s="4"/>
      <c r="J300" s="6" t="str">
        <f t="shared" si="14"/>
        <v/>
      </c>
      <c r="K300" s="4" t="str">
        <f t="shared" ca="1" si="16"/>
        <v/>
      </c>
      <c r="L300" s="7" t="str">
        <f>IF($H300="","",$H300-'[2]Read Me'!$B$4)</f>
        <v/>
      </c>
      <c r="M300" s="4" t="str">
        <f>IF($I300="Complete","Green",IF($H300="","Amber",IF($H300&lt;'[2]Read Me'!$B$4,"Red",IF($H300-'[2]Read Me'!$B$4&lt;=21,"Amber","Green"))))</f>
        <v>Amber</v>
      </c>
      <c r="N300" s="3"/>
      <c r="O300" t="str">
        <f>IF($I300&lt;&gt;"Complete",IF(COUNTIFS($A$4:$A299,$A300,$B$4:$B299,$B300,$I$4:$I299,"&lt;&gt;Complete")=0,$A300&amp;"|"&amp;$B300,""),"")</f>
        <v>|</v>
      </c>
      <c r="P300" t="str">
        <f ca="1">IF($K300="Yes",COUNTIFS($K$4:$K300,"Yes"),"")</f>
        <v/>
      </c>
      <c r="Q300">
        <f t="shared" ca="1" si="15"/>
        <v>0</v>
      </c>
      <c r="R300" t="str">
        <f ca="1">IF($Q300=1,SUM($Q$4:$Q300),"")</f>
        <v/>
      </c>
    </row>
    <row r="301" spans="1:18" ht="22.5" customHeight="1" x14ac:dyDescent="0.3">
      <c r="A301" s="2"/>
      <c r="B301" s="2"/>
      <c r="C301" s="3"/>
      <c r="D301" s="3"/>
      <c r="E301" s="2"/>
      <c r="F301" s="2"/>
      <c r="G301" s="5"/>
      <c r="H301" s="5"/>
      <c r="I301" s="4"/>
      <c r="J301" s="6" t="str">
        <f t="shared" si="14"/>
        <v/>
      </c>
      <c r="K301" s="4" t="str">
        <f t="shared" ca="1" si="16"/>
        <v/>
      </c>
      <c r="L301" s="7" t="str">
        <f>IF($H301="","",$H301-'[2]Read Me'!$B$4)</f>
        <v/>
      </c>
      <c r="M301" s="4" t="str">
        <f>IF($I301="Complete","Green",IF($H301="","Amber",IF($H301&lt;'[2]Read Me'!$B$4,"Red",IF($H301-'[2]Read Me'!$B$4&lt;=21,"Amber","Green"))))</f>
        <v>Amber</v>
      </c>
      <c r="N301" s="3"/>
      <c r="O301" t="str">
        <f>IF($I301&lt;&gt;"Complete",IF(COUNTIFS($A$4:$A300,$A301,$B$4:$B300,$B301,$I$4:$I300,"&lt;&gt;Complete")=0,$A301&amp;"|"&amp;$B301,""),"")</f>
        <v>|</v>
      </c>
      <c r="P301" t="str">
        <f ca="1">IF($K301="Yes",COUNTIFS($K$4:$K301,"Yes"),"")</f>
        <v/>
      </c>
      <c r="Q301">
        <f t="shared" ca="1" si="15"/>
        <v>0</v>
      </c>
      <c r="R301" t="str">
        <f ca="1">IF($Q301=1,SUM($Q$4:$Q301),"")</f>
        <v/>
      </c>
    </row>
    <row r="302" spans="1:18" ht="22.5" customHeight="1" x14ac:dyDescent="0.3">
      <c r="A302" s="2"/>
      <c r="B302" s="2"/>
      <c r="C302" s="3"/>
      <c r="D302" s="3"/>
      <c r="E302" s="2"/>
      <c r="F302" s="2"/>
      <c r="G302" s="5"/>
      <c r="H302" s="5"/>
      <c r="I302" s="4"/>
      <c r="J302" s="6" t="str">
        <f t="shared" si="14"/>
        <v/>
      </c>
      <c r="K302" s="4" t="str">
        <f t="shared" ca="1" si="16"/>
        <v/>
      </c>
      <c r="L302" s="7" t="str">
        <f>IF($H302="","",$H302-'[2]Read Me'!$B$4)</f>
        <v/>
      </c>
      <c r="M302" s="4" t="str">
        <f>IF($I302="Complete","Green",IF($H302="","Amber",IF($H302&lt;'[2]Read Me'!$B$4,"Red",IF($H302-'[2]Read Me'!$B$4&lt;=21,"Amber","Green"))))</f>
        <v>Amber</v>
      </c>
      <c r="N302" s="3"/>
      <c r="O302" t="str">
        <f>IF($I302&lt;&gt;"Complete",IF(COUNTIFS($A$4:$A301,$A302,$B$4:$B301,$B302,$I$4:$I301,"&lt;&gt;Complete")=0,$A302&amp;"|"&amp;$B302,""),"")</f>
        <v>|</v>
      </c>
      <c r="P302" t="str">
        <f ca="1">IF($K302="Yes",COUNTIFS($K$4:$K302,"Yes"),"")</f>
        <v/>
      </c>
      <c r="Q302">
        <f t="shared" ca="1" si="15"/>
        <v>0</v>
      </c>
      <c r="R302" t="str">
        <f ca="1">IF($Q302=1,SUM($Q$4:$Q302),"")</f>
        <v/>
      </c>
    </row>
    <row r="303" spans="1:18" ht="22.5" customHeight="1" x14ac:dyDescent="0.3">
      <c r="A303" s="2"/>
      <c r="B303" s="2"/>
      <c r="C303" s="3"/>
      <c r="D303" s="3"/>
      <c r="E303" s="2"/>
      <c r="F303" s="2"/>
      <c r="G303" s="5"/>
      <c r="H303" s="5"/>
      <c r="I303" s="4"/>
      <c r="J303" s="6" t="str">
        <f t="shared" si="14"/>
        <v/>
      </c>
      <c r="K303" s="4" t="str">
        <f t="shared" ca="1" si="16"/>
        <v/>
      </c>
      <c r="L303" s="7" t="str">
        <f>IF($H303="","",$H303-'[2]Read Me'!$B$4)</f>
        <v/>
      </c>
      <c r="M303" s="4" t="str">
        <f>IF($I303="Complete","Green",IF($H303="","Amber",IF($H303&lt;'[2]Read Me'!$B$4,"Red",IF($H303-'[2]Read Me'!$B$4&lt;=21,"Amber","Green"))))</f>
        <v>Amber</v>
      </c>
      <c r="N303" s="3"/>
      <c r="O303" t="str">
        <f>IF($I303&lt;&gt;"Complete",IF(COUNTIFS($A$4:$A302,$A303,$B$4:$B302,$B303,$I$4:$I302,"&lt;&gt;Complete")=0,$A303&amp;"|"&amp;$B303,""),"")</f>
        <v>|</v>
      </c>
      <c r="P303" t="str">
        <f ca="1">IF($K303="Yes",COUNTIFS($K$4:$K303,"Yes"),"")</f>
        <v/>
      </c>
      <c r="Q303">
        <f t="shared" ca="1" si="15"/>
        <v>0</v>
      </c>
      <c r="R303" t="str">
        <f ca="1">IF($Q303=1,SUM($Q$4:$Q303),"")</f>
        <v/>
      </c>
    </row>
    <row r="304" spans="1:18" ht="22.5" customHeight="1" x14ac:dyDescent="0.3">
      <c r="A304" s="2"/>
      <c r="B304" s="2"/>
      <c r="C304" s="3"/>
      <c r="D304" s="3"/>
      <c r="E304" s="2"/>
      <c r="F304" s="2"/>
      <c r="G304" s="5"/>
      <c r="H304" s="5"/>
      <c r="I304" s="4"/>
      <c r="J304" s="6" t="str">
        <f t="shared" si="14"/>
        <v/>
      </c>
      <c r="K304" s="4" t="str">
        <f t="shared" ca="1" si="16"/>
        <v/>
      </c>
      <c r="L304" s="7" t="str">
        <f>IF($H304="","",$H304-'[2]Read Me'!$B$4)</f>
        <v/>
      </c>
      <c r="M304" s="4" t="str">
        <f>IF($I304="Complete","Green",IF($H304="","Amber",IF($H304&lt;'[2]Read Me'!$B$4,"Red",IF($H304-'[2]Read Me'!$B$4&lt;=21,"Amber","Green"))))</f>
        <v>Amber</v>
      </c>
      <c r="N304" s="3"/>
      <c r="O304" t="str">
        <f>IF($I304&lt;&gt;"Complete",IF(COUNTIFS($A$4:$A303,$A304,$B$4:$B303,$B304,$I$4:$I303,"&lt;&gt;Complete")=0,$A304&amp;"|"&amp;$B304,""),"")</f>
        <v>|</v>
      </c>
      <c r="P304" t="str">
        <f ca="1">IF($K304="Yes",COUNTIFS($K$4:$K304,"Yes"),"")</f>
        <v/>
      </c>
      <c r="Q304">
        <f t="shared" ca="1" si="15"/>
        <v>0</v>
      </c>
      <c r="R304" t="str">
        <f ca="1">IF($Q304=1,SUM($Q$4:$Q304),"")</f>
        <v/>
      </c>
    </row>
    <row r="305" spans="1:18" ht="22.5" customHeight="1" x14ac:dyDescent="0.3">
      <c r="A305" s="2"/>
      <c r="B305" s="2"/>
      <c r="C305" s="3"/>
      <c r="D305" s="3"/>
      <c r="E305" s="2"/>
      <c r="F305" s="2"/>
      <c r="G305" s="5"/>
      <c r="H305" s="5"/>
      <c r="I305" s="4"/>
      <c r="J305" s="6" t="str">
        <f t="shared" si="14"/>
        <v/>
      </c>
      <c r="K305" s="4" t="str">
        <f t="shared" ca="1" si="16"/>
        <v/>
      </c>
      <c r="L305" s="7" t="str">
        <f>IF($H305="","",$H305-'[2]Read Me'!$B$4)</f>
        <v/>
      </c>
      <c r="M305" s="4" t="str">
        <f>IF($I305="Complete","Green",IF($H305="","Amber",IF($H305&lt;'[2]Read Me'!$B$4,"Red",IF($H305-'[2]Read Me'!$B$4&lt;=21,"Amber","Green"))))</f>
        <v>Amber</v>
      </c>
      <c r="N305" s="3"/>
      <c r="O305" t="str">
        <f>IF($I305&lt;&gt;"Complete",IF(COUNTIFS($A$4:$A304,$A305,$B$4:$B304,$B305,$I$4:$I304,"&lt;&gt;Complete")=0,$A305&amp;"|"&amp;$B305,""),"")</f>
        <v>|</v>
      </c>
      <c r="P305" t="str">
        <f ca="1">IF($K305="Yes",COUNTIFS($K$4:$K305,"Yes"),"")</f>
        <v/>
      </c>
      <c r="Q305">
        <f t="shared" ca="1" si="15"/>
        <v>0</v>
      </c>
      <c r="R305" t="str">
        <f ca="1">IF($Q305=1,SUM($Q$4:$Q305),"")</f>
        <v/>
      </c>
    </row>
    <row r="306" spans="1:18" ht="22.5" customHeight="1" x14ac:dyDescent="0.3">
      <c r="A306" s="2"/>
      <c r="B306" s="2"/>
      <c r="C306" s="3"/>
      <c r="D306" s="3"/>
      <c r="E306" s="2"/>
      <c r="F306" s="2"/>
      <c r="G306" s="5"/>
      <c r="H306" s="5"/>
      <c r="I306" s="4"/>
      <c r="J306" s="6" t="str">
        <f t="shared" si="14"/>
        <v/>
      </c>
      <c r="K306" s="4" t="str">
        <f t="shared" ca="1" si="16"/>
        <v/>
      </c>
      <c r="L306" s="7" t="str">
        <f>IF($H306="","",$H306-'[2]Read Me'!$B$4)</f>
        <v/>
      </c>
      <c r="M306" s="4" t="str">
        <f>IF($I306="Complete","Green",IF($H306="","Amber",IF($H306&lt;'[2]Read Me'!$B$4,"Red",IF($H306-'[2]Read Me'!$B$4&lt;=21,"Amber","Green"))))</f>
        <v>Amber</v>
      </c>
      <c r="N306" s="3"/>
      <c r="O306" t="str">
        <f>IF($I306&lt;&gt;"Complete",IF(COUNTIFS($A$4:$A305,$A306,$B$4:$B305,$B306,$I$4:$I305,"&lt;&gt;Complete")=0,$A306&amp;"|"&amp;$B306,""),"")</f>
        <v>|</v>
      </c>
      <c r="P306" t="str">
        <f ca="1">IF($K306="Yes",COUNTIFS($K$4:$K306,"Yes"),"")</f>
        <v/>
      </c>
      <c r="Q306">
        <f t="shared" ca="1" si="15"/>
        <v>0</v>
      </c>
      <c r="R306" t="str">
        <f ca="1">IF($Q306=1,SUM($Q$4:$Q306),"")</f>
        <v/>
      </c>
    </row>
    <row r="307" spans="1:18" ht="22.5" customHeight="1" x14ac:dyDescent="0.3">
      <c r="A307" s="2"/>
      <c r="B307" s="2"/>
      <c r="C307" s="3"/>
      <c r="D307" s="3"/>
      <c r="E307" s="2"/>
      <c r="F307" s="2"/>
      <c r="G307" s="5"/>
      <c r="H307" s="5"/>
      <c r="I307" s="4"/>
      <c r="J307" s="6" t="str">
        <f t="shared" si="14"/>
        <v/>
      </c>
      <c r="K307" s="4" t="str">
        <f t="shared" ca="1" si="16"/>
        <v/>
      </c>
      <c r="L307" s="7" t="str">
        <f>IF($H307="","",$H307-'[2]Read Me'!$B$4)</f>
        <v/>
      </c>
      <c r="M307" s="4" t="str">
        <f>IF($I307="Complete","Green",IF($H307="","Amber",IF($H307&lt;'[2]Read Me'!$B$4,"Red",IF($H307-'[2]Read Me'!$B$4&lt;=21,"Amber","Green"))))</f>
        <v>Amber</v>
      </c>
      <c r="N307" s="3"/>
      <c r="O307" t="str">
        <f>IF($I307&lt;&gt;"Complete",IF(COUNTIFS($A$4:$A306,$A307,$B$4:$B306,$B307,$I$4:$I306,"&lt;&gt;Complete")=0,$A307&amp;"|"&amp;$B307,""),"")</f>
        <v>|</v>
      </c>
      <c r="P307" t="str">
        <f ca="1">IF($K307="Yes",COUNTIFS($K$4:$K307,"Yes"),"")</f>
        <v/>
      </c>
      <c r="Q307">
        <f t="shared" ca="1" si="15"/>
        <v>0</v>
      </c>
      <c r="R307" t="str">
        <f ca="1">IF($Q307=1,SUM($Q$4:$Q307),"")</f>
        <v/>
      </c>
    </row>
    <row r="308" spans="1:18" ht="22.5" customHeight="1" x14ac:dyDescent="0.3">
      <c r="A308" s="2"/>
      <c r="B308" s="2"/>
      <c r="C308" s="3"/>
      <c r="D308" s="3"/>
      <c r="E308" s="2"/>
      <c r="F308" s="2"/>
      <c r="G308" s="5"/>
      <c r="H308" s="5"/>
      <c r="I308" s="4"/>
      <c r="J308" s="6" t="str">
        <f t="shared" si="14"/>
        <v/>
      </c>
      <c r="K308" s="4" t="str">
        <f t="shared" ca="1" si="16"/>
        <v/>
      </c>
      <c r="L308" s="7" t="str">
        <f>IF($H308="","",$H308-'[2]Read Me'!$B$4)</f>
        <v/>
      </c>
      <c r="M308" s="4" t="str">
        <f>IF($I308="Complete","Green",IF($H308="","Amber",IF($H308&lt;'[2]Read Me'!$B$4,"Red",IF($H308-'[2]Read Me'!$B$4&lt;=21,"Amber","Green"))))</f>
        <v>Amber</v>
      </c>
      <c r="N308" s="3"/>
      <c r="O308" t="str">
        <f>IF($I308&lt;&gt;"Complete",IF(COUNTIFS($A$4:$A307,$A308,$B$4:$B307,$B308,$I$4:$I307,"&lt;&gt;Complete")=0,$A308&amp;"|"&amp;$B308,""),"")</f>
        <v>|</v>
      </c>
      <c r="P308" t="str">
        <f ca="1">IF($K308="Yes",COUNTIFS($K$4:$K308,"Yes"),"")</f>
        <v/>
      </c>
      <c r="Q308">
        <f t="shared" ca="1" si="15"/>
        <v>0</v>
      </c>
      <c r="R308" t="str">
        <f ca="1">IF($Q308=1,SUM($Q$4:$Q308),"")</f>
        <v/>
      </c>
    </row>
    <row r="309" spans="1:18" ht="22.5" customHeight="1" x14ac:dyDescent="0.3">
      <c r="A309" s="2"/>
      <c r="B309" s="2"/>
      <c r="C309" s="3"/>
      <c r="D309" s="3"/>
      <c r="E309" s="2"/>
      <c r="F309" s="2"/>
      <c r="G309" s="5"/>
      <c r="H309" s="5"/>
      <c r="I309" s="4"/>
      <c r="J309" s="6" t="str">
        <f t="shared" si="14"/>
        <v/>
      </c>
      <c r="K309" s="4" t="str">
        <f t="shared" ca="1" si="16"/>
        <v/>
      </c>
      <c r="L309" s="7" t="str">
        <f>IF($H309="","",$H309-'[2]Read Me'!$B$4)</f>
        <v/>
      </c>
      <c r="M309" s="4" t="str">
        <f>IF($I309="Complete","Green",IF($H309="","Amber",IF($H309&lt;'[2]Read Me'!$B$4,"Red",IF($H309-'[2]Read Me'!$B$4&lt;=21,"Amber","Green"))))</f>
        <v>Amber</v>
      </c>
      <c r="N309" s="3"/>
      <c r="O309" t="str">
        <f>IF($I309&lt;&gt;"Complete",IF(COUNTIFS($A$4:$A308,$A309,$B$4:$B308,$B309,$I$4:$I308,"&lt;&gt;Complete")=0,$A309&amp;"|"&amp;$B309,""),"")</f>
        <v>|</v>
      </c>
      <c r="P309" t="str">
        <f ca="1">IF($K309="Yes",COUNTIFS($K$4:$K309,"Yes"),"")</f>
        <v/>
      </c>
      <c r="Q309">
        <f t="shared" ca="1" si="15"/>
        <v>0</v>
      </c>
      <c r="R309" t="str">
        <f ca="1">IF($Q309=1,SUM($Q$4:$Q309),"")</f>
        <v/>
      </c>
    </row>
    <row r="310" spans="1:18" ht="14.25" customHeight="1" x14ac:dyDescent="0.3">
      <c r="A310" s="2"/>
      <c r="B310" s="2"/>
      <c r="C310" s="3"/>
      <c r="D310" s="3"/>
      <c r="E310" s="2"/>
      <c r="F310" s="2"/>
      <c r="G310" s="5"/>
      <c r="H310" s="5"/>
      <c r="I310" s="4"/>
      <c r="J310" s="6" t="str">
        <f t="shared" si="14"/>
        <v/>
      </c>
      <c r="K310" s="4" t="str">
        <f t="shared" ca="1" si="16"/>
        <v/>
      </c>
      <c r="L310" s="7" t="str">
        <f>IF($H310="","",$H310-'[2]Read Me'!$B$4)</f>
        <v/>
      </c>
      <c r="M310" s="4" t="str">
        <f>IF($I310="Complete","Green",IF($H310="","Amber",IF($H310&lt;'[2]Read Me'!$B$4,"Red",IF($H310-'[2]Read Me'!$B$4&lt;=21,"Amber","Green"))))</f>
        <v>Amber</v>
      </c>
      <c r="N310" s="3"/>
      <c r="O310" t="str">
        <f>IF($I310&lt;&gt;"Complete",IF(COUNTIFS($A$4:$A309,$A310,$B$4:$B309,$B310,$I$4:$I309,"&lt;&gt;Complete")=0,$A310&amp;"|"&amp;$B310,""),"")</f>
        <v>|</v>
      </c>
      <c r="P310" t="str">
        <f ca="1">IF($K310="Yes",COUNTIFS($K$4:$K310,"Yes"),"")</f>
        <v/>
      </c>
      <c r="Q310">
        <f t="shared" ca="1" si="15"/>
        <v>0</v>
      </c>
      <c r="R310" t="str">
        <f ca="1">IF($Q310=1,SUM($Q$4:$Q310),"")</f>
        <v/>
      </c>
    </row>
    <row r="311" spans="1:18" ht="14.25" customHeight="1" x14ac:dyDescent="0.3">
      <c r="A311" s="2"/>
      <c r="B311" s="2"/>
      <c r="C311" s="3"/>
      <c r="D311" s="3"/>
      <c r="E311" s="2"/>
      <c r="F311" s="2"/>
      <c r="G311" s="5"/>
      <c r="H311" s="5"/>
      <c r="I311" s="4"/>
      <c r="J311" s="6" t="str">
        <f t="shared" si="14"/>
        <v/>
      </c>
      <c r="K311" s="4" t="str">
        <f t="shared" ca="1" si="16"/>
        <v/>
      </c>
      <c r="L311" s="7" t="str">
        <f>IF($H311="","",$H311-'[2]Read Me'!$B$4)</f>
        <v/>
      </c>
      <c r="M311" s="4" t="str">
        <f>IF($I311="Complete","Green",IF($H311="","Amber",IF($H311&lt;'[2]Read Me'!$B$4,"Red",IF($H311-'[2]Read Me'!$B$4&lt;=21,"Amber","Green"))))</f>
        <v>Amber</v>
      </c>
      <c r="N311" s="3"/>
      <c r="O311" t="str">
        <f>IF($I311&lt;&gt;"Complete",IF(COUNTIFS($A$4:$A310,$A311,$B$4:$B310,$B311,$I$4:$I310,"&lt;&gt;Complete")=0,$A311&amp;"|"&amp;$B311,""),"")</f>
        <v>|</v>
      </c>
      <c r="P311" t="str">
        <f ca="1">IF($K311="Yes",COUNTIFS($K$4:$K311,"Yes"),"")</f>
        <v/>
      </c>
      <c r="Q311">
        <f t="shared" ca="1" si="15"/>
        <v>0</v>
      </c>
      <c r="R311" t="str">
        <f ca="1">IF($Q311=1,SUM($Q$4:$Q311),"")</f>
        <v/>
      </c>
    </row>
    <row r="312" spans="1:18" ht="14.25" customHeight="1" x14ac:dyDescent="0.3">
      <c r="A312" s="2"/>
      <c r="B312" s="2"/>
      <c r="C312" s="3"/>
      <c r="D312" s="3"/>
      <c r="E312" s="2"/>
      <c r="F312" s="2"/>
      <c r="G312" s="5"/>
      <c r="H312" s="5"/>
      <c r="I312" s="4"/>
      <c r="J312" s="6" t="str">
        <f t="shared" si="14"/>
        <v/>
      </c>
      <c r="K312" s="4" t="str">
        <f t="shared" ca="1" si="16"/>
        <v/>
      </c>
      <c r="L312" s="7" t="str">
        <f>IF($H312="","",$H312-'[2]Read Me'!$B$4)</f>
        <v/>
      </c>
      <c r="M312" s="4" t="str">
        <f>IF($I312="Complete","Green",IF($H312="","Amber",IF($H312&lt;'[2]Read Me'!$B$4,"Red",IF($H312-'[2]Read Me'!$B$4&lt;=21,"Amber","Green"))))</f>
        <v>Amber</v>
      </c>
      <c r="N312" s="3"/>
      <c r="O312" t="str">
        <f>IF($I312&lt;&gt;"Complete",IF(COUNTIFS($A$4:$A311,$A312,$B$4:$B311,$B312,$I$4:$I311,"&lt;&gt;Complete")=0,$A312&amp;"|"&amp;$B312,""),"")</f>
        <v>|</v>
      </c>
      <c r="P312" t="str">
        <f ca="1">IF($K312="Yes",COUNTIFS($K$4:$K312,"Yes"),"")</f>
        <v/>
      </c>
      <c r="Q312">
        <f t="shared" ca="1" si="15"/>
        <v>0</v>
      </c>
      <c r="R312" t="str">
        <f ca="1">IF($Q312=1,SUM($Q$4:$Q312),"")</f>
        <v/>
      </c>
    </row>
    <row r="313" spans="1:18" x14ac:dyDescent="0.3">
      <c r="G313" s="9"/>
      <c r="H313" s="9"/>
    </row>
    <row r="314" spans="1:18" x14ac:dyDescent="0.3">
      <c r="G314" s="9"/>
      <c r="H314" s="9"/>
    </row>
    <row r="315" spans="1:18" x14ac:dyDescent="0.3">
      <c r="G315" s="9"/>
      <c r="H315" s="9"/>
    </row>
    <row r="316" spans="1:18" x14ac:dyDescent="0.3">
      <c r="G316" s="9"/>
      <c r="H316" s="9"/>
    </row>
    <row r="317" spans="1:18" x14ac:dyDescent="0.3">
      <c r="G317" s="9"/>
      <c r="H317" s="9"/>
    </row>
    <row r="318" spans="1:18" x14ac:dyDescent="0.3">
      <c r="G318" s="9"/>
      <c r="H318" s="9"/>
    </row>
    <row r="319" spans="1:18" x14ac:dyDescent="0.3">
      <c r="G319" s="9"/>
      <c r="H319" s="9"/>
    </row>
    <row r="320" spans="1:18" x14ac:dyDescent="0.3">
      <c r="G320" s="9"/>
      <c r="H320" s="9"/>
    </row>
    <row r="321" spans="7:8" x14ac:dyDescent="0.3">
      <c r="G321" s="9"/>
      <c r="H321" s="9"/>
    </row>
    <row r="322" spans="7:8" x14ac:dyDescent="0.3">
      <c r="G322" s="9"/>
      <c r="H322" s="9"/>
    </row>
    <row r="323" spans="7:8" x14ac:dyDescent="0.3">
      <c r="G323" s="9"/>
      <c r="H323" s="9"/>
    </row>
    <row r="324" spans="7:8" x14ac:dyDescent="0.3">
      <c r="G324" s="9"/>
      <c r="H324" s="9"/>
    </row>
    <row r="325" spans="7:8" x14ac:dyDescent="0.3">
      <c r="G325" s="9"/>
      <c r="H325" s="9"/>
    </row>
    <row r="326" spans="7:8" x14ac:dyDescent="0.3">
      <c r="G326" s="9"/>
      <c r="H326" s="9"/>
    </row>
    <row r="327" spans="7:8" x14ac:dyDescent="0.3">
      <c r="G327" s="9"/>
      <c r="H327" s="9"/>
    </row>
    <row r="328" spans="7:8" x14ac:dyDescent="0.3">
      <c r="G328" s="9"/>
      <c r="H328" s="9"/>
    </row>
    <row r="329" spans="7:8" x14ac:dyDescent="0.3">
      <c r="G329" s="9"/>
      <c r="H329" s="9"/>
    </row>
    <row r="330" spans="7:8" x14ac:dyDescent="0.3">
      <c r="G330" s="9"/>
      <c r="H330" s="9"/>
    </row>
    <row r="331" spans="7:8" x14ac:dyDescent="0.3">
      <c r="G331" s="9"/>
      <c r="H331" s="9"/>
    </row>
    <row r="332" spans="7:8" x14ac:dyDescent="0.3">
      <c r="G332" s="9"/>
      <c r="H332" s="9"/>
    </row>
    <row r="333" spans="7:8" x14ac:dyDescent="0.3">
      <c r="G333" s="9"/>
      <c r="H333" s="9"/>
    </row>
    <row r="334" spans="7:8" x14ac:dyDescent="0.3">
      <c r="G334" s="9"/>
      <c r="H334" s="9"/>
    </row>
    <row r="335" spans="7:8" x14ac:dyDescent="0.3">
      <c r="G335" s="9"/>
      <c r="H335" s="9"/>
    </row>
    <row r="336" spans="7:8" x14ac:dyDescent="0.3">
      <c r="G336" s="9"/>
      <c r="H336" s="9"/>
    </row>
    <row r="337" spans="7:8" x14ac:dyDescent="0.3">
      <c r="G337" s="9"/>
      <c r="H337" s="9"/>
    </row>
    <row r="338" spans="7:8" x14ac:dyDescent="0.3">
      <c r="G338" s="9"/>
      <c r="H338" s="9"/>
    </row>
    <row r="339" spans="7:8" x14ac:dyDescent="0.3">
      <c r="G339" s="9"/>
      <c r="H339" s="9"/>
    </row>
    <row r="340" spans="7:8" x14ac:dyDescent="0.3">
      <c r="G340" s="9"/>
      <c r="H340" s="9"/>
    </row>
    <row r="341" spans="7:8" x14ac:dyDescent="0.3">
      <c r="G341" s="9"/>
      <c r="H341" s="9"/>
    </row>
    <row r="342" spans="7:8" x14ac:dyDescent="0.3">
      <c r="G342" s="9"/>
      <c r="H342" s="9"/>
    </row>
    <row r="343" spans="7:8" x14ac:dyDescent="0.3">
      <c r="G343" s="9"/>
      <c r="H343" s="9"/>
    </row>
    <row r="344" spans="7:8" x14ac:dyDescent="0.3">
      <c r="G344" s="9"/>
      <c r="H344" s="9"/>
    </row>
    <row r="345" spans="7:8" x14ac:dyDescent="0.3">
      <c r="G345" s="9"/>
      <c r="H345" s="9"/>
    </row>
    <row r="346" spans="7:8" x14ac:dyDescent="0.3">
      <c r="G346" s="9"/>
      <c r="H346" s="9"/>
    </row>
    <row r="347" spans="7:8" x14ac:dyDescent="0.3">
      <c r="G347" s="9"/>
      <c r="H347" s="9"/>
    </row>
    <row r="348" spans="7:8" x14ac:dyDescent="0.3">
      <c r="G348" s="9"/>
      <c r="H348" s="9"/>
    </row>
    <row r="349" spans="7:8" x14ac:dyDescent="0.3">
      <c r="G349" s="9"/>
      <c r="H349" s="9"/>
    </row>
    <row r="350" spans="7:8" x14ac:dyDescent="0.3">
      <c r="G350" s="9"/>
      <c r="H350" s="9"/>
    </row>
    <row r="351" spans="7:8" x14ac:dyDescent="0.3">
      <c r="G351" s="9"/>
      <c r="H351" s="9"/>
    </row>
    <row r="352" spans="7:8" x14ac:dyDescent="0.3">
      <c r="G352" s="9"/>
      <c r="H352" s="9"/>
    </row>
    <row r="353" spans="7:8" x14ac:dyDescent="0.3">
      <c r="G353" s="9"/>
      <c r="H353" s="9"/>
    </row>
    <row r="354" spans="7:8" x14ac:dyDescent="0.3">
      <c r="G354" s="9"/>
      <c r="H354" s="9"/>
    </row>
    <row r="355" spans="7:8" x14ac:dyDescent="0.3">
      <c r="G355" s="9"/>
      <c r="H355" s="9"/>
    </row>
    <row r="356" spans="7:8" x14ac:dyDescent="0.3">
      <c r="G356" s="9"/>
      <c r="H356" s="9"/>
    </row>
    <row r="357" spans="7:8" x14ac:dyDescent="0.3">
      <c r="G357" s="9"/>
      <c r="H357" s="9"/>
    </row>
    <row r="358" spans="7:8" x14ac:dyDescent="0.3">
      <c r="G358" s="9"/>
      <c r="H358" s="9"/>
    </row>
    <row r="359" spans="7:8" x14ac:dyDescent="0.3">
      <c r="G359" s="9"/>
      <c r="H359" s="9"/>
    </row>
    <row r="360" spans="7:8" x14ac:dyDescent="0.3">
      <c r="G360" s="9"/>
      <c r="H360" s="9"/>
    </row>
    <row r="361" spans="7:8" x14ac:dyDescent="0.3">
      <c r="G361" s="9"/>
      <c r="H361" s="9"/>
    </row>
    <row r="362" spans="7:8" x14ac:dyDescent="0.3">
      <c r="G362" s="9"/>
      <c r="H362" s="9"/>
    </row>
    <row r="363" spans="7:8" x14ac:dyDescent="0.3">
      <c r="G363" s="9"/>
      <c r="H363" s="9"/>
    </row>
    <row r="364" spans="7:8" x14ac:dyDescent="0.3">
      <c r="G364" s="9"/>
      <c r="H364" s="9"/>
    </row>
    <row r="365" spans="7:8" x14ac:dyDescent="0.3">
      <c r="G365" s="9"/>
      <c r="H365" s="9"/>
    </row>
    <row r="366" spans="7:8" x14ac:dyDescent="0.3">
      <c r="G366" s="9"/>
      <c r="H366" s="9"/>
    </row>
    <row r="367" spans="7:8" x14ac:dyDescent="0.3">
      <c r="G367" s="9"/>
      <c r="H367" s="9"/>
    </row>
    <row r="368" spans="7:8" x14ac:dyDescent="0.3">
      <c r="G368" s="9"/>
      <c r="H368" s="9"/>
    </row>
    <row r="369" spans="7:8" x14ac:dyDescent="0.3">
      <c r="G369" s="9"/>
      <c r="H369" s="9"/>
    </row>
    <row r="370" spans="7:8" x14ac:dyDescent="0.3">
      <c r="G370" s="9"/>
      <c r="H370" s="9"/>
    </row>
    <row r="371" spans="7:8" x14ac:dyDescent="0.3">
      <c r="G371" s="9"/>
      <c r="H371" s="9"/>
    </row>
    <row r="372" spans="7:8" x14ac:dyDescent="0.3">
      <c r="G372" s="9"/>
      <c r="H372" s="9"/>
    </row>
    <row r="373" spans="7:8" x14ac:dyDescent="0.3">
      <c r="G373" s="9"/>
      <c r="H373" s="9"/>
    </row>
    <row r="374" spans="7:8" x14ac:dyDescent="0.3">
      <c r="G374" s="9"/>
      <c r="H374" s="9"/>
    </row>
    <row r="375" spans="7:8" x14ac:dyDescent="0.3">
      <c r="G375" s="9"/>
      <c r="H375" s="9"/>
    </row>
    <row r="376" spans="7:8" x14ac:dyDescent="0.3">
      <c r="G376" s="9"/>
      <c r="H376" s="9"/>
    </row>
    <row r="377" spans="7:8" x14ac:dyDescent="0.3">
      <c r="G377" s="9"/>
      <c r="H377" s="9"/>
    </row>
    <row r="378" spans="7:8" x14ac:dyDescent="0.3">
      <c r="G378" s="9"/>
      <c r="H378" s="9"/>
    </row>
    <row r="379" spans="7:8" x14ac:dyDescent="0.3">
      <c r="G379" s="9"/>
      <c r="H379" s="9"/>
    </row>
    <row r="380" spans="7:8" x14ac:dyDescent="0.3">
      <c r="G380" s="9"/>
      <c r="H380" s="9"/>
    </row>
    <row r="381" spans="7:8" x14ac:dyDescent="0.3">
      <c r="G381" s="9"/>
      <c r="H381" s="9"/>
    </row>
    <row r="382" spans="7:8" x14ac:dyDescent="0.3">
      <c r="G382" s="9"/>
      <c r="H382" s="9"/>
    </row>
    <row r="383" spans="7:8" x14ac:dyDescent="0.3">
      <c r="G383" s="9"/>
      <c r="H383" s="9"/>
    </row>
    <row r="384" spans="7:8" x14ac:dyDescent="0.3">
      <c r="G384" s="9"/>
      <c r="H384" s="9"/>
    </row>
    <row r="385" spans="7:8" x14ac:dyDescent="0.3">
      <c r="G385" s="9"/>
      <c r="H385" s="9"/>
    </row>
    <row r="386" spans="7:8" x14ac:dyDescent="0.3">
      <c r="G386" s="9"/>
      <c r="H386" s="9"/>
    </row>
    <row r="387" spans="7:8" x14ac:dyDescent="0.3">
      <c r="G387" s="9"/>
      <c r="H387" s="9"/>
    </row>
    <row r="388" spans="7:8" x14ac:dyDescent="0.3">
      <c r="G388" s="9"/>
      <c r="H388" s="9"/>
    </row>
    <row r="389" spans="7:8" x14ac:dyDescent="0.3">
      <c r="G389" s="9"/>
      <c r="H389" s="9"/>
    </row>
    <row r="390" spans="7:8" x14ac:dyDescent="0.3">
      <c r="G390" s="9"/>
      <c r="H390" s="9"/>
    </row>
    <row r="391" spans="7:8" x14ac:dyDescent="0.3">
      <c r="G391" s="9"/>
      <c r="H391" s="9"/>
    </row>
    <row r="392" spans="7:8" x14ac:dyDescent="0.3">
      <c r="G392" s="9"/>
      <c r="H392" s="9"/>
    </row>
    <row r="393" spans="7:8" x14ac:dyDescent="0.3">
      <c r="G393" s="9"/>
      <c r="H393" s="9"/>
    </row>
    <row r="394" spans="7:8" x14ac:dyDescent="0.3">
      <c r="G394" s="9"/>
      <c r="H394" s="9"/>
    </row>
    <row r="395" spans="7:8" x14ac:dyDescent="0.3">
      <c r="G395" s="9"/>
      <c r="H395" s="9"/>
    </row>
    <row r="396" spans="7:8" x14ac:dyDescent="0.3">
      <c r="G396" s="9"/>
      <c r="H396" s="9"/>
    </row>
    <row r="397" spans="7:8" x14ac:dyDescent="0.3">
      <c r="G397" s="9"/>
      <c r="H397" s="9"/>
    </row>
    <row r="398" spans="7:8" x14ac:dyDescent="0.3">
      <c r="G398" s="9"/>
      <c r="H398" s="9"/>
    </row>
    <row r="399" spans="7:8" x14ac:dyDescent="0.3">
      <c r="G399" s="9"/>
      <c r="H399" s="9"/>
    </row>
    <row r="400" spans="7:8" x14ac:dyDescent="0.3">
      <c r="G400" s="9"/>
      <c r="H400" s="9"/>
    </row>
    <row r="401" spans="7:8" x14ac:dyDescent="0.3">
      <c r="G401" s="9"/>
      <c r="H401" s="9"/>
    </row>
    <row r="402" spans="7:8" x14ac:dyDescent="0.3">
      <c r="G402" s="9"/>
      <c r="H402" s="9"/>
    </row>
    <row r="403" spans="7:8" x14ac:dyDescent="0.3">
      <c r="G403" s="9"/>
      <c r="H403" s="9"/>
    </row>
    <row r="404" spans="7:8" x14ac:dyDescent="0.3">
      <c r="G404" s="9"/>
      <c r="H404" s="9"/>
    </row>
    <row r="405" spans="7:8" x14ac:dyDescent="0.3">
      <c r="G405" s="9"/>
      <c r="H405" s="9"/>
    </row>
    <row r="406" spans="7:8" x14ac:dyDescent="0.3">
      <c r="G406" s="9"/>
      <c r="H406" s="9"/>
    </row>
    <row r="407" spans="7:8" x14ac:dyDescent="0.3">
      <c r="G407" s="9"/>
      <c r="H407" s="9"/>
    </row>
    <row r="408" spans="7:8" x14ac:dyDescent="0.3">
      <c r="G408" s="9"/>
      <c r="H408" s="9"/>
    </row>
    <row r="409" spans="7:8" x14ac:dyDescent="0.3">
      <c r="G409" s="9"/>
      <c r="H409" s="9"/>
    </row>
  </sheetData>
  <autoFilter ref="A3:N312" xr:uid="{00000000-0001-0000-0700-000000000000}"/>
  <mergeCells count="1">
    <mergeCell ref="A2:N2"/>
  </mergeCells>
  <conditionalFormatting sqref="A4:A2000">
    <cfRule type="expression" dxfId="131" priority="22" stopIfTrue="1">
      <formula>A4=""</formula>
    </cfRule>
    <cfRule type="expression" dxfId="130" priority="24">
      <formula>C4=""</formula>
    </cfRule>
  </conditionalFormatting>
  <conditionalFormatting sqref="B4:H2000">
    <cfRule type="expression" dxfId="129" priority="9" stopIfTrue="1">
      <formula>$A4=""</formula>
    </cfRule>
    <cfRule type="expression" dxfId="128" priority="10">
      <formula>$C4=""</formula>
    </cfRule>
  </conditionalFormatting>
  <conditionalFormatting sqref="I4:I142">
    <cfRule type="expression" dxfId="127" priority="7">
      <formula>EXACT($I4,"Completed")</formula>
    </cfRule>
    <cfRule type="expression" dxfId="126" priority="8">
      <formula>EXACT($I4,"Inprogress")</formula>
    </cfRule>
    <cfRule type="expression" dxfId="125" priority="29">
      <formula>EXACT($I4,"Overdue")</formula>
    </cfRule>
    <cfRule type="expression" dxfId="124" priority="28">
      <formula>EXACT($I4,"Not Started")</formula>
    </cfRule>
  </conditionalFormatting>
  <conditionalFormatting sqref="I4:I2000">
    <cfRule type="expression" dxfId="123" priority="31">
      <formula>$C4=""</formula>
    </cfRule>
    <cfRule type="expression" dxfId="122" priority="30" stopIfTrue="1">
      <formula>$A4=""</formula>
    </cfRule>
  </conditionalFormatting>
  <conditionalFormatting sqref="J4:J2000">
    <cfRule type="expression" dxfId="121" priority="5" stopIfTrue="1">
      <formula>$A4=""</formula>
    </cfRule>
    <cfRule type="expression" dxfId="120" priority="6">
      <formula>$C4=""</formula>
    </cfRule>
  </conditionalFormatting>
  <conditionalFormatting sqref="K4:K243">
    <cfRule type="expression" dxfId="119" priority="3">
      <formula>EXACT($K4,"No")</formula>
    </cfRule>
    <cfRule type="expression" dxfId="118" priority="4">
      <formula>EXACT($K4,"Yes")</formula>
    </cfRule>
    <cfRule type="expression" dxfId="117" priority="32">
      <formula>EXACT($K4,"-")</formula>
    </cfRule>
  </conditionalFormatting>
  <conditionalFormatting sqref="K4:K2000">
    <cfRule type="expression" dxfId="116" priority="34">
      <formula>$C4=""</formula>
    </cfRule>
    <cfRule type="expression" dxfId="115" priority="33" stopIfTrue="1">
      <formula>$A4=""</formula>
    </cfRule>
  </conditionalFormatting>
  <conditionalFormatting sqref="L4:L2000">
    <cfRule type="expression" dxfId="114" priority="1" stopIfTrue="1">
      <formula>$A4=""</formula>
    </cfRule>
    <cfRule type="expression" dxfId="113" priority="2">
      <formula>$C4=""</formula>
    </cfRule>
  </conditionalFormatting>
  <conditionalFormatting sqref="M4:M312">
    <cfRule type="cellIs" dxfId="112" priority="25" operator="equal">
      <formula>"Green"</formula>
    </cfRule>
    <cfRule type="cellIs" dxfId="111" priority="26" operator="equal">
      <formula>"Amber"</formula>
    </cfRule>
    <cfRule type="cellIs" dxfId="110" priority="27" operator="equal">
      <formula>"Red"</formula>
    </cfRule>
  </conditionalFormatting>
  <dataValidations count="1">
    <dataValidation type="list" allowBlank="1" sqref="I4:I312" xr:uid="{98E96100-835F-4F79-8BEA-BBE2321CE3FD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808E-BD35-4499-A49A-B814C0B92E77}">
  <sheetPr codeName="Sheet5">
    <tabColor rgb="FF777777"/>
  </sheetPr>
  <dimension ref="A1:R409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1" sqref="J1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4" bestFit="1" customWidth="1"/>
    <col min="8" max="8" width="16.77734375" customWidth="1"/>
    <col min="9" max="9" width="12" customWidth="1"/>
    <col min="10" max="11" width="8" customWidth="1"/>
    <col min="12" max="13" width="7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162</v>
      </c>
      <c r="B1" s="10"/>
      <c r="C1" s="10"/>
      <c r="D1" s="10"/>
      <c r="E1" s="10"/>
      <c r="F1" s="10"/>
      <c r="G1" s="11">
        <f>+MAX(G4:G2000)</f>
        <v>47673</v>
      </c>
      <c r="H1" s="11">
        <f>+MAX(H4:H2000)</f>
        <v>47723</v>
      </c>
      <c r="I1" s="12">
        <f t="shared" ref="I1" si="0">IF(OR($G1="",$H1=""),"",$H1-$G1)</f>
        <v>50</v>
      </c>
      <c r="J1" s="10"/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163</v>
      </c>
      <c r="B4" s="2" t="s">
        <v>62</v>
      </c>
      <c r="C4" s="3" t="s">
        <v>164</v>
      </c>
      <c r="D4" s="3" t="s">
        <v>16</v>
      </c>
      <c r="E4" s="2" t="s">
        <v>165</v>
      </c>
      <c r="F4" s="2" t="s">
        <v>166</v>
      </c>
      <c r="G4" s="5">
        <v>45624</v>
      </c>
      <c r="H4" s="5">
        <v>45624</v>
      </c>
      <c r="I4" s="2" t="s">
        <v>31</v>
      </c>
      <c r="J4" s="6">
        <f t="shared" ref="J4:J67" si="1">IF(OR($G4="",$H4=""),"",$H4-$G4)</f>
        <v>0</v>
      </c>
      <c r="K4" s="4" t="str">
        <f t="shared" ref="K4:K67" ca="1" si="2">IF(C4="","",IF(H4="","",IF($I4="completed","-",IF($H4&gt;TODAY(),"No","Yes"))))</f>
        <v>-</v>
      </c>
      <c r="L4" s="7" t="str">
        <f>IF(I4="Completed","0",IF($H4="","",$H4-'[2]Read Me'!$B$4))</f>
        <v>0</v>
      </c>
      <c r="M4" s="4" t="str">
        <f>IF($I4="Complete","Green",IF($H4="","Amber",IF($H4&lt;'[2]Read Me'!$B$4,"Red",IF($H4-'[2]Read Me'!$B$4&lt;=21,"Amber","Green"))))</f>
        <v>Red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163</v>
      </c>
      <c r="B5" s="2" t="s">
        <v>62</v>
      </c>
      <c r="C5" s="3" t="s">
        <v>164</v>
      </c>
      <c r="D5" s="3" t="s">
        <v>167</v>
      </c>
      <c r="E5" s="2" t="s">
        <v>165</v>
      </c>
      <c r="F5" s="2"/>
      <c r="G5" s="5">
        <v>45685</v>
      </c>
      <c r="H5" s="5">
        <v>45685</v>
      </c>
      <c r="I5" s="2" t="s">
        <v>31</v>
      </c>
      <c r="J5" s="6">
        <f t="shared" si="1"/>
        <v>0</v>
      </c>
      <c r="K5" s="4" t="str">
        <f t="shared" ca="1" si="2"/>
        <v>-</v>
      </c>
      <c r="L5" s="7" t="str">
        <f>IF(I5="Completed","0",IF($H5="","",$H5-'[2]Read Me'!$B$4))</f>
        <v>0</v>
      </c>
      <c r="M5" s="4" t="str">
        <f>IF($I5="Complete","Green",IF($H5="","Amber",IF($H5&lt;'[2]Read Me'!$B$4,"Red",IF($H5-'[2]Read Me'!$B$4&lt;=21,"Amber","Green"))))</f>
        <v>Red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163</v>
      </c>
      <c r="B6" s="2" t="s">
        <v>62</v>
      </c>
      <c r="C6" s="3" t="s">
        <v>164</v>
      </c>
      <c r="D6" s="3" t="s">
        <v>58</v>
      </c>
      <c r="E6" s="2" t="s">
        <v>165</v>
      </c>
      <c r="F6" s="2"/>
      <c r="G6" s="5">
        <v>45773</v>
      </c>
      <c r="H6" s="5">
        <v>45773</v>
      </c>
      <c r="I6" s="2" t="s">
        <v>31</v>
      </c>
      <c r="J6" s="6">
        <f t="shared" si="1"/>
        <v>0</v>
      </c>
      <c r="K6" s="4" t="str">
        <f t="shared" ca="1" si="2"/>
        <v>-</v>
      </c>
      <c r="L6" s="7" t="str">
        <f>IF(I6="Completed","0",IF($H6="","",$H6-'[2]Read Me'!$B$4))</f>
        <v>0</v>
      </c>
      <c r="M6" s="4" t="str">
        <f>IF($I6="Complete","Green",IF($H6="","Amber",IF($H6&lt;'[2]Read Me'!$B$4,"Red",IF($H6-'[2]Read Me'!$B$4&lt;=21,"Amber","Green"))))</f>
        <v>Red</v>
      </c>
      <c r="N6" s="3"/>
      <c r="O6" t="str">
        <f>IF($I6&lt;&gt;"Complete",IF(COUNTIFS($A$4:$A5,$A6,$B$4:$B5,$B6,$I$4:$I5,"&lt;&gt;Complete")=0,$A6&amp;"|"&amp;$B6,""),"")</f>
        <v/>
      </c>
      <c r="P6" t="str">
        <f ca="1">IF($K6="Yes",COUNTIFS($K$4:$K6,"Yes"),"")</f>
        <v/>
      </c>
      <c r="Q6">
        <f t="shared" ca="1" si="3"/>
        <v>0</v>
      </c>
      <c r="R6" t="str">
        <f ca="1">IF($Q6=1,SUM($Q$4:$Q6),"")</f>
        <v/>
      </c>
    </row>
    <row r="7" spans="1:18" ht="33.75" customHeight="1" x14ac:dyDescent="0.3">
      <c r="A7" s="2" t="s">
        <v>163</v>
      </c>
      <c r="B7" s="2" t="s">
        <v>62</v>
      </c>
      <c r="C7" s="3" t="s">
        <v>164</v>
      </c>
      <c r="D7" s="3" t="s">
        <v>168</v>
      </c>
      <c r="E7" s="2" t="s">
        <v>165</v>
      </c>
      <c r="F7" s="2"/>
      <c r="G7" s="5">
        <v>45773</v>
      </c>
      <c r="H7" s="5">
        <v>45773</v>
      </c>
      <c r="I7" s="2" t="s">
        <v>31</v>
      </c>
      <c r="J7" s="6">
        <f t="shared" si="1"/>
        <v>0</v>
      </c>
      <c r="K7" s="4" t="str">
        <f t="shared" ca="1" si="2"/>
        <v>-</v>
      </c>
      <c r="L7" s="7" t="str">
        <f>IF(I7="Completed","0",IF($H7="","",$H7-'[2]Read Me'!$B$4))</f>
        <v>0</v>
      </c>
      <c r="M7" s="4" t="str">
        <f>IF($I7="Complete","Green",IF($H7="","Amber",IF($H7&lt;'[2]Read Me'!$B$4,"Red",IF($H7-'[2]Read Me'!$B$4&lt;=21,"Amber","Green"))))</f>
        <v>Red</v>
      </c>
      <c r="N7" s="3"/>
      <c r="O7" t="str">
        <f>IF($I7&lt;&gt;"Complete",IF(COUNTIFS($A$4:$A6,$A7,$B$4:$B6,$B7,$I$4:$I6,"&lt;&gt;Complete")=0,$A7&amp;"|"&amp;$B7,""),"")</f>
        <v/>
      </c>
      <c r="P7" t="str">
        <f ca="1">IF($K7="Yes",COUNTIFS($K$4:$K7,"Yes"),"")</f>
        <v/>
      </c>
      <c r="Q7">
        <f t="shared" ca="1" si="3"/>
        <v>0</v>
      </c>
      <c r="R7" t="str">
        <f ca="1">IF($Q7=1,SUM($Q$4:$Q7),"")</f>
        <v/>
      </c>
    </row>
    <row r="8" spans="1:18" ht="33.75" customHeight="1" x14ac:dyDescent="0.3">
      <c r="A8" s="2" t="s">
        <v>163</v>
      </c>
      <c r="B8" s="2" t="s">
        <v>62</v>
      </c>
      <c r="C8" s="3" t="s">
        <v>164</v>
      </c>
      <c r="D8" s="3" t="s">
        <v>169</v>
      </c>
      <c r="E8" s="2" t="s">
        <v>165</v>
      </c>
      <c r="F8" s="2" t="s">
        <v>166</v>
      </c>
      <c r="G8" s="5">
        <v>45831</v>
      </c>
      <c r="H8" s="5">
        <v>45831</v>
      </c>
      <c r="I8" s="2" t="s">
        <v>31</v>
      </c>
      <c r="J8" s="6">
        <f t="shared" si="1"/>
        <v>0</v>
      </c>
      <c r="K8" s="4" t="str">
        <f t="shared" ca="1" si="2"/>
        <v>-</v>
      </c>
      <c r="L8" s="7" t="str">
        <f>IF(I8="Completed","0",IF($H8="","",$H8-'[2]Read Me'!$B$4))</f>
        <v>0</v>
      </c>
      <c r="M8" s="4" t="str">
        <f>IF($I8="Complete","Green",IF($H8="","Amber",IF($H8&lt;'[2]Read Me'!$B$4,"Red",IF($H8-'[2]Read Me'!$B$4&lt;=21,"Amber","Green"))))</f>
        <v>Red</v>
      </c>
      <c r="N8" s="3"/>
      <c r="O8" t="str">
        <f>IF($I8&lt;&gt;"Complete",IF(COUNTIFS($A$4:$A7,$A8,$B$4:$B7,$B8,$I$4:$I7,"&lt;&gt;Complete")=0,$A8&amp;"|"&amp;$B8,""),"")</f>
        <v/>
      </c>
      <c r="P8" t="str">
        <f ca="1">IF($K8="Yes",COUNTIFS($K$4:$K8,"Yes"),"")</f>
        <v/>
      </c>
      <c r="Q8">
        <f t="shared" ca="1" si="3"/>
        <v>0</v>
      </c>
      <c r="R8" t="str">
        <f ca="1">IF($Q8=1,SUM($Q$4:$Q8),"")</f>
        <v/>
      </c>
    </row>
    <row r="9" spans="1:18" ht="33.75" customHeight="1" x14ac:dyDescent="0.3">
      <c r="A9" s="2" t="s">
        <v>163</v>
      </c>
      <c r="B9" s="2" t="s">
        <v>62</v>
      </c>
      <c r="C9" s="3" t="s">
        <v>164</v>
      </c>
      <c r="D9" s="3" t="s">
        <v>58</v>
      </c>
      <c r="E9" s="2" t="s">
        <v>165</v>
      </c>
      <c r="F9" s="2"/>
      <c r="G9" s="5">
        <v>45832</v>
      </c>
      <c r="H9" s="5">
        <v>45832</v>
      </c>
      <c r="I9" s="2" t="s">
        <v>31</v>
      </c>
      <c r="J9" s="6">
        <f t="shared" si="1"/>
        <v>0</v>
      </c>
      <c r="K9" s="4" t="str">
        <f t="shared" ca="1" si="2"/>
        <v>-</v>
      </c>
      <c r="L9" s="7" t="str">
        <f>IF(I9="Completed","0",IF($H9="","",$H9-'[2]Read Me'!$B$4))</f>
        <v>0</v>
      </c>
      <c r="M9" s="4" t="str">
        <f>IF($I9="Complete","Green",IF($H9="","Amber",IF($H9&lt;'[2]Read Me'!$B$4,"Red",IF($H9-'[2]Read Me'!$B$4&lt;=21,"Amber","Green"))))</f>
        <v>Red</v>
      </c>
      <c r="N9" s="3"/>
      <c r="O9" t="str">
        <f>IF($I9&lt;&gt;"Complete",IF(COUNTIFS($A$4:$A8,$A9,$B$4:$B8,$B9,$I$4:$I8,"&lt;&gt;Complete")=0,$A9&amp;"|"&amp;$B9,""),"")</f>
        <v/>
      </c>
      <c r="P9" t="str">
        <f ca="1">IF($K9="Yes",COUNTIFS($K$4:$K9,"Yes"),"")</f>
        <v/>
      </c>
      <c r="Q9">
        <f t="shared" ca="1" si="3"/>
        <v>0</v>
      </c>
      <c r="R9" t="str">
        <f ca="1">IF($Q9=1,SUM($Q$4:$Q9),"")</f>
        <v/>
      </c>
    </row>
    <row r="10" spans="1:18" ht="33.75" customHeight="1" x14ac:dyDescent="0.3">
      <c r="A10" s="2" t="s">
        <v>163</v>
      </c>
      <c r="B10" s="2" t="s">
        <v>62</v>
      </c>
      <c r="C10" s="3" t="s">
        <v>164</v>
      </c>
      <c r="D10" s="3" t="s">
        <v>170</v>
      </c>
      <c r="E10" s="2" t="s">
        <v>165</v>
      </c>
      <c r="F10" s="2" t="s">
        <v>166</v>
      </c>
      <c r="G10" s="5">
        <v>45847</v>
      </c>
      <c r="H10" s="5">
        <v>45847</v>
      </c>
      <c r="I10" s="2" t="s">
        <v>31</v>
      </c>
      <c r="J10" s="6">
        <f t="shared" si="1"/>
        <v>0</v>
      </c>
      <c r="K10" s="4" t="str">
        <f t="shared" ca="1" si="2"/>
        <v>-</v>
      </c>
      <c r="L10" s="7" t="str">
        <f>IF(I10="Completed","0",IF($H10="","",$H10-'[2]Read Me'!$B$4))</f>
        <v>0</v>
      </c>
      <c r="M10" s="4" t="str">
        <f>IF($I10="Complete","Green",IF($H10="","Amber",IF($H10&lt;'[2]Read Me'!$B$4,"Red",IF($H10-'[2]Read Me'!$B$4&lt;=21,"Amber","Green"))))</f>
        <v>Red</v>
      </c>
      <c r="N10" s="3"/>
      <c r="O10" t="str">
        <f>IF($I10&lt;&gt;"Complete",IF(COUNTIFS($A$4:$A9,$A10,$B$4:$B9,$B10,$I$4:$I9,"&lt;&gt;Complete")=0,$A10&amp;"|"&amp;$B10,""),"")</f>
        <v/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163</v>
      </c>
      <c r="B11" s="2" t="s">
        <v>62</v>
      </c>
      <c r="C11" s="3" t="s">
        <v>164</v>
      </c>
      <c r="D11" s="3" t="s">
        <v>58</v>
      </c>
      <c r="E11" s="2" t="s">
        <v>165</v>
      </c>
      <c r="F11" s="2"/>
      <c r="G11" s="5">
        <v>45851</v>
      </c>
      <c r="H11" s="5">
        <v>45851</v>
      </c>
      <c r="I11" s="2" t="s">
        <v>31</v>
      </c>
      <c r="J11" s="6">
        <f t="shared" si="1"/>
        <v>0</v>
      </c>
      <c r="K11" s="4" t="str">
        <f t="shared" ca="1" si="2"/>
        <v>-</v>
      </c>
      <c r="L11" s="7" t="str">
        <f>IF(I11="Completed","0",IF($H11="","",$H11-'[2]Read Me'!$B$4))</f>
        <v>0</v>
      </c>
      <c r="M11" s="4" t="str">
        <f>IF($I11="Complete","Green",IF($H11="","Amber",IF($H11&lt;'[2]Read Me'!$B$4,"Red",IF($H11-'[2]Read Me'!$B$4&lt;=21,"Amber","Green"))))</f>
        <v>Red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163</v>
      </c>
      <c r="B12" s="2" t="s">
        <v>171</v>
      </c>
      <c r="C12" s="3"/>
      <c r="D12" s="3"/>
      <c r="E12" s="2"/>
      <c r="F12" s="2"/>
      <c r="G12" s="5">
        <v>45908</v>
      </c>
      <c r="H12" s="5">
        <v>45908</v>
      </c>
      <c r="I12" s="2"/>
      <c r="J12" s="6">
        <f t="shared" si="1"/>
        <v>0</v>
      </c>
      <c r="K12" s="4" t="str">
        <f t="shared" ca="1" si="2"/>
        <v/>
      </c>
      <c r="L12" s="7">
        <f>IF(I12="Completed","0",IF($H12="","",$H12-'[2]Read Me'!$B$4))</f>
        <v>-279</v>
      </c>
      <c r="M12" s="4" t="str">
        <f>IF($I12="Complete","Green",IF($H12="","Amber",IF($H12&lt;'[2]Read Me'!$B$4,"Red",IF($H12-'[2]Read Me'!$B$4&lt;=21,"Amber","Green"))))</f>
        <v>Red</v>
      </c>
      <c r="N12" s="3"/>
      <c r="O12" t="str">
        <f>IF($I12&lt;&gt;"Complete",IF(COUNTIFS($A$4:$A11,$A12,$B$4:$B11,$B12,$I$4:$I11,"&lt;&gt;Complete")=0,$A12&amp;"|"&amp;$B12,""),"")</f>
        <v>Selina|Infrastructure</v>
      </c>
      <c r="P12" t="str">
        <f ca="1">IF($K12="Yes",COUNTIFS($K$4:$K12,"Yes"),"")</f>
        <v/>
      </c>
      <c r="Q12">
        <f t="shared" ca="1" si="3"/>
        <v>0</v>
      </c>
      <c r="R12" t="str">
        <f ca="1">IF($Q12=1,SUM($Q$4:$Q12),"")</f>
        <v/>
      </c>
    </row>
    <row r="13" spans="1:18" ht="33.75" customHeight="1" x14ac:dyDescent="0.3">
      <c r="A13" s="2" t="s">
        <v>163</v>
      </c>
      <c r="B13" s="2" t="s">
        <v>171</v>
      </c>
      <c r="C13" s="3" t="s">
        <v>172</v>
      </c>
      <c r="D13" s="3" t="s">
        <v>173</v>
      </c>
      <c r="E13" s="2" t="s">
        <v>174</v>
      </c>
      <c r="F13" s="2"/>
      <c r="G13" s="5">
        <v>45628</v>
      </c>
      <c r="H13" s="5">
        <v>45628</v>
      </c>
      <c r="I13" s="2" t="s">
        <v>17</v>
      </c>
      <c r="J13" s="6">
        <f t="shared" si="1"/>
        <v>0</v>
      </c>
      <c r="K13" s="4" t="str">
        <f t="shared" ca="1" si="2"/>
        <v>Yes</v>
      </c>
      <c r="L13" s="7">
        <f>IF(I13="Completed","0",IF($H13="","",$H13-'[2]Read Me'!$B$4))</f>
        <v>-559</v>
      </c>
      <c r="M13" s="4" t="str">
        <f>IF($I13="Complete","Green",IF($H13="","Amber",IF($H13&lt;'[2]Read Me'!$B$4,"Red",IF($H13-'[2]Read Me'!$B$4&lt;=21,"Amber","Green"))))</f>
        <v>Red</v>
      </c>
      <c r="N13" s="3"/>
      <c r="O13" t="str">
        <f>IF($I13&lt;&gt;"Complete",IF(COUNTIFS($A$4:$A12,$A13,$B$4:$B12,$B13,$I$4:$I12,"&lt;&gt;Complete")=0,$A13&amp;"|"&amp;$B13,""),"")</f>
        <v/>
      </c>
      <c r="P13">
        <f ca="1">IF($K13="Yes",COUNTIFS($K$4:$K13,"Yes"),"")</f>
        <v>1</v>
      </c>
      <c r="Q13">
        <f t="shared" ca="1" si="3"/>
        <v>1</v>
      </c>
      <c r="R13">
        <f ca="1">IF($Q13=1,SUM($Q$4:$Q13),"")</f>
        <v>1</v>
      </c>
    </row>
    <row r="14" spans="1:18" ht="33.75" customHeight="1" x14ac:dyDescent="0.3">
      <c r="A14" s="2" t="s">
        <v>163</v>
      </c>
      <c r="B14" s="2" t="s">
        <v>171</v>
      </c>
      <c r="C14" s="3" t="s">
        <v>172</v>
      </c>
      <c r="D14" s="3" t="s">
        <v>175</v>
      </c>
      <c r="E14" s="2" t="s">
        <v>174</v>
      </c>
      <c r="F14" s="2" t="s">
        <v>176</v>
      </c>
      <c r="G14" s="5">
        <v>45690</v>
      </c>
      <c r="H14" s="5">
        <v>45690</v>
      </c>
      <c r="I14" s="2" t="s">
        <v>31</v>
      </c>
      <c r="J14" s="6">
        <f t="shared" si="1"/>
        <v>0</v>
      </c>
      <c r="K14" s="4" t="str">
        <f t="shared" ca="1" si="2"/>
        <v>-</v>
      </c>
      <c r="L14" s="7" t="str">
        <f>IF(I14="Completed","0",IF($H14="","",$H14-'[2]Read Me'!$B$4))</f>
        <v>0</v>
      </c>
      <c r="M14" s="4" t="str">
        <f>IF($I14="Complete","Green",IF($H14="","Amber",IF($H14&lt;'[2]Read Me'!$B$4,"Red",IF($H14-'[2]Read Me'!$B$4&lt;=21,"Amber","Green"))))</f>
        <v>Red</v>
      </c>
      <c r="N14" s="3"/>
      <c r="O14" t="str">
        <f>IF($I14&lt;&gt;"Complete",IF(COUNTIFS($A$4:$A13,$A14,$B$4:$B13,$B14,$I$4:$I13,"&lt;&gt;Complete")=0,$A14&amp;"|"&amp;$B14,""),"")</f>
        <v/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163</v>
      </c>
      <c r="B15" s="2" t="s">
        <v>171</v>
      </c>
      <c r="C15" s="3" t="s">
        <v>172</v>
      </c>
      <c r="D15" s="3" t="s">
        <v>58</v>
      </c>
      <c r="E15" s="2" t="s">
        <v>174</v>
      </c>
      <c r="F15" s="2"/>
      <c r="G15" s="5">
        <v>45698</v>
      </c>
      <c r="H15" s="5">
        <v>45698</v>
      </c>
      <c r="I15" s="2" t="s">
        <v>31</v>
      </c>
      <c r="J15" s="6">
        <f t="shared" si="1"/>
        <v>0</v>
      </c>
      <c r="K15" s="4" t="str">
        <f t="shared" ca="1" si="2"/>
        <v>-</v>
      </c>
      <c r="L15" s="7" t="str">
        <f>IF(I15="Completed","0",IF($H15="","",$H15-'[2]Read Me'!$B$4))</f>
        <v>0</v>
      </c>
      <c r="M15" s="4" t="str">
        <f>IF($I15="Complete","Green",IF($H15="","Amber",IF($H15&lt;'[2]Read Me'!$B$4,"Red",IF($H15-'[2]Read Me'!$B$4&lt;=21,"Amber","Green"))))</f>
        <v>Red</v>
      </c>
      <c r="N15" s="3"/>
      <c r="O15" t="str">
        <f>IF($I15&lt;&gt;"Complete",IF(COUNTIFS($A$4:$A14,$A15,$B$4:$B14,$B15,$I$4:$I14,"&lt;&gt;Complete")=0,$A15&amp;"|"&amp;$B15,""),"")</f>
        <v/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163</v>
      </c>
      <c r="B16" s="2" t="s">
        <v>171</v>
      </c>
      <c r="C16" s="3" t="s">
        <v>172</v>
      </c>
      <c r="D16" s="3" t="s">
        <v>177</v>
      </c>
      <c r="E16" s="2" t="s">
        <v>174</v>
      </c>
      <c r="F16" s="2" t="s">
        <v>176</v>
      </c>
      <c r="G16" s="5">
        <v>45713</v>
      </c>
      <c r="H16" s="5">
        <v>45713</v>
      </c>
      <c r="I16" s="2" t="s">
        <v>31</v>
      </c>
      <c r="J16" s="6">
        <f t="shared" si="1"/>
        <v>0</v>
      </c>
      <c r="K16" s="4" t="str">
        <f t="shared" ca="1" si="2"/>
        <v>-</v>
      </c>
      <c r="L16" s="7" t="str">
        <f>IF(I16="Completed","0",IF($H16="","",$H16-'[2]Read Me'!$B$4))</f>
        <v>0</v>
      </c>
      <c r="M16" s="4" t="str">
        <f>IF($I16="Complete","Green",IF($H16="","Amber",IF($H16&lt;'[2]Read Me'!$B$4,"Red",IF($H16-'[2]Read Me'!$B$4&lt;=21,"Amber","Green"))))</f>
        <v>Red</v>
      </c>
      <c r="N16" s="3"/>
      <c r="O16" t="str">
        <f>IF($I16&lt;&gt;"Complete",IF(COUNTIFS($A$4:$A15,$A16,$B$4:$B15,$B16,$I$4:$I15,"&lt;&gt;Complete")=0,$A16&amp;"|"&amp;$B16,""),"")</f>
        <v/>
      </c>
      <c r="P16" t="str">
        <f ca="1">IF($K16="Yes",COUNTIFS($K$4:$K16,"Yes"),"")</f>
        <v/>
      </c>
      <c r="Q16">
        <f t="shared" ca="1" si="3"/>
        <v>0</v>
      </c>
      <c r="R16" t="str">
        <f ca="1">IF($Q16=1,SUM($Q$4:$Q16),"")</f>
        <v/>
      </c>
    </row>
    <row r="17" spans="1:18" ht="33.75" customHeight="1" x14ac:dyDescent="0.3">
      <c r="A17" s="2" t="s">
        <v>163</v>
      </c>
      <c r="B17" s="2" t="s">
        <v>171</v>
      </c>
      <c r="C17" s="3" t="s">
        <v>172</v>
      </c>
      <c r="D17" s="3" t="s">
        <v>178</v>
      </c>
      <c r="E17" s="2" t="s">
        <v>174</v>
      </c>
      <c r="F17" s="2"/>
      <c r="G17" s="5">
        <v>45908</v>
      </c>
      <c r="H17" s="5">
        <v>45908</v>
      </c>
      <c r="I17" s="2" t="s">
        <v>31</v>
      </c>
      <c r="J17" s="6">
        <f t="shared" si="1"/>
        <v>0</v>
      </c>
      <c r="K17" s="4" t="str">
        <f t="shared" ca="1" si="2"/>
        <v>-</v>
      </c>
      <c r="L17" s="7" t="str">
        <f>IF(I17="Completed","0",IF($H17="","",$H17-'[2]Read Me'!$B$4))</f>
        <v>0</v>
      </c>
      <c r="M17" s="4" t="str">
        <f>IF($I17="Complete","Green",IF($H17="","Amber",IF($H17&lt;'[2]Read Me'!$B$4,"Red",IF($H17-'[2]Read Me'!$B$4&lt;=21,"Amber","Green"))))</f>
        <v>Red</v>
      </c>
      <c r="N17" s="3"/>
      <c r="O17" t="str">
        <f>IF($I17&lt;&gt;"Complete",IF(COUNTIFS($A$4:$A16,$A17,$B$4:$B16,$B17,$I$4:$I16,"&lt;&gt;Complete")=0,$A17&amp;"|"&amp;$B17,""),"")</f>
        <v/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163</v>
      </c>
      <c r="B18" s="2" t="s">
        <v>21</v>
      </c>
      <c r="C18" s="3"/>
      <c r="D18" s="3"/>
      <c r="E18" s="2"/>
      <c r="F18" s="2"/>
      <c r="G18" s="5">
        <v>46065</v>
      </c>
      <c r="H18" s="5">
        <v>46267</v>
      </c>
      <c r="I18" s="2"/>
      <c r="J18" s="6">
        <f t="shared" si="1"/>
        <v>202</v>
      </c>
      <c r="K18" s="4" t="str">
        <f t="shared" ca="1" si="2"/>
        <v/>
      </c>
      <c r="L18" s="7">
        <f>IF(I18="Completed","0",IF($H18="","",$H18-'[2]Read Me'!$B$4))</f>
        <v>80</v>
      </c>
      <c r="M18" s="4" t="str">
        <f>IF($I18="Complete","Green",IF($H18="","Amber",IF($H18&lt;'[2]Read Me'!$B$4,"Red",IF($H18-'[2]Read Me'!$B$4&lt;=21,"Amber","Green"))))</f>
        <v>Green</v>
      </c>
      <c r="N18" s="3"/>
      <c r="O18" t="str">
        <f>IF($I18&lt;&gt;"Complete",IF(COUNTIFS($A$4:$A17,$A18,$B$4:$B17,$B18,$I$4:$I17,"&lt;&gt;Complete")=0,$A18&amp;"|"&amp;$B18,""),"")</f>
        <v>Selina|Landscape</v>
      </c>
      <c r="P18" t="str">
        <f ca="1">IF($K18="Yes",COUNTIFS($K$4:$K18,"Yes"),"")</f>
        <v/>
      </c>
      <c r="Q18">
        <f t="shared" ca="1" si="3"/>
        <v>0</v>
      </c>
      <c r="R18" t="str">
        <f ca="1">IF($Q18=1,SUM($Q$4:$Q18),"")</f>
        <v/>
      </c>
    </row>
    <row r="19" spans="1:18" ht="33.75" customHeight="1" x14ac:dyDescent="0.3">
      <c r="A19" s="2" t="s">
        <v>163</v>
      </c>
      <c r="B19" s="2" t="s">
        <v>21</v>
      </c>
      <c r="C19" s="3" t="s">
        <v>179</v>
      </c>
      <c r="D19" s="3" t="s">
        <v>180</v>
      </c>
      <c r="E19" s="2" t="s">
        <v>181</v>
      </c>
      <c r="F19" s="2" t="s">
        <v>182</v>
      </c>
      <c r="G19" s="5">
        <v>45645</v>
      </c>
      <c r="H19" s="5">
        <v>45645</v>
      </c>
      <c r="I19" s="2" t="s">
        <v>17</v>
      </c>
      <c r="J19" s="6">
        <f t="shared" si="1"/>
        <v>0</v>
      </c>
      <c r="K19" s="4" t="str">
        <f t="shared" ca="1" si="2"/>
        <v>Yes</v>
      </c>
      <c r="L19" s="7">
        <f>IF(I19="Completed","0",IF($H19="","",$H19-'[2]Read Me'!$B$4))</f>
        <v>-542</v>
      </c>
      <c r="M19" s="4" t="str">
        <f>IF($I19="Complete","Green",IF($H19="","Amber",IF($H19&lt;'[2]Read Me'!$B$4,"Red",IF($H19-'[2]Read Me'!$B$4&lt;=21,"Amber","Green"))))</f>
        <v>Red</v>
      </c>
      <c r="N19" s="3"/>
      <c r="O19" t="str">
        <f>IF($I19&lt;&gt;"Complete",IF(COUNTIFS($A$4:$A18,$A19,$B$4:$B18,$B19,$I$4:$I18,"&lt;&gt;Complete")=0,$A19&amp;"|"&amp;$B19,""),"")</f>
        <v/>
      </c>
      <c r="P19">
        <f ca="1">IF($K19="Yes",COUNTIFS($K$4:$K19,"Yes"),"")</f>
        <v>2</v>
      </c>
      <c r="Q19">
        <f t="shared" ca="1" si="3"/>
        <v>1</v>
      </c>
      <c r="R19">
        <f ca="1">IF($Q19=1,SUM($Q$4:$Q19),"")</f>
        <v>2</v>
      </c>
    </row>
    <row r="20" spans="1:18" ht="33.75" customHeight="1" x14ac:dyDescent="0.3">
      <c r="A20" s="2" t="s">
        <v>163</v>
      </c>
      <c r="B20" s="2" t="s">
        <v>21</v>
      </c>
      <c r="C20" s="3" t="s">
        <v>179</v>
      </c>
      <c r="D20" s="3" t="s">
        <v>58</v>
      </c>
      <c r="E20" s="2" t="s">
        <v>181</v>
      </c>
      <c r="F20" s="2"/>
      <c r="G20" s="5">
        <v>45678</v>
      </c>
      <c r="H20" s="5">
        <v>45678</v>
      </c>
      <c r="I20" s="2" t="s">
        <v>31</v>
      </c>
      <c r="J20" s="6">
        <f t="shared" si="1"/>
        <v>0</v>
      </c>
      <c r="K20" s="4" t="str">
        <f t="shared" ca="1" si="2"/>
        <v>-</v>
      </c>
      <c r="L20" s="7" t="str">
        <f>IF(I20="Completed","0",IF($H20="","",$H20-'[2]Read Me'!$B$4))</f>
        <v>0</v>
      </c>
      <c r="M20" s="4" t="str">
        <f>IF($I20="Complete","Green",IF($H20="","Amber",IF($H20&lt;'[2]Read Me'!$B$4,"Red",IF($H20-'[2]Read Me'!$B$4&lt;=21,"Amber","Green"))))</f>
        <v>Red</v>
      </c>
      <c r="N20" s="3"/>
      <c r="O20" t="str">
        <f>IF($I20&lt;&gt;"Complete",IF(COUNTIFS($A$4:$A19,$A20,$B$4:$B19,$B20,$I$4:$I19,"&lt;&gt;Complete")=0,$A20&amp;"|"&amp;$B20,""),"")</f>
        <v/>
      </c>
      <c r="P20" t="str">
        <f ca="1">IF($K20="Yes",COUNTIFS($K$4:$K20,"Yes"),"")</f>
        <v/>
      </c>
      <c r="Q20">
        <f t="shared" ca="1" si="3"/>
        <v>0</v>
      </c>
      <c r="R20" t="str">
        <f ca="1">IF($Q20=1,SUM($Q$4:$Q20),"")</f>
        <v/>
      </c>
    </row>
    <row r="21" spans="1:18" ht="33.75" customHeight="1" x14ac:dyDescent="0.3">
      <c r="A21" s="2" t="s">
        <v>163</v>
      </c>
      <c r="B21" s="2" t="s">
        <v>21</v>
      </c>
      <c r="C21" s="3" t="s">
        <v>179</v>
      </c>
      <c r="D21" s="3" t="s">
        <v>183</v>
      </c>
      <c r="E21" s="2" t="s">
        <v>184</v>
      </c>
      <c r="F21" s="2"/>
      <c r="G21" s="5">
        <v>45678</v>
      </c>
      <c r="H21" s="5">
        <v>45678</v>
      </c>
      <c r="I21" s="2" t="s">
        <v>31</v>
      </c>
      <c r="J21" s="6">
        <f t="shared" si="1"/>
        <v>0</v>
      </c>
      <c r="K21" s="4" t="str">
        <f t="shared" ca="1" si="2"/>
        <v>-</v>
      </c>
      <c r="L21" s="7" t="str">
        <f>IF(I21="Completed","0",IF($H21="","",$H21-'[2]Read Me'!$B$4))</f>
        <v>0</v>
      </c>
      <c r="M21" s="4" t="str">
        <f>IF($I21="Complete","Green",IF($H21="","Amber",IF($H21&lt;'[2]Read Me'!$B$4,"Red",IF($H21-'[2]Read Me'!$B$4&lt;=21,"Amber","Green"))))</f>
        <v>Red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163</v>
      </c>
      <c r="B22" s="2" t="s">
        <v>21</v>
      </c>
      <c r="C22" s="3" t="s">
        <v>179</v>
      </c>
      <c r="D22" s="3" t="s">
        <v>185</v>
      </c>
      <c r="E22" s="2" t="s">
        <v>181</v>
      </c>
      <c r="F22" s="2" t="s">
        <v>182</v>
      </c>
      <c r="G22" s="5">
        <v>45967</v>
      </c>
      <c r="H22" s="5">
        <v>46075</v>
      </c>
      <c r="I22" s="2" t="s">
        <v>31</v>
      </c>
      <c r="J22" s="6">
        <f t="shared" si="1"/>
        <v>108</v>
      </c>
      <c r="K22" s="4" t="str">
        <f t="shared" ca="1" si="2"/>
        <v>-</v>
      </c>
      <c r="L22" s="7" t="str">
        <f>IF(I22="Completed","0",IF($H22="","",$H22-'[2]Read Me'!$B$4))</f>
        <v>0</v>
      </c>
      <c r="M22" s="4" t="str">
        <f>IF($I22="Complete","Green",IF($H22="","Amber",IF($H22&lt;'[2]Read Me'!$B$4,"Red",IF($H22-'[2]Read Me'!$B$4&lt;=21,"Amber","Green"))))</f>
        <v>Red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163</v>
      </c>
      <c r="B23" s="2" t="s">
        <v>21</v>
      </c>
      <c r="C23" s="3" t="s">
        <v>179</v>
      </c>
      <c r="D23" s="3" t="s">
        <v>32</v>
      </c>
      <c r="E23" s="2" t="s">
        <v>181</v>
      </c>
      <c r="F23" s="2"/>
      <c r="G23" s="5">
        <v>45974</v>
      </c>
      <c r="H23" s="5">
        <v>46146</v>
      </c>
      <c r="I23" s="2" t="s">
        <v>31</v>
      </c>
      <c r="J23" s="6">
        <f t="shared" si="1"/>
        <v>172</v>
      </c>
      <c r="K23" s="4" t="str">
        <f t="shared" ca="1" si="2"/>
        <v>-</v>
      </c>
      <c r="L23" s="7" t="str">
        <f>IF(I23="Completed","0",IF($H23="","",$H23-'[2]Read Me'!$B$4))</f>
        <v>0</v>
      </c>
      <c r="M23" s="4" t="str">
        <f>IF($I23="Complete","Green",IF($H23="","Amber",IF($H23&lt;'[2]Read Me'!$B$4,"Red",IF($H23-'[2]Read Me'!$B$4&lt;=21,"Amber","Green"))))</f>
        <v>Red</v>
      </c>
      <c r="N23" s="3"/>
      <c r="O23" t="str">
        <f>IF($I23&lt;&gt;"Complete",IF(COUNTIFS($A$4:$A22,$A23,$B$4:$B22,$B23,$I$4:$I22,"&lt;&gt;Complete")=0,$A23&amp;"|"&amp;$B23,""),"")</f>
        <v/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163</v>
      </c>
      <c r="B24" s="2" t="s">
        <v>21</v>
      </c>
      <c r="C24" s="3" t="s">
        <v>179</v>
      </c>
      <c r="D24" s="3" t="s">
        <v>14</v>
      </c>
      <c r="E24" s="2" t="s">
        <v>181</v>
      </c>
      <c r="F24" s="2" t="s">
        <v>182</v>
      </c>
      <c r="G24" s="5">
        <v>46002</v>
      </c>
      <c r="H24" s="5">
        <v>46197</v>
      </c>
      <c r="I24" s="2" t="s">
        <v>46</v>
      </c>
      <c r="J24" s="6">
        <f t="shared" si="1"/>
        <v>195</v>
      </c>
      <c r="K24" s="4" t="str">
        <f t="shared" ca="1" si="2"/>
        <v>Yes</v>
      </c>
      <c r="L24" s="7">
        <f>IF(I24="Completed","0",IF($H24="","",$H24-'[2]Read Me'!$B$4))</f>
        <v>10</v>
      </c>
      <c r="M24" s="4" t="str">
        <f>IF($I24="Complete","Green",IF($H24="","Amber",IF($H24&lt;'[2]Read Me'!$B$4,"Red",IF($H24-'[2]Read Me'!$B$4&lt;=21,"Amber","Green"))))</f>
        <v>Amber</v>
      </c>
      <c r="N24" s="3"/>
      <c r="O24" t="str">
        <f>IF($I24&lt;&gt;"Complete",IF(COUNTIFS($A$4:$A23,$A24,$B$4:$B23,$B24,$I$4:$I23,"&lt;&gt;Complete")=0,$A24&amp;"|"&amp;$B24,""),"")</f>
        <v/>
      </c>
      <c r="P24">
        <f ca="1">IF($K24="Yes",COUNTIFS($K$4:$K24,"Yes"),"")</f>
        <v>3</v>
      </c>
      <c r="Q24">
        <f t="shared" ca="1" si="3"/>
        <v>1</v>
      </c>
      <c r="R24">
        <f ca="1">IF($Q24=1,SUM($Q$4:$Q24),"")</f>
        <v>3</v>
      </c>
    </row>
    <row r="25" spans="1:18" ht="33.75" customHeight="1" x14ac:dyDescent="0.3">
      <c r="A25" s="2" t="s">
        <v>163</v>
      </c>
      <c r="B25" s="2" t="s">
        <v>21</v>
      </c>
      <c r="C25" s="3" t="s">
        <v>179</v>
      </c>
      <c r="D25" s="3" t="s">
        <v>34</v>
      </c>
      <c r="E25" s="2" t="s">
        <v>181</v>
      </c>
      <c r="F25" s="2"/>
      <c r="G25" s="5">
        <v>46009</v>
      </c>
      <c r="H25" s="5">
        <v>46204</v>
      </c>
      <c r="I25" s="2" t="s">
        <v>17</v>
      </c>
      <c r="J25" s="6">
        <f t="shared" si="1"/>
        <v>195</v>
      </c>
      <c r="K25" s="4" t="str">
        <f t="shared" ca="1" si="2"/>
        <v>Yes</v>
      </c>
      <c r="L25" s="7">
        <f>IF(I25="Completed","0",IF($H25="","",$H25-'[2]Read Me'!$B$4))</f>
        <v>17</v>
      </c>
      <c r="M25" s="4" t="str">
        <f>IF($I25="Complete","Green",IF($H25="","Amber",IF($H25&lt;'[2]Read Me'!$B$4,"Red",IF($H25-'[2]Read Me'!$B$4&lt;=21,"Amber","Green"))))</f>
        <v>Amber</v>
      </c>
      <c r="N25" s="3"/>
      <c r="O25" t="str">
        <f>IF($I25&lt;&gt;"Complete",IF(COUNTIFS($A$4:$A24,$A25,$B$4:$B24,$B25,$I$4:$I24,"&lt;&gt;Complete")=0,$A25&amp;"|"&amp;$B25,""),"")</f>
        <v/>
      </c>
      <c r="P25">
        <f ca="1">IF($K25="Yes",COUNTIFS($K$4:$K25,"Yes"),"")</f>
        <v>4</v>
      </c>
      <c r="Q25">
        <f t="shared" ca="1" si="3"/>
        <v>1</v>
      </c>
      <c r="R25">
        <f ca="1">IF($Q25=1,SUM($Q$4:$Q25),"")</f>
        <v>4</v>
      </c>
    </row>
    <row r="26" spans="1:18" ht="33.75" customHeight="1" x14ac:dyDescent="0.3">
      <c r="A26" s="2" t="s">
        <v>163</v>
      </c>
      <c r="B26" s="2" t="s">
        <v>21</v>
      </c>
      <c r="C26" s="3" t="s">
        <v>179</v>
      </c>
      <c r="D26" s="3" t="s">
        <v>15</v>
      </c>
      <c r="E26" s="2" t="s">
        <v>181</v>
      </c>
      <c r="F26" s="2" t="s">
        <v>182</v>
      </c>
      <c r="G26" s="5">
        <v>46030</v>
      </c>
      <c r="H26" s="5">
        <v>46225</v>
      </c>
      <c r="I26" s="2" t="s">
        <v>17</v>
      </c>
      <c r="J26" s="6">
        <f t="shared" si="1"/>
        <v>195</v>
      </c>
      <c r="K26" s="4" t="str">
        <f t="shared" ca="1" si="2"/>
        <v>No</v>
      </c>
      <c r="L26" s="7">
        <f>IF(I26="Completed","0",IF($H26="","",$H26-'[2]Read Me'!$B$4))</f>
        <v>38</v>
      </c>
      <c r="M26" s="4" t="str">
        <f>IF($I26="Complete","Green",IF($H26="","Amber",IF($H26&lt;'[2]Read Me'!$B$4,"Red",IF($H26-'[2]Read Me'!$B$4&lt;=21,"Amber","Green"))))</f>
        <v>Green</v>
      </c>
      <c r="N26" s="3"/>
      <c r="O26" t="str">
        <f>IF($I26&lt;&gt;"Complete",IF(COUNTIFS($A$4:$A25,$A26,$B$4:$B25,$B26,$I$4:$I25,"&lt;&gt;Complete")=0,$A26&amp;"|"&amp;$B26,""),"")</f>
        <v/>
      </c>
      <c r="P26" t="str">
        <f ca="1">IF($K26="Yes",COUNTIFS($K$4:$K26,"Yes"),"")</f>
        <v/>
      </c>
      <c r="Q26">
        <f t="shared" ca="1" si="3"/>
        <v>0</v>
      </c>
      <c r="R26" t="str">
        <f ca="1">IF($Q26=1,SUM($Q$4:$Q26),"")</f>
        <v/>
      </c>
    </row>
    <row r="27" spans="1:18" ht="33.75" customHeight="1" x14ac:dyDescent="0.3">
      <c r="A27" s="2" t="s">
        <v>163</v>
      </c>
      <c r="B27" s="2" t="s">
        <v>21</v>
      </c>
      <c r="C27" s="3" t="s">
        <v>179</v>
      </c>
      <c r="D27" s="3" t="s">
        <v>35</v>
      </c>
      <c r="E27" s="2" t="s">
        <v>181</v>
      </c>
      <c r="F27" s="2"/>
      <c r="G27" s="5">
        <v>46037</v>
      </c>
      <c r="H27" s="5">
        <v>46232</v>
      </c>
      <c r="I27" s="2" t="s">
        <v>17</v>
      </c>
      <c r="J27" s="6">
        <f t="shared" si="1"/>
        <v>195</v>
      </c>
      <c r="K27" s="4" t="str">
        <f t="shared" ca="1" si="2"/>
        <v>No</v>
      </c>
      <c r="L27" s="7">
        <f>IF(I27="Completed","0",IF($H27="","",$H27-'[2]Read Me'!$B$4))</f>
        <v>45</v>
      </c>
      <c r="M27" s="4" t="str">
        <f>IF($I27="Complete","Green",IF($H27="","Amber",IF($H27&lt;'[2]Read Me'!$B$4,"Red",IF($H27-'[2]Read Me'!$B$4&lt;=21,"Amber","Green"))))</f>
        <v>Green</v>
      </c>
      <c r="N27" s="3"/>
      <c r="O27" t="str">
        <f>IF($I27&lt;&gt;"Complete",IF(COUNTIFS($A$4:$A26,$A27,$B$4:$B26,$B27,$I$4:$I26,"&lt;&gt;Complete")=0,$A27&amp;"|"&amp;$B27,""),"")</f>
        <v/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163</v>
      </c>
      <c r="B28" s="2" t="s">
        <v>21</v>
      </c>
      <c r="C28" s="3" t="s">
        <v>179</v>
      </c>
      <c r="D28" s="3" t="s">
        <v>20</v>
      </c>
      <c r="E28" s="2" t="s">
        <v>184</v>
      </c>
      <c r="F28" s="2"/>
      <c r="G28" s="5">
        <v>46044</v>
      </c>
      <c r="H28" s="5">
        <v>46239</v>
      </c>
      <c r="I28" s="2" t="s">
        <v>17</v>
      </c>
      <c r="J28" s="6">
        <f t="shared" si="1"/>
        <v>195</v>
      </c>
      <c r="K28" s="4" t="str">
        <f t="shared" ca="1" si="2"/>
        <v>No</v>
      </c>
      <c r="L28" s="7">
        <f>IF(I28="Completed","0",IF($H28="","",$H28-'[2]Read Me'!$B$4))</f>
        <v>52</v>
      </c>
      <c r="M28" s="4" t="str">
        <f>IF($I28="Complete","Green",IF($H28="","Amber",IF($H28&lt;'[2]Read Me'!$B$4,"Red",IF($H28-'[2]Read Me'!$B$4&lt;=21,"Amber","Green"))))</f>
        <v>Green</v>
      </c>
      <c r="N28" s="3"/>
      <c r="O28" t="str">
        <f>IF($I28&lt;&gt;"Complete",IF(COUNTIFS($A$4:$A27,$A28,$B$4:$B27,$B28,$I$4:$I27,"&lt;&gt;Complete")=0,$A28&amp;"|"&amp;$B28,""),"")</f>
        <v/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163</v>
      </c>
      <c r="B29" s="2" t="s">
        <v>21</v>
      </c>
      <c r="C29" s="3" t="s">
        <v>179</v>
      </c>
      <c r="D29" s="3" t="s">
        <v>16</v>
      </c>
      <c r="E29" s="2" t="s">
        <v>181</v>
      </c>
      <c r="F29" s="2" t="s">
        <v>182</v>
      </c>
      <c r="G29" s="5">
        <v>46051</v>
      </c>
      <c r="H29" s="5">
        <v>46253</v>
      </c>
      <c r="I29" s="2" t="s">
        <v>17</v>
      </c>
      <c r="J29" s="6">
        <f t="shared" si="1"/>
        <v>202</v>
      </c>
      <c r="K29" s="4" t="str">
        <f t="shared" ca="1" si="2"/>
        <v>No</v>
      </c>
      <c r="L29" s="7">
        <f>IF(I29="Completed","0",IF($H29="","",$H29-'[2]Read Me'!$B$4))</f>
        <v>66</v>
      </c>
      <c r="M29" s="4" t="str">
        <f>IF($I29="Complete","Green",IF($H29="","Amber",IF($H29&lt;'[2]Read Me'!$B$4,"Red",IF($H29-'[2]Read Me'!$B$4&lt;=21,"Amber","Green"))))</f>
        <v>Green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163</v>
      </c>
      <c r="B30" s="2" t="s">
        <v>21</v>
      </c>
      <c r="C30" s="3" t="s">
        <v>179</v>
      </c>
      <c r="D30" s="3" t="s">
        <v>178</v>
      </c>
      <c r="E30" s="2" t="s">
        <v>181</v>
      </c>
      <c r="F30" s="2"/>
      <c r="G30" s="5">
        <v>46065</v>
      </c>
      <c r="H30" s="5">
        <v>46267</v>
      </c>
      <c r="I30" s="2" t="s">
        <v>17</v>
      </c>
      <c r="J30" s="6">
        <f t="shared" si="1"/>
        <v>202</v>
      </c>
      <c r="K30" s="4" t="str">
        <f t="shared" ca="1" si="2"/>
        <v>No</v>
      </c>
      <c r="L30" s="7">
        <f>IF(I30="Completed","0",IF($H30="","",$H30-'[2]Read Me'!$B$4))</f>
        <v>80</v>
      </c>
      <c r="M30" s="4" t="str">
        <f>IF($I30="Complete","Green",IF($H30="","Amber",IF($H30&lt;'[2]Read Me'!$B$4,"Red",IF($H30-'[2]Read Me'!$B$4&lt;=21,"Amber","Green"))))</f>
        <v>Green</v>
      </c>
      <c r="N30" s="3"/>
      <c r="O30" t="str">
        <f>IF($I30&lt;&gt;"Complete",IF(COUNTIFS($A$4:$A29,$A30,$B$4:$B29,$B30,$I$4:$I29,"&lt;&gt;Complete")=0,$A30&amp;"|"&amp;$B30,""),"")</f>
        <v/>
      </c>
      <c r="P30" t="str">
        <f ca="1">IF($K30="Yes",COUNTIFS($K$4:$K30,"Yes"),"")</f>
        <v/>
      </c>
      <c r="Q30">
        <f t="shared" ca="1" si="3"/>
        <v>0</v>
      </c>
      <c r="R30" t="str">
        <f ca="1">IF($Q30=1,SUM($Q$4:$Q30),"")</f>
        <v/>
      </c>
    </row>
    <row r="31" spans="1:18" ht="14.25" customHeight="1" x14ac:dyDescent="0.3">
      <c r="A31" s="2" t="s">
        <v>163</v>
      </c>
      <c r="B31" s="2" t="s">
        <v>186</v>
      </c>
      <c r="C31" s="3"/>
      <c r="D31" s="3"/>
      <c r="E31" s="2"/>
      <c r="F31" s="2"/>
      <c r="G31" s="5"/>
      <c r="H31" s="5">
        <v>46205</v>
      </c>
      <c r="I31" s="2"/>
      <c r="J31" s="6" t="str">
        <f t="shared" si="1"/>
        <v/>
      </c>
      <c r="K31" s="4" t="str">
        <f t="shared" ca="1" si="2"/>
        <v/>
      </c>
      <c r="L31" s="7">
        <f>IF(I31="Completed","0",IF($H31="","",$H31-'[2]Read Me'!$B$4))</f>
        <v>18</v>
      </c>
      <c r="M31" s="4" t="str">
        <f>IF($I31="Complete","Green",IF($H31="","Amber",IF($H31&lt;'[2]Read Me'!$B$4,"Red",IF($H31-'[2]Read Me'!$B$4&lt;=21,"Amber","Green"))))</f>
        <v>Amber</v>
      </c>
      <c r="N31" s="3"/>
      <c r="O31" t="str">
        <f>IF($I31&lt;&gt;"Complete",IF(COUNTIFS($A$4:$A30,$A31,$B$4:$B30,$B31,$I$4:$I30,"&lt;&gt;Complete")=0,$A31&amp;"|"&amp;$B31,""),"")</f>
        <v>Selina|Plot Fences</v>
      </c>
      <c r="P31" t="str">
        <f ca="1">IF($K31="Yes",COUNTIFS($K$4:$K31,"Yes"),"")</f>
        <v/>
      </c>
      <c r="Q31">
        <f t="shared" ca="1" si="3"/>
        <v>0</v>
      </c>
      <c r="R31" t="str">
        <f ca="1">IF($Q31=1,SUM($Q$4:$Q31),"")</f>
        <v/>
      </c>
    </row>
    <row r="32" spans="1:18" ht="14.25" customHeight="1" x14ac:dyDescent="0.3">
      <c r="A32" s="2" t="s">
        <v>163</v>
      </c>
      <c r="B32" s="2" t="s">
        <v>186</v>
      </c>
      <c r="C32" s="3" t="s">
        <v>187</v>
      </c>
      <c r="D32" s="3" t="s">
        <v>188</v>
      </c>
      <c r="E32" s="2" t="s">
        <v>181</v>
      </c>
      <c r="F32" s="2" t="s">
        <v>189</v>
      </c>
      <c r="G32" s="5"/>
      <c r="H32" s="5">
        <v>45839</v>
      </c>
      <c r="I32" s="2" t="s">
        <v>17</v>
      </c>
      <c r="J32" s="6" t="str">
        <f t="shared" si="1"/>
        <v/>
      </c>
      <c r="K32" s="4" t="str">
        <f t="shared" ca="1" si="2"/>
        <v>Yes</v>
      </c>
      <c r="L32" s="7">
        <f>IF(I32="Completed","0",IF($H32="","",$H32-'[2]Read Me'!$B$4))</f>
        <v>-348</v>
      </c>
      <c r="M32" s="4" t="str">
        <f>IF($I32="Complete","Green",IF($H32="","Amber",IF($H32&lt;'[2]Read Me'!$B$4,"Red",IF($H32-'[2]Read Me'!$B$4&lt;=21,"Amber","Green"))))</f>
        <v>Red</v>
      </c>
      <c r="N32" s="3"/>
      <c r="O32" t="str">
        <f>IF($I32&lt;&gt;"Complete",IF(COUNTIFS($A$4:$A31,$A32,$B$4:$B31,$B32,$I$4:$I31,"&lt;&gt;Complete")=0,$A32&amp;"|"&amp;$B32,""),"")</f>
        <v/>
      </c>
      <c r="P32">
        <f ca="1">IF($K32="Yes",COUNTIFS($K$4:$K32,"Yes"),"")</f>
        <v>5</v>
      </c>
      <c r="Q32">
        <f t="shared" ca="1" si="3"/>
        <v>1</v>
      </c>
      <c r="R32">
        <f ca="1">IF($Q32=1,SUM($Q$4:$Q32),"")</f>
        <v>5</v>
      </c>
    </row>
    <row r="33" spans="1:18" ht="14.25" customHeight="1" x14ac:dyDescent="0.3">
      <c r="A33" s="2" t="s">
        <v>163</v>
      </c>
      <c r="B33" s="2" t="s">
        <v>186</v>
      </c>
      <c r="C33" s="3" t="s">
        <v>187</v>
      </c>
      <c r="D33" s="3" t="s">
        <v>190</v>
      </c>
      <c r="E33" s="2" t="s">
        <v>181</v>
      </c>
      <c r="F33" s="2"/>
      <c r="G33" s="5"/>
      <c r="H33" s="5">
        <v>46131</v>
      </c>
      <c r="I33" s="2" t="s">
        <v>31</v>
      </c>
      <c r="J33" s="6" t="str">
        <f t="shared" si="1"/>
        <v/>
      </c>
      <c r="K33" s="4" t="str">
        <f t="shared" ca="1" si="2"/>
        <v>-</v>
      </c>
      <c r="L33" s="7" t="str">
        <f>IF(I33="Completed","0",IF($H33="","",$H33-'[2]Read Me'!$B$4))</f>
        <v>0</v>
      </c>
      <c r="M33" s="4" t="str">
        <f>IF($I33="Complete","Green",IF($H33="","Amber",IF($H33&lt;'[2]Read Me'!$B$4,"Red",IF($H33-'[2]Read Me'!$B$4&lt;=21,"Amber","Green"))))</f>
        <v>Red</v>
      </c>
      <c r="N33" s="3"/>
      <c r="O33" t="str">
        <f>IF($I33&lt;&gt;"Complete",IF(COUNTIFS($A$4:$A32,$A33,$B$4:$B32,$B33,$I$4:$I32,"&lt;&gt;Complete")=0,$A33&amp;"|"&amp;$B33,""),"")</f>
        <v/>
      </c>
      <c r="P33" t="str">
        <f ca="1">IF($K33="Yes",COUNTIFS($K$4:$K33,"Yes"),"")</f>
        <v/>
      </c>
      <c r="Q33">
        <f t="shared" ca="1" si="3"/>
        <v>0</v>
      </c>
      <c r="R33" t="str">
        <f ca="1">IF($Q33=1,SUM($Q$4:$Q33),"")</f>
        <v/>
      </c>
    </row>
    <row r="34" spans="1:18" ht="14.25" customHeight="1" x14ac:dyDescent="0.3">
      <c r="A34" s="2" t="s">
        <v>163</v>
      </c>
      <c r="B34" s="2" t="s">
        <v>186</v>
      </c>
      <c r="C34" s="3" t="s">
        <v>187</v>
      </c>
      <c r="D34" s="3" t="s">
        <v>191</v>
      </c>
      <c r="E34" s="2" t="s">
        <v>181</v>
      </c>
      <c r="F34" s="2" t="s">
        <v>189</v>
      </c>
      <c r="G34" s="5"/>
      <c r="H34" s="5">
        <v>46198</v>
      </c>
      <c r="I34" s="2" t="s">
        <v>46</v>
      </c>
      <c r="J34" s="6" t="str">
        <f t="shared" si="1"/>
        <v/>
      </c>
      <c r="K34" s="4" t="str">
        <f t="shared" ca="1" si="2"/>
        <v>Yes</v>
      </c>
      <c r="L34" s="7">
        <f>IF(I34="Completed","0",IF($H34="","",$H34-'[2]Read Me'!$B$4))</f>
        <v>11</v>
      </c>
      <c r="M34" s="4" t="str">
        <f>IF($I34="Complete","Green",IF($H34="","Amber",IF($H34&lt;'[2]Read Me'!$B$4,"Red",IF($H34-'[2]Read Me'!$B$4&lt;=21,"Amber","Green"))))</f>
        <v>Amber</v>
      </c>
      <c r="N34" s="3"/>
      <c r="O34" t="str">
        <f>IF($I34&lt;&gt;"Complete",IF(COUNTIFS($A$4:$A33,$A34,$B$4:$B33,$B34,$I$4:$I33,"&lt;&gt;Complete")=0,$A34&amp;"|"&amp;$B34,""),"")</f>
        <v/>
      </c>
      <c r="P34">
        <f ca="1">IF($K34="Yes",COUNTIFS($K$4:$K34,"Yes"),"")</f>
        <v>6</v>
      </c>
      <c r="Q34">
        <f t="shared" ca="1" si="3"/>
        <v>1</v>
      </c>
      <c r="R34">
        <f ca="1">IF($Q34=1,SUM($Q$4:$Q34),"")</f>
        <v>6</v>
      </c>
    </row>
    <row r="35" spans="1:18" ht="14.25" customHeight="1" x14ac:dyDescent="0.3">
      <c r="A35" s="2" t="s">
        <v>163</v>
      </c>
      <c r="B35" s="2" t="s">
        <v>186</v>
      </c>
      <c r="C35" s="3" t="s">
        <v>187</v>
      </c>
      <c r="D35" s="3" t="s">
        <v>178</v>
      </c>
      <c r="E35" s="2" t="s">
        <v>181</v>
      </c>
      <c r="F35" s="2"/>
      <c r="G35" s="5"/>
      <c r="H35" s="5">
        <v>46205</v>
      </c>
      <c r="I35" s="2" t="s">
        <v>17</v>
      </c>
      <c r="J35" s="6" t="str">
        <f t="shared" si="1"/>
        <v/>
      </c>
      <c r="K35" s="4" t="str">
        <f t="shared" ca="1" si="2"/>
        <v>No</v>
      </c>
      <c r="L35" s="7">
        <f>IF(I35="Completed","0",IF($H35="","",$H35-'[2]Read Me'!$B$4))</f>
        <v>18</v>
      </c>
      <c r="M35" s="4" t="str">
        <f>IF($I35="Complete","Green",IF($H35="","Amber",IF($H35&lt;'[2]Read Me'!$B$4,"Red",IF($H35-'[2]Read Me'!$B$4&lt;=21,"Amber","Green"))))</f>
        <v>Amber</v>
      </c>
      <c r="N35" s="3"/>
      <c r="O35" t="str">
        <f>IF($I35&lt;&gt;"Complete",IF(COUNTIFS($A$4:$A34,$A35,$B$4:$B34,$B35,$I$4:$I34,"&lt;&gt;Complete")=0,$A35&amp;"|"&amp;$B35,""),"")</f>
        <v/>
      </c>
      <c r="P35" t="str">
        <f ca="1">IF($K35="Yes",COUNTIFS($K$4:$K35,"Yes"),"")</f>
        <v/>
      </c>
      <c r="Q35">
        <f t="shared" ca="1" si="3"/>
        <v>0</v>
      </c>
      <c r="R35" t="str">
        <f ca="1">IF($Q35=1,SUM($Q$4:$Q35),"")</f>
        <v/>
      </c>
    </row>
    <row r="36" spans="1:18" ht="14.25" customHeight="1" x14ac:dyDescent="0.3">
      <c r="A36" s="2" t="s">
        <v>163</v>
      </c>
      <c r="B36" s="2" t="s">
        <v>192</v>
      </c>
      <c r="C36" s="3"/>
      <c r="D36" s="3"/>
      <c r="E36" s="2"/>
      <c r="F36" s="2"/>
      <c r="G36" s="5"/>
      <c r="H36" s="5">
        <v>46063</v>
      </c>
      <c r="I36" s="2"/>
      <c r="J36" s="6" t="str">
        <f t="shared" si="1"/>
        <v/>
      </c>
      <c r="K36" s="4" t="str">
        <f t="shared" ca="1" si="2"/>
        <v/>
      </c>
      <c r="L36" s="7">
        <f>IF(I36="Completed","0",IF($H36="","",$H36-'[2]Read Me'!$B$4))</f>
        <v>-124</v>
      </c>
      <c r="M36" s="4" t="str">
        <f>IF($I36="Complete","Green",IF($H36="","Amber",IF($H36&lt;'[2]Read Me'!$B$4,"Red",IF($H36-'[2]Read Me'!$B$4&lt;=21,"Amber","Green"))))</f>
        <v>Red</v>
      </c>
      <c r="N36" s="3"/>
      <c r="O36" t="str">
        <f>IF($I36&lt;&gt;"Complete",IF(COUNTIFS($A$4:$A35,$A36,$B$4:$B35,$B36,$I$4:$I35,"&lt;&gt;Complete")=0,$A36&amp;"|"&amp;$B36,""),"")</f>
        <v>Selina|Parcel Fence</v>
      </c>
      <c r="P36" t="str">
        <f ca="1">IF($K36="Yes",COUNTIFS($K$4:$K36,"Yes"),"")</f>
        <v/>
      </c>
      <c r="Q36">
        <f t="shared" ca="1" si="3"/>
        <v>0</v>
      </c>
      <c r="R36" t="str">
        <f ca="1">IF($Q36=1,SUM($Q$4:$Q36),"")</f>
        <v/>
      </c>
    </row>
    <row r="37" spans="1:18" ht="14.25" customHeight="1" x14ac:dyDescent="0.3">
      <c r="A37" s="2" t="s">
        <v>163</v>
      </c>
      <c r="B37" s="2" t="s">
        <v>192</v>
      </c>
      <c r="C37" s="3" t="s">
        <v>192</v>
      </c>
      <c r="D37" s="3" t="s">
        <v>37</v>
      </c>
      <c r="E37" s="2" t="s">
        <v>181</v>
      </c>
      <c r="F37" s="2"/>
      <c r="G37" s="5"/>
      <c r="H37" s="5">
        <v>46063</v>
      </c>
      <c r="I37" s="2" t="s">
        <v>31</v>
      </c>
      <c r="J37" s="6" t="str">
        <f t="shared" si="1"/>
        <v/>
      </c>
      <c r="K37" s="4" t="str">
        <f t="shared" ca="1" si="2"/>
        <v>-</v>
      </c>
      <c r="L37" s="7" t="str">
        <f>IF(I37="Completed","0",IF($H37="","",$H37-'[2]Read Me'!$B$4))</f>
        <v>0</v>
      </c>
      <c r="M37" s="4" t="str">
        <f>IF($I37="Complete","Green",IF($H37="","Amber",IF($H37&lt;'[2]Read Me'!$B$4,"Red",IF($H37-'[2]Read Me'!$B$4&lt;=21,"Amber","Green"))))</f>
        <v>Red</v>
      </c>
      <c r="N37" s="3"/>
      <c r="O37" t="str">
        <f>IF($I37&lt;&gt;"Complete",IF(COUNTIFS($A$4:$A36,$A37,$B$4:$B36,$B37,$I$4:$I36,"&lt;&gt;Complete")=0,$A37&amp;"|"&amp;$B37,""),"")</f>
        <v/>
      </c>
      <c r="P37" t="str">
        <f ca="1">IF($K37="Yes",COUNTIFS($K$4:$K37,"Yes"),"")</f>
        <v/>
      </c>
      <c r="Q37">
        <f t="shared" ca="1" si="3"/>
        <v>0</v>
      </c>
      <c r="R37" t="str">
        <f ca="1">IF($Q37=1,SUM($Q$4:$Q37),"")</f>
        <v/>
      </c>
    </row>
    <row r="38" spans="1:18" ht="14.25" customHeight="1" x14ac:dyDescent="0.3">
      <c r="A38" s="2" t="s">
        <v>193</v>
      </c>
      <c r="B38" s="2" t="s">
        <v>62</v>
      </c>
      <c r="C38" s="3"/>
      <c r="D38" s="3"/>
      <c r="E38" s="2"/>
      <c r="F38" s="2"/>
      <c r="G38" s="5">
        <v>46023</v>
      </c>
      <c r="H38" s="5">
        <v>46135</v>
      </c>
      <c r="I38" s="2"/>
      <c r="J38" s="6">
        <f t="shared" si="1"/>
        <v>112</v>
      </c>
      <c r="K38" s="4" t="str">
        <f t="shared" ca="1" si="2"/>
        <v/>
      </c>
      <c r="L38" s="7">
        <f>IF(I38="Completed","0",IF($H38="","",$H38-'[2]Read Me'!$B$4))</f>
        <v>-52</v>
      </c>
      <c r="M38" s="4" t="str">
        <f>IF($I38="Complete","Green",IF($H38="","Amber",IF($H38&lt;'[2]Read Me'!$B$4,"Red",IF($H38-'[2]Read Me'!$B$4&lt;=21,"Amber","Green"))))</f>
        <v>Red</v>
      </c>
      <c r="N38" s="3"/>
      <c r="O38" t="str">
        <f>IF($I38&lt;&gt;"Complete",IF(COUNTIFS($A$4:$A37,$A38,$B$4:$B37,$B38,$I$4:$I37,"&lt;&gt;Complete")=0,$A38&amp;"|"&amp;$B38,""),"")</f>
        <v>Amaia|Buildings</v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193</v>
      </c>
      <c r="B39" s="2" t="s">
        <v>62</v>
      </c>
      <c r="C39" s="3" t="s">
        <v>194</v>
      </c>
      <c r="D39" s="3" t="s">
        <v>16</v>
      </c>
      <c r="E39" s="2"/>
      <c r="F39" s="2"/>
      <c r="G39" s="5"/>
      <c r="H39" s="5">
        <v>45706</v>
      </c>
      <c r="I39" s="2" t="s">
        <v>31</v>
      </c>
      <c r="J39" s="6" t="str">
        <f t="shared" si="1"/>
        <v/>
      </c>
      <c r="K39" s="4" t="str">
        <f t="shared" ca="1" si="2"/>
        <v>-</v>
      </c>
      <c r="L39" s="7" t="str">
        <f>IF(I39="Completed","0",IF($H39="","",$H39-'[2]Read Me'!$B$4))</f>
        <v>0</v>
      </c>
      <c r="M39" s="4" t="str">
        <f>IF($I39="Complete","Green",IF($H39="","Amber",IF($H39&lt;'[2]Read Me'!$B$4,"Red",IF($H39-'[2]Read Me'!$B$4&lt;=21,"Amber","Green"))))</f>
        <v>Red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 t="s">
        <v>193</v>
      </c>
      <c r="B40" s="2" t="s">
        <v>62</v>
      </c>
      <c r="C40" s="3" t="s">
        <v>194</v>
      </c>
      <c r="D40" s="3" t="s">
        <v>37</v>
      </c>
      <c r="E40" s="2"/>
      <c r="F40" s="2"/>
      <c r="G40" s="5"/>
      <c r="H40" s="5">
        <v>45712</v>
      </c>
      <c r="I40" s="2" t="s">
        <v>31</v>
      </c>
      <c r="J40" s="6" t="str">
        <f t="shared" si="1"/>
        <v/>
      </c>
      <c r="K40" s="4" t="str">
        <f t="shared" ca="1" si="2"/>
        <v>-</v>
      </c>
      <c r="L40" s="7" t="str">
        <f>IF(I40="Completed","0",IF($H40="","",$H40-'[2]Read Me'!$B$4))</f>
        <v>0</v>
      </c>
      <c r="M40" s="4" t="str">
        <f>IF($I40="Complete","Green",IF($H40="","Amber",IF($H40&lt;'[2]Read Me'!$B$4,"Red",IF($H40-'[2]Read Me'!$B$4&lt;=21,"Amber","Green"))))</f>
        <v>Red</v>
      </c>
      <c r="N40" s="3"/>
      <c r="O40" t="str">
        <f>IF($I40&lt;&gt;"Complete",IF(COUNTIFS($A$4:$A39,$A40,$B$4:$B39,$B40,$I$4:$I39,"&lt;&gt;Complete")=0,$A40&amp;"|"&amp;$B40,""),"")</f>
        <v/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 t="s">
        <v>193</v>
      </c>
      <c r="B41" s="2" t="s">
        <v>62</v>
      </c>
      <c r="C41" s="3" t="s">
        <v>194</v>
      </c>
      <c r="D41" s="3" t="s">
        <v>195</v>
      </c>
      <c r="E41" s="2"/>
      <c r="F41" s="2"/>
      <c r="G41" s="5">
        <v>45981</v>
      </c>
      <c r="H41" s="5">
        <v>45950</v>
      </c>
      <c r="I41" s="2" t="s">
        <v>31</v>
      </c>
      <c r="J41" s="6">
        <f t="shared" si="1"/>
        <v>-31</v>
      </c>
      <c r="K41" s="4" t="str">
        <f t="shared" ca="1" si="2"/>
        <v>-</v>
      </c>
      <c r="L41" s="7" t="str">
        <f>IF(I41="Completed","0",IF($H41="","",$H41-'[2]Read Me'!$B$4))</f>
        <v>0</v>
      </c>
      <c r="M41" s="4" t="str">
        <f>IF($I41="Complete","Green",IF($H41="","Amber",IF($H41&lt;'[2]Read Me'!$B$4,"Red",IF($H41-'[2]Read Me'!$B$4&lt;=21,"Amber","Green"))))</f>
        <v>Red</v>
      </c>
      <c r="N41" s="3"/>
      <c r="O41" t="str">
        <f>IF($I41&lt;&gt;"Complete",IF(COUNTIFS($A$4:$A40,$A41,$B$4:$B40,$B41,$I$4:$I40,"&lt;&gt;Complete")=0,$A41&amp;"|"&amp;$B41,""),"")</f>
        <v/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 t="s">
        <v>193</v>
      </c>
      <c r="B42" s="2" t="s">
        <v>62</v>
      </c>
      <c r="C42" s="3" t="s">
        <v>194</v>
      </c>
      <c r="D42" s="3" t="s">
        <v>196</v>
      </c>
      <c r="E42" s="2"/>
      <c r="F42" s="2" t="s">
        <v>197</v>
      </c>
      <c r="G42" s="5">
        <v>45970</v>
      </c>
      <c r="H42" s="5">
        <v>46036</v>
      </c>
      <c r="I42" s="2" t="s">
        <v>31</v>
      </c>
      <c r="J42" s="6">
        <f t="shared" si="1"/>
        <v>66</v>
      </c>
      <c r="K42" s="4" t="str">
        <f t="shared" ca="1" si="2"/>
        <v>-</v>
      </c>
      <c r="L42" s="7" t="str">
        <f>IF(I42="Completed","0",IF($H42="","",$H42-'[2]Read Me'!$B$4))</f>
        <v>0</v>
      </c>
      <c r="M42" s="4" t="str">
        <f>IF($I42="Complete","Green",IF($H42="","Amber",IF($H42&lt;'[2]Read Me'!$B$4,"Red",IF($H42-'[2]Read Me'!$B$4&lt;=21,"Amber","Green"))))</f>
        <v>Red</v>
      </c>
      <c r="N42" s="3"/>
      <c r="O42" t="str">
        <f>IF($I42&lt;&gt;"Complete",IF(COUNTIFS($A$4:$A41,$A42,$B$4:$B41,$B42,$I$4:$I41,"&lt;&gt;Complete")=0,$A42&amp;"|"&amp;$B42,""),"")</f>
        <v/>
      </c>
      <c r="P42" t="str">
        <f ca="1">IF($K42="Yes",COUNTIFS($K$4:$K42,"Yes"),"")</f>
        <v/>
      </c>
      <c r="Q42">
        <f t="shared" ca="1" si="3"/>
        <v>0</v>
      </c>
      <c r="R42" t="str">
        <f ca="1">IF($Q42=1,SUM($Q$4:$Q42),"")</f>
        <v/>
      </c>
    </row>
    <row r="43" spans="1:18" ht="22.5" customHeight="1" x14ac:dyDescent="0.3">
      <c r="A43" s="2" t="s">
        <v>193</v>
      </c>
      <c r="B43" s="2" t="s">
        <v>62</v>
      </c>
      <c r="C43" s="3" t="s">
        <v>194</v>
      </c>
      <c r="D43" s="3" t="s">
        <v>198</v>
      </c>
      <c r="E43" s="2"/>
      <c r="F43" s="2"/>
      <c r="G43" s="5">
        <v>45981</v>
      </c>
      <c r="H43" s="5">
        <v>46037</v>
      </c>
      <c r="I43" s="2" t="s">
        <v>31</v>
      </c>
      <c r="J43" s="6">
        <f t="shared" si="1"/>
        <v>56</v>
      </c>
      <c r="K43" s="4" t="str">
        <f t="shared" ca="1" si="2"/>
        <v>-</v>
      </c>
      <c r="L43" s="7" t="str">
        <f>IF(I43="Completed","0",IF($H43="","",$H43-'[2]Read Me'!$B$4))</f>
        <v>0</v>
      </c>
      <c r="M43" s="4" t="str">
        <f>IF($I43="Complete","Green",IF($H43="","Amber",IF($H43&lt;'[2]Read Me'!$B$4,"Red",IF($H43-'[2]Read Me'!$B$4&lt;=21,"Amber","Green"))))</f>
        <v>Red</v>
      </c>
      <c r="N43" s="3"/>
      <c r="O43" t="str">
        <f>IF($I43&lt;&gt;"Complete",IF(COUNTIFS($A$4:$A42,$A43,$B$4:$B42,$B43,$I$4:$I42,"&lt;&gt;Complete")=0,$A43&amp;"|"&amp;$B43,""),"")</f>
        <v/>
      </c>
      <c r="P43" t="str">
        <f ca="1">IF($K43="Yes",COUNTIFS($K$4:$K43,"Yes"),"")</f>
        <v/>
      </c>
      <c r="Q43">
        <f t="shared" ca="1" si="3"/>
        <v>0</v>
      </c>
      <c r="R43" t="str">
        <f ca="1">IF($Q43=1,SUM($Q$4:$Q43),"")</f>
        <v/>
      </c>
    </row>
    <row r="44" spans="1:18" ht="14.25" customHeight="1" x14ac:dyDescent="0.3">
      <c r="A44" s="2" t="s">
        <v>193</v>
      </c>
      <c r="B44" s="2" t="s">
        <v>62</v>
      </c>
      <c r="C44" s="3" t="s">
        <v>194</v>
      </c>
      <c r="D44" s="3" t="s">
        <v>199</v>
      </c>
      <c r="E44" s="2"/>
      <c r="F44" s="2" t="s">
        <v>197</v>
      </c>
      <c r="G44" s="5">
        <v>46009</v>
      </c>
      <c r="H44" s="5">
        <v>46076</v>
      </c>
      <c r="I44" s="4" t="s">
        <v>31</v>
      </c>
      <c r="J44" s="6">
        <f t="shared" si="1"/>
        <v>67</v>
      </c>
      <c r="K44" s="4" t="str">
        <f t="shared" ca="1" si="2"/>
        <v>-</v>
      </c>
      <c r="L44" s="7" t="str">
        <f>IF(I44="Completed","0",IF($H44="","",$H44-'[2]Read Me'!$B$4))</f>
        <v>0</v>
      </c>
      <c r="M44" s="4" t="str">
        <f>IF($I44="Complete","Green",IF($H44="","Amber",IF($H44&lt;'[2]Read Me'!$B$4,"Red",IF($H44-'[2]Read Me'!$B$4&lt;=21,"Amber","Green"))))</f>
        <v>Red</v>
      </c>
      <c r="N44" s="3"/>
      <c r="O44" t="str">
        <f>IF($I44&lt;&gt;"Complete",IF(COUNTIFS($A$4:$A43,$A44,$B$4:$B43,$B44,$I$4:$I43,"&lt;&gt;Complete")=0,$A44&amp;"|"&amp;$B44,""),"")</f>
        <v/>
      </c>
      <c r="P44" t="str">
        <f ca="1">IF($K44="Yes",COUNTIFS($K$4:$K44,"Yes"),"")</f>
        <v/>
      </c>
      <c r="Q44">
        <f t="shared" ca="1" si="3"/>
        <v>0</v>
      </c>
      <c r="R44" t="str">
        <f ca="1">IF($Q44=1,SUM($Q$4:$Q44),"")</f>
        <v/>
      </c>
    </row>
    <row r="45" spans="1:18" ht="14.25" customHeight="1" x14ac:dyDescent="0.3">
      <c r="A45" s="2" t="s">
        <v>193</v>
      </c>
      <c r="B45" s="2" t="s">
        <v>62</v>
      </c>
      <c r="C45" s="3" t="s">
        <v>194</v>
      </c>
      <c r="D45" s="3" t="s">
        <v>200</v>
      </c>
      <c r="E45" s="2"/>
      <c r="F45" s="2"/>
      <c r="G45" s="5">
        <v>46023</v>
      </c>
      <c r="H45" s="5">
        <v>46079</v>
      </c>
      <c r="I45" s="4" t="s">
        <v>31</v>
      </c>
      <c r="J45" s="6">
        <f t="shared" si="1"/>
        <v>56</v>
      </c>
      <c r="K45" s="4" t="str">
        <f t="shared" ca="1" si="2"/>
        <v>-</v>
      </c>
      <c r="L45" s="7" t="str">
        <f>IF(I45="Completed","0",IF($H45="","",$H45-'[2]Read Me'!$B$4))</f>
        <v>0</v>
      </c>
      <c r="M45" s="4" t="str">
        <f>IF($I45="Complete","Green",IF($H45="","Amber",IF($H45&lt;'[2]Read Me'!$B$4,"Red",IF($H45-'[2]Read Me'!$B$4&lt;=21,"Amber","Green"))))</f>
        <v>Red</v>
      </c>
      <c r="N45" s="3"/>
      <c r="O45" t="str">
        <f>IF($I45&lt;&gt;"Complete",IF(COUNTIFS($A$4:$A44,$A45,$B$4:$B44,$B45,$I$4:$I44,"&lt;&gt;Complete")=0,$A45&amp;"|"&amp;$B45,""),"")</f>
        <v/>
      </c>
      <c r="P45" t="str">
        <f ca="1">IF($K45="Yes",COUNTIFS($K$4:$K45,"Yes"),"")</f>
        <v/>
      </c>
      <c r="Q45">
        <f t="shared" ca="1" si="3"/>
        <v>0</v>
      </c>
      <c r="R45" t="str">
        <f ca="1">IF($Q45=1,SUM($Q$4:$Q45),"")</f>
        <v/>
      </c>
    </row>
    <row r="46" spans="1:18" ht="22.5" customHeight="1" x14ac:dyDescent="0.3">
      <c r="A46" s="2" t="s">
        <v>193</v>
      </c>
      <c r="B46" s="2" t="s">
        <v>62</v>
      </c>
      <c r="C46" s="3" t="s">
        <v>194</v>
      </c>
      <c r="D46" s="3" t="s">
        <v>201</v>
      </c>
      <c r="E46" s="2"/>
      <c r="F46" s="2" t="s">
        <v>197</v>
      </c>
      <c r="G46" s="5">
        <v>46009</v>
      </c>
      <c r="H46" s="5">
        <v>46131</v>
      </c>
      <c r="I46" s="4" t="s">
        <v>31</v>
      </c>
      <c r="J46" s="6">
        <f t="shared" si="1"/>
        <v>122</v>
      </c>
      <c r="K46" s="4" t="str">
        <f t="shared" ca="1" si="2"/>
        <v>-</v>
      </c>
      <c r="L46" s="7" t="str">
        <f>IF(I46="Completed","0",IF($H46="","",$H46-'[2]Read Me'!$B$4))</f>
        <v>0</v>
      </c>
      <c r="M46" s="4" t="str">
        <f>IF($I46="Complete","Green",IF($H46="","Amber",IF($H46&lt;'[2]Read Me'!$B$4,"Red",IF($H46-'[2]Read Me'!$B$4&lt;=21,"Amber","Green"))))</f>
        <v>Red</v>
      </c>
      <c r="N46" s="3"/>
      <c r="O46" t="str">
        <f>IF($I46&lt;&gt;"Complete",IF(COUNTIFS($A$4:$A45,$A46,$B$4:$B45,$B46,$I$4:$I45,"&lt;&gt;Complete")=0,$A46&amp;"|"&amp;$B46,""),"")</f>
        <v/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 t="s">
        <v>193</v>
      </c>
      <c r="B47" s="2" t="s">
        <v>62</v>
      </c>
      <c r="C47" s="3" t="s">
        <v>194</v>
      </c>
      <c r="D47" s="3" t="s">
        <v>202</v>
      </c>
      <c r="E47" s="2"/>
      <c r="F47" s="2"/>
      <c r="G47" s="5">
        <v>46023</v>
      </c>
      <c r="H47" s="5">
        <v>46135</v>
      </c>
      <c r="I47" s="4" t="s">
        <v>31</v>
      </c>
      <c r="J47" s="6">
        <f t="shared" si="1"/>
        <v>112</v>
      </c>
      <c r="K47" s="4" t="str">
        <f t="shared" ca="1" si="2"/>
        <v>-</v>
      </c>
      <c r="L47" s="7" t="str">
        <f>IF(I47="Completed","0",IF($H47="","",$H47-'[2]Read Me'!$B$4))</f>
        <v>0</v>
      </c>
      <c r="M47" s="4" t="str">
        <f>IF($I47="Complete","Green",IF($H47="","Amber",IF($H47&lt;'[2]Read Me'!$B$4,"Red",IF($H47-'[2]Read Me'!$B$4&lt;=21,"Amber","Green"))))</f>
        <v>Red</v>
      </c>
      <c r="N47" s="3"/>
      <c r="O47" t="str">
        <f>IF($I47&lt;&gt;"Complete",IF(COUNTIFS($A$4:$A46,$A47,$B$4:$B46,$B47,$I$4:$I46,"&lt;&gt;Complete")=0,$A47&amp;"|"&amp;$B47,""),"")</f>
        <v/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 t="s">
        <v>203</v>
      </c>
      <c r="B48" s="2" t="s">
        <v>62</v>
      </c>
      <c r="C48" s="3"/>
      <c r="D48" s="3"/>
      <c r="E48" s="2"/>
      <c r="F48" s="2"/>
      <c r="G48" s="5">
        <v>46076</v>
      </c>
      <c r="H48" s="5">
        <v>46182</v>
      </c>
      <c r="I48" s="4"/>
      <c r="J48" s="6">
        <f t="shared" si="1"/>
        <v>106</v>
      </c>
      <c r="K48" s="4" t="str">
        <f t="shared" ca="1" si="2"/>
        <v/>
      </c>
      <c r="L48" s="7">
        <f>IF(I48="Completed","0",IF($H48="","",$H48-'[2]Read Me'!$B$4))</f>
        <v>-5</v>
      </c>
      <c r="M48" s="4" t="str">
        <f>IF($I48="Complete","Green",IF($H48="","Amber",IF($H48&lt;'[2]Read Me'!$B$4,"Red",IF($H48-'[2]Read Me'!$B$4&lt;=21,"Amber","Green"))))</f>
        <v>Red</v>
      </c>
      <c r="N48" s="3"/>
      <c r="O48" t="str">
        <f>IF($I48&lt;&gt;"Complete",IF(COUNTIFS($A$4:$A47,$A48,$B$4:$B47,$B48,$I$4:$I47,"&lt;&gt;Complete")=0,$A48&amp;"|"&amp;$B48,""),"")</f>
        <v>Villa 103&amp;108|Buildings</v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 t="s">
        <v>203</v>
      </c>
      <c r="B49" s="2" t="s">
        <v>62</v>
      </c>
      <c r="C49" s="3" t="s">
        <v>203</v>
      </c>
      <c r="D49" s="3" t="s">
        <v>18</v>
      </c>
      <c r="E49" s="2"/>
      <c r="F49" s="2"/>
      <c r="G49" s="5">
        <v>46013</v>
      </c>
      <c r="H49" s="5">
        <v>46020</v>
      </c>
      <c r="I49" s="4" t="s">
        <v>31</v>
      </c>
      <c r="J49" s="6">
        <f t="shared" si="1"/>
        <v>7</v>
      </c>
      <c r="K49" s="4" t="str">
        <f t="shared" ca="1" si="2"/>
        <v>-</v>
      </c>
      <c r="L49" s="7" t="str">
        <f>IF(I49="Completed","0",IF($H49="","",$H49-'[2]Read Me'!$B$4))</f>
        <v>0</v>
      </c>
      <c r="M49" s="4" t="str">
        <f>IF($I49="Complete","Green",IF($H49="","Amber",IF($H49&lt;'[2]Read Me'!$B$4,"Red",IF($H49-'[2]Read Me'!$B$4&lt;=21,"Amber","Green"))))</f>
        <v>Red</v>
      </c>
      <c r="N49" s="3"/>
      <c r="O49" t="str">
        <f>IF($I49&lt;&gt;"Complete",IF(COUNTIFS($A$4:$A48,$A49,$B$4:$B48,$B49,$I$4:$I48,"&lt;&gt;Complete")=0,$A49&amp;"|"&amp;$B49,""),"")</f>
        <v/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 t="s">
        <v>203</v>
      </c>
      <c r="B50" s="2" t="s">
        <v>62</v>
      </c>
      <c r="C50" s="3" t="s">
        <v>203</v>
      </c>
      <c r="D50" s="3" t="s">
        <v>32</v>
      </c>
      <c r="E50" s="2"/>
      <c r="F50" s="2"/>
      <c r="G50" s="5">
        <v>46020</v>
      </c>
      <c r="H50" s="5">
        <v>46064</v>
      </c>
      <c r="I50" s="4" t="s">
        <v>31</v>
      </c>
      <c r="J50" s="6">
        <f t="shared" si="1"/>
        <v>44</v>
      </c>
      <c r="K50" s="4" t="str">
        <f t="shared" ca="1" si="2"/>
        <v>-</v>
      </c>
      <c r="L50" s="7" t="str">
        <f>IF(I50="Completed","0",IF($H50="","",$H50-'[2]Read Me'!$B$4))</f>
        <v>0</v>
      </c>
      <c r="M50" s="4" t="str">
        <f>IF($I50="Complete","Green",IF($H50="","Amber",IF($H50&lt;'[2]Read Me'!$B$4,"Red",IF($H50-'[2]Read Me'!$B$4&lt;=21,"Amber","Green"))))</f>
        <v>Red</v>
      </c>
      <c r="N50" s="3"/>
      <c r="O50" t="str">
        <f>IF($I50&lt;&gt;"Complete",IF(COUNTIFS($A$4:$A49,$A50,$B$4:$B49,$B50,$I$4:$I49,"&lt;&gt;Complete")=0,$A50&amp;"|"&amp;$B50,""),"")</f>
        <v/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 t="s">
        <v>203</v>
      </c>
      <c r="B51" s="2" t="s">
        <v>62</v>
      </c>
      <c r="C51" s="3" t="s">
        <v>203</v>
      </c>
      <c r="D51" s="3" t="s">
        <v>15</v>
      </c>
      <c r="E51" s="2"/>
      <c r="F51" s="2"/>
      <c r="G51" s="5">
        <v>46034</v>
      </c>
      <c r="H51" s="5"/>
      <c r="I51" s="4" t="s">
        <v>17</v>
      </c>
      <c r="J51" s="6" t="str">
        <f t="shared" si="1"/>
        <v/>
      </c>
      <c r="K51" s="4" t="str">
        <f t="shared" ca="1" si="2"/>
        <v/>
      </c>
      <c r="L51" s="7" t="str">
        <f>IF(I51="Completed","0",IF($H51="","",$H51-'[2]Read Me'!$B$4))</f>
        <v/>
      </c>
      <c r="M51" s="4" t="str">
        <f>IF($I51="Complete","Green",IF($H51="","Amber",IF($H51&lt;'[2]Read Me'!$B$4,"Red",IF($H51-'[2]Read Me'!$B$4&lt;=21,"Amber","Green"))))</f>
        <v>Amber</v>
      </c>
      <c r="N51" s="3"/>
      <c r="O51" t="str">
        <f>IF($I51&lt;&gt;"Complete",IF(COUNTIFS($A$4:$A50,$A51,$B$4:$B50,$B51,$I$4:$I50,"&lt;&gt;Complete")=0,$A51&amp;"|"&amp;$B51,""),"")</f>
        <v/>
      </c>
      <c r="P51" t="str">
        <f ca="1">IF($K51="Yes",COUNTIFS($K$4:$K51,"Yes"),"")</f>
        <v/>
      </c>
      <c r="Q51">
        <f t="shared" ca="1" si="3"/>
        <v>0</v>
      </c>
      <c r="R51" t="str">
        <f ca="1">IF($Q51=1,SUM($Q$4:$Q51),"")</f>
        <v/>
      </c>
    </row>
    <row r="52" spans="1:18" ht="33.75" customHeight="1" x14ac:dyDescent="0.3">
      <c r="A52" s="2" t="s">
        <v>203</v>
      </c>
      <c r="B52" s="2" t="s">
        <v>62</v>
      </c>
      <c r="C52" s="3" t="s">
        <v>203</v>
      </c>
      <c r="D52" s="3" t="s">
        <v>35</v>
      </c>
      <c r="E52" s="2"/>
      <c r="F52" s="2" t="s">
        <v>197</v>
      </c>
      <c r="G52" s="5">
        <v>46041</v>
      </c>
      <c r="H52" s="5"/>
      <c r="I52" s="4" t="s">
        <v>17</v>
      </c>
      <c r="J52" s="6" t="str">
        <f t="shared" si="1"/>
        <v/>
      </c>
      <c r="K52" s="4" t="str">
        <f t="shared" ca="1" si="2"/>
        <v/>
      </c>
      <c r="L52" s="7" t="str">
        <f>IF(I52="Completed","0",IF($H52="","",$H52-'[2]Read Me'!$B$4))</f>
        <v/>
      </c>
      <c r="M52" s="4" t="str">
        <f>IF($I52="Complete","Green",IF($H52="","Amber",IF($H52&lt;'[2]Read Me'!$B$4,"Red",IF($H52-'[2]Read Me'!$B$4&lt;=21,"Amber","Green"))))</f>
        <v>Amber</v>
      </c>
      <c r="N52" s="3"/>
      <c r="O52" t="str">
        <f>IF($I52&lt;&gt;"Complete",IF(COUNTIFS($A$4:$A51,$A52,$B$4:$B51,$B52,$I$4:$I51,"&lt;&gt;Complete")=0,$A52&amp;"|"&amp;$B52,""),"")</f>
        <v/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 t="s">
        <v>203</v>
      </c>
      <c r="B53" s="2" t="s">
        <v>62</v>
      </c>
      <c r="C53" s="3" t="s">
        <v>203</v>
      </c>
      <c r="D53" s="3" t="s">
        <v>83</v>
      </c>
      <c r="E53" s="2"/>
      <c r="F53" s="2"/>
      <c r="G53" s="5">
        <v>46048</v>
      </c>
      <c r="H53" s="5">
        <v>46096</v>
      </c>
      <c r="I53" s="4" t="s">
        <v>31</v>
      </c>
      <c r="J53" s="6">
        <f t="shared" si="1"/>
        <v>48</v>
      </c>
      <c r="K53" s="4" t="str">
        <f t="shared" ca="1" si="2"/>
        <v>-</v>
      </c>
      <c r="L53" s="7" t="str">
        <f>IF(I53="Completed","0",IF($H53="","",$H53-'[2]Read Me'!$B$4))</f>
        <v>0</v>
      </c>
      <c r="M53" s="4" t="str">
        <f>IF($I53="Complete","Green",IF($H53="","Amber",IF($H53&lt;'[2]Read Me'!$B$4,"Red",IF($H53-'[2]Read Me'!$B$4&lt;=21,"Amber","Green"))))</f>
        <v>Red</v>
      </c>
      <c r="N53" s="3"/>
      <c r="O53" t="str">
        <f>IF($I53&lt;&gt;"Complete",IF(COUNTIFS($A$4:$A52,$A53,$B$4:$B52,$B53,$I$4:$I52,"&lt;&gt;Complete")=0,$A53&amp;"|"&amp;$B53,""),"")</f>
        <v/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 t="s">
        <v>203</v>
      </c>
      <c r="B54" s="2" t="s">
        <v>62</v>
      </c>
      <c r="C54" s="3" t="s">
        <v>203</v>
      </c>
      <c r="D54" s="3" t="s">
        <v>204</v>
      </c>
      <c r="E54" s="2"/>
      <c r="F54" s="2"/>
      <c r="G54" s="5"/>
      <c r="H54" s="5">
        <v>46155</v>
      </c>
      <c r="I54" s="4" t="s">
        <v>31</v>
      </c>
      <c r="J54" s="6" t="str">
        <f t="shared" si="1"/>
        <v/>
      </c>
      <c r="K54" s="4" t="str">
        <f t="shared" ca="1" si="2"/>
        <v>-</v>
      </c>
      <c r="L54" s="7" t="str">
        <f>IF(I54="Completed","0",IF($H54="","",$H54-'[2]Read Me'!$B$4))</f>
        <v>0</v>
      </c>
      <c r="M54" s="4" t="str">
        <f>IF($I54="Complete","Green",IF($H54="","Amber",IF($H54&lt;'[2]Read Me'!$B$4,"Red",IF($H54-'[2]Read Me'!$B$4&lt;=21,"Amber","Green"))))</f>
        <v>Red</v>
      </c>
      <c r="N54" s="3"/>
      <c r="O54" t="str">
        <f>IF($I54&lt;&gt;"Complete",IF(COUNTIFS($A$4:$A53,$A54,$B$4:$B53,$B54,$I$4:$I53,"&lt;&gt;Complete")=0,$A54&amp;"|"&amp;$B54,""),"")</f>
        <v/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 t="s">
        <v>203</v>
      </c>
      <c r="B55" s="2" t="s">
        <v>62</v>
      </c>
      <c r="C55" s="3" t="s">
        <v>203</v>
      </c>
      <c r="D55" s="3" t="s">
        <v>205</v>
      </c>
      <c r="E55" s="2" t="s">
        <v>165</v>
      </c>
      <c r="F55" s="2" t="s">
        <v>197</v>
      </c>
      <c r="G55" s="5">
        <v>46055</v>
      </c>
      <c r="H55" s="5">
        <v>46182</v>
      </c>
      <c r="I55" s="4" t="s">
        <v>31</v>
      </c>
      <c r="J55" s="6">
        <f t="shared" si="1"/>
        <v>127</v>
      </c>
      <c r="K55" s="4" t="str">
        <f t="shared" ca="1" si="2"/>
        <v>-</v>
      </c>
      <c r="L55" s="7" t="str">
        <f>IF(I55="Completed","0",IF($H55="","",$H55-'[2]Read Me'!$B$4))</f>
        <v>0</v>
      </c>
      <c r="M55" s="4" t="str">
        <f>IF($I55="Complete","Green",IF($H55="","Amber",IF($H55&lt;'[2]Read Me'!$B$4,"Red",IF($H55-'[2]Read Me'!$B$4&lt;=21,"Amber","Green"))))</f>
        <v>Red</v>
      </c>
      <c r="N55" s="3"/>
      <c r="O55" t="str">
        <f>IF($I55&lt;&gt;"Complete",IF(COUNTIFS($A$4:$A54,$A55,$B$4:$B54,$B55,$I$4:$I54,"&lt;&gt;Complete")=0,$A55&amp;"|"&amp;$B55,""),"")</f>
        <v/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 t="s">
        <v>203</v>
      </c>
      <c r="B56" s="2" t="s">
        <v>62</v>
      </c>
      <c r="C56" s="3" t="s">
        <v>203</v>
      </c>
      <c r="D56" s="3" t="s">
        <v>16</v>
      </c>
      <c r="E56" s="2"/>
      <c r="F56" s="2"/>
      <c r="G56" s="5">
        <v>46069</v>
      </c>
      <c r="H56" s="5">
        <v>46084</v>
      </c>
      <c r="I56" s="4" t="s">
        <v>31</v>
      </c>
      <c r="J56" s="6">
        <f t="shared" si="1"/>
        <v>15</v>
      </c>
      <c r="K56" s="4" t="str">
        <f t="shared" ca="1" si="2"/>
        <v>-</v>
      </c>
      <c r="L56" s="7" t="str">
        <f>IF(I56="Completed","0",IF($H56="","",$H56-'[2]Read Me'!$B$4))</f>
        <v>0</v>
      </c>
      <c r="M56" s="4" t="str">
        <f>IF($I56="Complete","Green",IF($H56="","Amber",IF($H56&lt;'[2]Read Me'!$B$4,"Red",IF($H56-'[2]Read Me'!$B$4&lt;=21,"Amber","Green"))))</f>
        <v>Red</v>
      </c>
      <c r="N56" s="3"/>
      <c r="O56" t="str">
        <f>IF($I56&lt;&gt;"Complete",IF(COUNTIFS($A$4:$A55,$A56,$B$4:$B55,$B56,$I$4:$I55,"&lt;&gt;Complete")=0,$A56&amp;"|"&amp;$B56,""),"")</f>
        <v/>
      </c>
      <c r="P56" t="str">
        <f ca="1">IF($K56="Yes",COUNTIFS($K$4:$K56,"Yes"),"")</f>
        <v/>
      </c>
      <c r="Q56">
        <f t="shared" ca="1" si="3"/>
        <v>0</v>
      </c>
      <c r="R56" t="str">
        <f ca="1">IF($Q56=1,SUM($Q$4:$Q56),"")</f>
        <v/>
      </c>
    </row>
    <row r="57" spans="1:18" ht="14.25" customHeight="1" x14ac:dyDescent="0.3">
      <c r="A57" s="2" t="s">
        <v>203</v>
      </c>
      <c r="B57" s="2" t="s">
        <v>62</v>
      </c>
      <c r="C57" s="3" t="s">
        <v>203</v>
      </c>
      <c r="D57" s="3" t="s">
        <v>37</v>
      </c>
      <c r="E57" s="2"/>
      <c r="F57" s="2" t="s">
        <v>197</v>
      </c>
      <c r="G57" s="5">
        <v>46076</v>
      </c>
      <c r="H57" s="5">
        <v>46086</v>
      </c>
      <c r="I57" s="4" t="s">
        <v>31</v>
      </c>
      <c r="J57" s="6">
        <f t="shared" si="1"/>
        <v>10</v>
      </c>
      <c r="K57" s="4" t="str">
        <f t="shared" ca="1" si="2"/>
        <v>-</v>
      </c>
      <c r="L57" s="7" t="str">
        <f>IF(I57="Completed","0",IF($H57="","",$H57-'[2]Read Me'!$B$4))</f>
        <v>0</v>
      </c>
      <c r="M57" s="4" t="str">
        <f>IF($I57="Complete","Green",IF($H57="","Amber",IF($H57&lt;'[2]Read Me'!$B$4,"Red",IF($H57-'[2]Read Me'!$B$4&lt;=21,"Amber","Green"))))</f>
        <v>Red</v>
      </c>
      <c r="N57" s="3"/>
      <c r="O57" t="str">
        <f>IF($I57&lt;&gt;"Complete",IF(COUNTIFS($A$4:$A56,$A57,$B$4:$B56,$B57,$I$4:$I56,"&lt;&gt;Complete")=0,$A57&amp;"|"&amp;$B57,""),"")</f>
        <v/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 t="s">
        <v>193</v>
      </c>
      <c r="B58" s="2" t="s">
        <v>49</v>
      </c>
      <c r="C58" s="3"/>
      <c r="D58" s="3"/>
      <c r="E58" s="2"/>
      <c r="F58" s="2"/>
      <c r="G58" s="5">
        <v>46215</v>
      </c>
      <c r="H58" s="5">
        <v>46330</v>
      </c>
      <c r="I58" s="4"/>
      <c r="J58" s="6">
        <f t="shared" si="1"/>
        <v>115</v>
      </c>
      <c r="K58" s="4" t="str">
        <f t="shared" ca="1" si="2"/>
        <v/>
      </c>
      <c r="L58" s="7">
        <f>IF(I58="Completed","0",IF($H58="","",$H58-'[2]Read Me'!$B$4))</f>
        <v>143</v>
      </c>
      <c r="M58" s="4" t="str">
        <f>IF($I58="Complete","Green",IF($H58="","Amber",IF($H58&lt;'[2]Read Me'!$B$4,"Red",IF($H58-'[2]Read Me'!$B$4&lt;=21,"Amber","Green"))))</f>
        <v>Green</v>
      </c>
      <c r="N58" s="3"/>
      <c r="O58" t="str">
        <f>IF($I58&lt;&gt;"Complete",IF(COUNTIFS($A$4:$A57,$A58,$B$4:$B57,$B58,$I$4:$I57,"&lt;&gt;Complete")=0,$A58&amp;"|"&amp;$B58,""),"")</f>
        <v>Amaia|Authorities</v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 t="s">
        <v>193</v>
      </c>
      <c r="B59" s="2" t="s">
        <v>140</v>
      </c>
      <c r="C59" s="3"/>
      <c r="D59" s="3"/>
      <c r="E59" s="2"/>
      <c r="F59" s="2"/>
      <c r="G59" s="5">
        <v>46110</v>
      </c>
      <c r="H59" s="5">
        <v>46092</v>
      </c>
      <c r="I59" s="4"/>
      <c r="J59" s="6">
        <f t="shared" si="1"/>
        <v>-18</v>
      </c>
      <c r="K59" s="4" t="str">
        <f t="shared" ca="1" si="2"/>
        <v/>
      </c>
      <c r="L59" s="7">
        <f>IF(I59="Completed","0",IF($H59="","",$H59-'[2]Read Me'!$B$4))</f>
        <v>-95</v>
      </c>
      <c r="M59" s="4" t="str">
        <f>IF($I59="Complete","Green",IF($H59="","Amber",IF($H59&lt;'[2]Read Me'!$B$4,"Red",IF($H59-'[2]Read Me'!$B$4&lt;=21,"Amber","Green"))))</f>
        <v>Red</v>
      </c>
      <c r="N59" s="3"/>
      <c r="O59" t="str">
        <f>IF($I59&lt;&gt;"Complete",IF(COUNTIFS($A$4:$A58,$A59,$B$4:$B58,$B59,$I$4:$I58,"&lt;&gt;Complete")=0,$A59&amp;"|"&amp;$B59,""),"")</f>
        <v>Amaia|Masterplan</v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 t="s">
        <v>193</v>
      </c>
      <c r="B60" s="2" t="s">
        <v>140</v>
      </c>
      <c r="C60" s="3" t="s">
        <v>206</v>
      </c>
      <c r="D60" s="3" t="s">
        <v>207</v>
      </c>
      <c r="E60" s="2"/>
      <c r="F60" s="2" t="s">
        <v>208</v>
      </c>
      <c r="G60" s="5">
        <v>46061</v>
      </c>
      <c r="H60" s="5">
        <v>46061</v>
      </c>
      <c r="I60" s="4" t="s">
        <v>31</v>
      </c>
      <c r="J60" s="6">
        <f t="shared" si="1"/>
        <v>0</v>
      </c>
      <c r="K60" s="4" t="str">
        <f t="shared" ca="1" si="2"/>
        <v>-</v>
      </c>
      <c r="L60" s="7" t="str">
        <f>IF(I60="Completed","0",IF($H60="","",$H60-'[2]Read Me'!$B$4))</f>
        <v>0</v>
      </c>
      <c r="M60" s="4" t="str">
        <f>IF($I60="Complete","Green",IF($H60="","Amber",IF($H60&lt;'[2]Read Me'!$B$4,"Red",IF($H60-'[2]Read Me'!$B$4&lt;=21,"Amber","Green"))))</f>
        <v>Red</v>
      </c>
      <c r="N60" s="3"/>
      <c r="O60" t="str">
        <f>IF($I60&lt;&gt;"Complete",IF(COUNTIFS($A$4:$A59,$A60,$B$4:$B59,$B60,$I$4:$I59,"&lt;&gt;Complete")=0,$A60&amp;"|"&amp;$B60,""),"")</f>
        <v/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 t="s">
        <v>193</v>
      </c>
      <c r="B61" s="2" t="s">
        <v>140</v>
      </c>
      <c r="C61" s="3" t="s">
        <v>206</v>
      </c>
      <c r="D61" s="3" t="s">
        <v>209</v>
      </c>
      <c r="E61" s="2"/>
      <c r="F61" s="2"/>
      <c r="G61" s="5">
        <v>46082</v>
      </c>
      <c r="H61" s="5"/>
      <c r="I61" s="4" t="s">
        <v>17</v>
      </c>
      <c r="J61" s="6" t="str">
        <f t="shared" si="1"/>
        <v/>
      </c>
      <c r="K61" s="4" t="str">
        <f t="shared" ca="1" si="2"/>
        <v/>
      </c>
      <c r="L61" s="7" t="str">
        <f>IF(I61="Completed","0",IF($H61="","",$H61-'[2]Read Me'!$B$4))</f>
        <v/>
      </c>
      <c r="M61" s="4" t="str">
        <f>IF($I61="Complete","Green",IF($H61="","Amber",IF($H61&lt;'[2]Read Me'!$B$4,"Red",IF($H61-'[2]Read Me'!$B$4&lt;=21,"Amber","Green"))))</f>
        <v>Amber</v>
      </c>
      <c r="N61" s="3"/>
      <c r="O61" t="str">
        <f>IF($I61&lt;&gt;"Complete",IF(COUNTIFS($A$4:$A60,$A61,$B$4:$B60,$B61,$I$4:$I60,"&lt;&gt;Complete")=0,$A61&amp;"|"&amp;$B61,""),"")</f>
        <v/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 t="s">
        <v>193</v>
      </c>
      <c r="B62" s="2" t="s">
        <v>140</v>
      </c>
      <c r="C62" s="3" t="s">
        <v>206</v>
      </c>
      <c r="D62" s="3" t="s">
        <v>210</v>
      </c>
      <c r="E62" s="2"/>
      <c r="F62" s="2"/>
      <c r="G62" s="5">
        <v>46089</v>
      </c>
      <c r="H62" s="5"/>
      <c r="I62" s="4" t="s">
        <v>17</v>
      </c>
      <c r="J62" s="6" t="str">
        <f t="shared" si="1"/>
        <v/>
      </c>
      <c r="K62" s="4" t="str">
        <f t="shared" ca="1" si="2"/>
        <v/>
      </c>
      <c r="L62" s="7" t="str">
        <f>IF(I62="Completed","0",IF($H62="","",$H62-'[2]Read Me'!$B$4))</f>
        <v/>
      </c>
      <c r="M62" s="4" t="str">
        <f>IF($I62="Complete","Green",IF($H62="","Amber",IF($H62&lt;'[2]Read Me'!$B$4,"Red",IF($H62-'[2]Read Me'!$B$4&lt;=21,"Amber","Green"))))</f>
        <v>Amber</v>
      </c>
      <c r="N62" s="3"/>
      <c r="O62" t="str">
        <f>IF($I62&lt;&gt;"Complete",IF(COUNTIFS($A$4:$A61,$A62,$B$4:$B61,$B62,$I$4:$I61,"&lt;&gt;Complete")=0,$A62&amp;"|"&amp;$B62,""),"")</f>
        <v/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 t="s">
        <v>193</v>
      </c>
      <c r="B63" s="2" t="s">
        <v>140</v>
      </c>
      <c r="C63" s="3" t="s">
        <v>206</v>
      </c>
      <c r="D63" s="3" t="s">
        <v>16</v>
      </c>
      <c r="E63" s="2"/>
      <c r="F63" s="2" t="s">
        <v>208</v>
      </c>
      <c r="G63" s="5">
        <v>46103</v>
      </c>
      <c r="H63" s="5">
        <v>46092</v>
      </c>
      <c r="I63" s="4" t="s">
        <v>31</v>
      </c>
      <c r="J63" s="6">
        <f t="shared" si="1"/>
        <v>-11</v>
      </c>
      <c r="K63" s="4" t="str">
        <f t="shared" ca="1" si="2"/>
        <v>-</v>
      </c>
      <c r="L63" s="7" t="str">
        <f>IF(I63="Completed","0",IF($H63="","",$H63-'[2]Read Me'!$B$4))</f>
        <v>0</v>
      </c>
      <c r="M63" s="4" t="str">
        <f>IF($I63="Complete","Green",IF($H63="","Amber",IF($H63&lt;'[2]Read Me'!$B$4,"Red",IF($H63-'[2]Read Me'!$B$4&lt;=21,"Amber","Green"))))</f>
        <v>Red</v>
      </c>
      <c r="N63" s="3"/>
      <c r="O63" t="str">
        <f>IF($I63&lt;&gt;"Complete",IF(COUNTIFS($A$4:$A62,$A63,$B$4:$B62,$B63,$I$4:$I62,"&lt;&gt;Complete")=0,$A63&amp;"|"&amp;$B63,""),"")</f>
        <v/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 t="s">
        <v>193</v>
      </c>
      <c r="B64" s="2" t="s">
        <v>140</v>
      </c>
      <c r="C64" s="3" t="s">
        <v>206</v>
      </c>
      <c r="D64" s="3" t="s">
        <v>210</v>
      </c>
      <c r="E64" s="2"/>
      <c r="F64" s="2"/>
      <c r="G64" s="5">
        <v>46110</v>
      </c>
      <c r="H64" s="5">
        <v>46092</v>
      </c>
      <c r="I64" s="4" t="s">
        <v>31</v>
      </c>
      <c r="J64" s="6">
        <f t="shared" si="1"/>
        <v>-18</v>
      </c>
      <c r="K64" s="4" t="str">
        <f t="shared" ca="1" si="2"/>
        <v>-</v>
      </c>
      <c r="L64" s="7" t="str">
        <f>IF(I64="Completed","0",IF($H64="","",$H64-'[2]Read Me'!$B$4))</f>
        <v>0</v>
      </c>
      <c r="M64" s="4" t="str">
        <f>IF($I64="Complete","Green",IF($H64="","Amber",IF($H64&lt;'[2]Read Me'!$B$4,"Red",IF($H64-'[2]Read Me'!$B$4&lt;=21,"Amber","Green"))))</f>
        <v>Red</v>
      </c>
      <c r="N64" s="3"/>
      <c r="O64" t="str">
        <f>IF($I64&lt;&gt;"Complete",IF(COUNTIFS($A$4:$A63,$A64,$B$4:$B63,$B64,$I$4:$I63,"&lt;&gt;Complete")=0,$A64&amp;"|"&amp;$B64,""),"")</f>
        <v/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/>
      <c r="B65" s="2"/>
      <c r="C65" s="3" t="s">
        <v>206</v>
      </c>
      <c r="D65" s="3" t="s">
        <v>211</v>
      </c>
      <c r="E65" s="2"/>
      <c r="F65" s="2"/>
      <c r="G65" s="5">
        <v>46222</v>
      </c>
      <c r="H65" s="5">
        <v>46204</v>
      </c>
      <c r="I65" s="4" t="s">
        <v>17</v>
      </c>
      <c r="J65" s="6">
        <f t="shared" si="1"/>
        <v>-18</v>
      </c>
      <c r="K65" s="4" t="str">
        <f t="shared" ca="1" si="2"/>
        <v>Yes</v>
      </c>
      <c r="L65" s="7">
        <f>IF(I65="Completed","0",IF($H65="","",$H65-'[2]Read Me'!$B$4))</f>
        <v>17</v>
      </c>
      <c r="M65" s="4" t="str">
        <f>IF($I65="Complete","Green",IF($H65="","Amber",IF($H65&lt;'[2]Read Me'!$B$4,"Red",IF($H65-'[2]Read Me'!$B$4&lt;=21,"Amber","Green"))))</f>
        <v>Amber</v>
      </c>
      <c r="N65" s="3"/>
      <c r="O65" t="str">
        <f>IF($I65&lt;&gt;"Complete",IF(COUNTIFS($A$4:$A64,$A65,$B$4:$B64,$B65,$I$4:$I64,"&lt;&gt;Complete")=0,$A65&amp;"|"&amp;$B65,""),"")</f>
        <v>|</v>
      </c>
      <c r="P65">
        <f ca="1">IF($K65="Yes",COUNTIFS($K$4:$K65,"Yes"),"")</f>
        <v>7</v>
      </c>
      <c r="Q65">
        <f t="shared" ca="1" si="3"/>
        <v>1</v>
      </c>
      <c r="R65">
        <f ca="1">IF($Q65=1,SUM($Q$4:$Q65),"")</f>
        <v>7</v>
      </c>
    </row>
    <row r="66" spans="1:18" ht="22.5" customHeight="1" x14ac:dyDescent="0.3">
      <c r="A66" s="2"/>
      <c r="B66" s="2"/>
      <c r="C66" s="3" t="s">
        <v>206</v>
      </c>
      <c r="D66" s="3" t="s">
        <v>212</v>
      </c>
      <c r="E66" s="2"/>
      <c r="F66" s="2"/>
      <c r="G66" s="5">
        <v>46215</v>
      </c>
      <c r="H66" s="5">
        <v>46197</v>
      </c>
      <c r="I66" s="4" t="s">
        <v>17</v>
      </c>
      <c r="J66" s="6">
        <f t="shared" si="1"/>
        <v>-18</v>
      </c>
      <c r="K66" s="4" t="str">
        <f t="shared" ca="1" si="2"/>
        <v>Yes</v>
      </c>
      <c r="L66" s="7">
        <f>IF(I66="Completed","0",IF($H66="","",$H66-'[2]Read Me'!$B$4))</f>
        <v>10</v>
      </c>
      <c r="M66" s="4" t="str">
        <f>IF($I66="Complete","Green",IF($H66="","Amber",IF($H66&lt;'[2]Read Me'!$B$4,"Red",IF($H66-'[2]Read Me'!$B$4&lt;=21,"Amber","Green"))))</f>
        <v>Amber</v>
      </c>
      <c r="N66" s="3"/>
      <c r="O66" t="str">
        <f>IF($I66&lt;&gt;"Complete",IF(COUNTIFS($A$4:$A65,$A66,$B$4:$B65,$B66,$I$4:$I65,"&lt;&gt;Complete")=0,$A66&amp;"|"&amp;$B66,""),"")</f>
        <v>|</v>
      </c>
      <c r="P66">
        <f ca="1">IF($K66="Yes",COUNTIFS($K$4:$K66,"Yes"),"")</f>
        <v>8</v>
      </c>
      <c r="Q66">
        <f t="shared" ca="1" si="3"/>
        <v>1</v>
      </c>
      <c r="R66">
        <f ca="1">IF($Q66=1,SUM($Q$4:$Q66),"")</f>
        <v>8</v>
      </c>
    </row>
    <row r="67" spans="1:18" ht="22.5" customHeight="1" x14ac:dyDescent="0.3">
      <c r="A67" s="2"/>
      <c r="B67" s="2"/>
      <c r="C67" s="3" t="s">
        <v>206</v>
      </c>
      <c r="D67" s="3" t="s">
        <v>210</v>
      </c>
      <c r="E67" s="2"/>
      <c r="F67" s="2"/>
      <c r="G67" s="5">
        <v>46222</v>
      </c>
      <c r="H67" s="5">
        <v>46204</v>
      </c>
      <c r="I67" s="4" t="s">
        <v>17</v>
      </c>
      <c r="J67" s="6">
        <f t="shared" si="1"/>
        <v>-18</v>
      </c>
      <c r="K67" s="4" t="str">
        <f t="shared" ca="1" si="2"/>
        <v>Yes</v>
      </c>
      <c r="L67" s="7">
        <f>IF(I67="Completed","0",IF($H67="","",$H67-'[2]Read Me'!$B$4))</f>
        <v>17</v>
      </c>
      <c r="M67" s="4" t="str">
        <f>IF($I67="Complete","Green",IF($H67="","Amber",IF($H67&lt;'[2]Read Me'!$B$4,"Red",IF($H67-'[2]Read Me'!$B$4&lt;=21,"Amber","Green"))))</f>
        <v>Amber</v>
      </c>
      <c r="N67" s="3"/>
      <c r="O67" t="str">
        <f>IF($I67&lt;&gt;"Complete",IF(COUNTIFS($A$4:$A66,$A67,$B$4:$B66,$B67,$I$4:$I66,"&lt;&gt;Complete")=0,$A67&amp;"|"&amp;$B67,""),"")</f>
        <v>|</v>
      </c>
      <c r="P67">
        <f ca="1">IF($K67="Yes",COUNTIFS($K$4:$K67,"Yes"),"")</f>
        <v>9</v>
      </c>
      <c r="Q67">
        <f t="shared" ca="1" si="3"/>
        <v>1</v>
      </c>
      <c r="R67">
        <f ca="1">IF($Q67=1,SUM($Q$4:$Q67),"")</f>
        <v>9</v>
      </c>
    </row>
    <row r="68" spans="1:18" ht="22.5" customHeight="1" x14ac:dyDescent="0.3">
      <c r="A68" s="2" t="s">
        <v>193</v>
      </c>
      <c r="B68" s="2" t="s">
        <v>171</v>
      </c>
      <c r="C68" s="3"/>
      <c r="D68" s="3"/>
      <c r="E68" s="2"/>
      <c r="F68" s="2"/>
      <c r="G68" s="5">
        <v>45852</v>
      </c>
      <c r="H68" s="5">
        <v>45852</v>
      </c>
      <c r="I68" s="4"/>
      <c r="J68" s="6">
        <f t="shared" ref="J68:J131" si="4">IF(OR($G68="",$H68=""),"",$H68-$G68)</f>
        <v>0</v>
      </c>
      <c r="K68" s="4" t="str">
        <f t="shared" ref="K68:K131" ca="1" si="5">IF(C68="","",IF(H68="","",IF($I68="completed","-",IF($H68&gt;TODAY(),"No","Yes"))))</f>
        <v/>
      </c>
      <c r="L68" s="7">
        <f>IF(I68="Completed","0",IF($H68="","",$H68-'[2]Read Me'!$B$4))</f>
        <v>-335</v>
      </c>
      <c r="M68" s="4" t="str">
        <f>IF($I68="Complete","Green",IF($H68="","Amber",IF($H68&lt;'[2]Read Me'!$B$4,"Red",IF($H68-'[2]Read Me'!$B$4&lt;=21,"Amber","Green"))))</f>
        <v>Red</v>
      </c>
      <c r="N68" s="3"/>
      <c r="O68" t="str">
        <f>IF($I68&lt;&gt;"Complete",IF(COUNTIFS($A$4:$A67,$A68,$B$4:$B67,$B68,$I$4:$I67,"&lt;&gt;Complete")=0,$A68&amp;"|"&amp;$B68,""),"")</f>
        <v>Amaia|Infrastructure</v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 t="s">
        <v>193</v>
      </c>
      <c r="B69" s="2" t="s">
        <v>171</v>
      </c>
      <c r="C69" s="3" t="s">
        <v>213</v>
      </c>
      <c r="D69" s="3" t="s">
        <v>214</v>
      </c>
      <c r="E69" s="2"/>
      <c r="F69" s="2"/>
      <c r="G69" s="5">
        <v>45682</v>
      </c>
      <c r="H69" s="5">
        <v>45682</v>
      </c>
      <c r="I69" s="4" t="s">
        <v>17</v>
      </c>
      <c r="J69" s="6">
        <f t="shared" si="4"/>
        <v>0</v>
      </c>
      <c r="K69" s="4" t="str">
        <f t="shared" ca="1" si="5"/>
        <v>Yes</v>
      </c>
      <c r="L69" s="7">
        <f>IF(I69="Completed","0",IF($H69="","",$H69-'[2]Read Me'!$B$4))</f>
        <v>-505</v>
      </c>
      <c r="M69" s="4" t="str">
        <f>IF($I69="Complete","Green",IF($H69="","Amber",IF($H69&lt;'[2]Read Me'!$B$4,"Red",IF($H69-'[2]Read Me'!$B$4&lt;=21,"Amber","Green"))))</f>
        <v>Red</v>
      </c>
      <c r="N69" s="3"/>
      <c r="O69" t="str">
        <f>IF($I69&lt;&gt;"Complete",IF(COUNTIFS($A$4:$A68,$A69,$B$4:$B68,$B69,$I$4:$I68,"&lt;&gt;Complete")=0,$A69&amp;"|"&amp;$B69,""),"")</f>
        <v/>
      </c>
      <c r="P69">
        <f ca="1">IF($K69="Yes",COUNTIFS($K$4:$K69,"Yes"),"")</f>
        <v>10</v>
      </c>
      <c r="Q69">
        <f t="shared" ca="1" si="6"/>
        <v>1</v>
      </c>
      <c r="R69">
        <f ca="1">IF($Q69=1,SUM($Q$4:$Q69),"")</f>
        <v>10</v>
      </c>
    </row>
    <row r="70" spans="1:18" ht="22.5" customHeight="1" x14ac:dyDescent="0.3">
      <c r="A70" s="2" t="s">
        <v>193</v>
      </c>
      <c r="B70" s="2" t="s">
        <v>171</v>
      </c>
      <c r="C70" s="3" t="s">
        <v>213</v>
      </c>
      <c r="D70" s="3" t="s">
        <v>175</v>
      </c>
      <c r="E70" s="2"/>
      <c r="F70" s="2"/>
      <c r="G70" s="5">
        <v>45731</v>
      </c>
      <c r="H70" s="5">
        <v>45731</v>
      </c>
      <c r="I70" s="4" t="s">
        <v>31</v>
      </c>
      <c r="J70" s="6">
        <f t="shared" si="4"/>
        <v>0</v>
      </c>
      <c r="K70" s="4" t="str">
        <f t="shared" ca="1" si="5"/>
        <v>-</v>
      </c>
      <c r="L70" s="7" t="str">
        <f>IF(I70="Completed","0",IF($H70="","",$H70-'[2]Read Me'!$B$4))</f>
        <v>0</v>
      </c>
      <c r="M70" s="4" t="str">
        <f>IF($I70="Complete","Green",IF($H70="","Amber",IF($H70&lt;'[2]Read Me'!$B$4,"Red",IF($H70-'[2]Read Me'!$B$4&lt;=21,"Amber","Green"))))</f>
        <v>Red</v>
      </c>
      <c r="N70" s="3"/>
      <c r="O70" t="str">
        <f>IF($I70&lt;&gt;"Complete",IF(COUNTIFS($A$4:$A69,$A70,$B$4:$B69,$B70,$I$4:$I69,"&lt;&gt;Complete")=0,$A70&amp;"|"&amp;$B70,""),"")</f>
        <v/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 t="s">
        <v>193</v>
      </c>
      <c r="B71" s="2" t="s">
        <v>171</v>
      </c>
      <c r="C71" s="3" t="s">
        <v>213</v>
      </c>
      <c r="D71" s="3" t="s">
        <v>58</v>
      </c>
      <c r="E71" s="2"/>
      <c r="F71" s="2"/>
      <c r="G71" s="5">
        <v>45763</v>
      </c>
      <c r="H71" s="5">
        <v>45763</v>
      </c>
      <c r="I71" s="4" t="s">
        <v>31</v>
      </c>
      <c r="J71" s="6">
        <f t="shared" si="4"/>
        <v>0</v>
      </c>
      <c r="K71" s="4" t="str">
        <f t="shared" ca="1" si="5"/>
        <v>-</v>
      </c>
      <c r="L71" s="7" t="str">
        <f>IF(I71="Completed","0",IF($H71="","",$H71-'[2]Read Me'!$B$4))</f>
        <v>0</v>
      </c>
      <c r="M71" s="4" t="str">
        <f>IF($I71="Complete","Green",IF($H71="","Amber",IF($H71&lt;'[2]Read Me'!$B$4,"Red",IF($H71-'[2]Read Me'!$B$4&lt;=21,"Amber","Green"))))</f>
        <v>Red</v>
      </c>
      <c r="N71" s="3"/>
      <c r="O71" t="str">
        <f>IF($I71&lt;&gt;"Complete",IF(COUNTIFS($A$4:$A70,$A71,$B$4:$B70,$B71,$I$4:$I70,"&lt;&gt;Complete")=0,$A71&amp;"|"&amp;$B71,""),"")</f>
        <v/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 t="s">
        <v>193</v>
      </c>
      <c r="B72" s="2" t="s">
        <v>171</v>
      </c>
      <c r="C72" s="3" t="s">
        <v>213</v>
      </c>
      <c r="D72" s="3" t="s">
        <v>177</v>
      </c>
      <c r="E72" s="2"/>
      <c r="F72" s="2"/>
      <c r="G72" s="5">
        <v>45790</v>
      </c>
      <c r="H72" s="5">
        <v>45790</v>
      </c>
      <c r="I72" s="4" t="s">
        <v>31</v>
      </c>
      <c r="J72" s="6">
        <f t="shared" si="4"/>
        <v>0</v>
      </c>
      <c r="K72" s="4" t="str">
        <f t="shared" ca="1" si="5"/>
        <v>-</v>
      </c>
      <c r="L72" s="7" t="str">
        <f>IF(I72="Completed","0",IF($H72="","",$H72-'[2]Read Me'!$B$4))</f>
        <v>0</v>
      </c>
      <c r="M72" s="4" t="str">
        <f>IF($I72="Complete","Green",IF($H72="","Amber",IF($H72&lt;'[2]Read Me'!$B$4,"Red",IF($H72-'[2]Read Me'!$B$4&lt;=21,"Amber","Green"))))</f>
        <v>Red</v>
      </c>
      <c r="N72" s="3"/>
      <c r="O72" t="str">
        <f>IF($I72&lt;&gt;"Complete",IF(COUNTIFS($A$4:$A71,$A72,$B$4:$B71,$B72,$I$4:$I71,"&lt;&gt;Complete")=0,$A72&amp;"|"&amp;$B72,""),"")</f>
        <v/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 t="s">
        <v>193</v>
      </c>
      <c r="B73" s="2" t="s">
        <v>171</v>
      </c>
      <c r="C73" s="3" t="s">
        <v>213</v>
      </c>
      <c r="D73" s="3" t="s">
        <v>178</v>
      </c>
      <c r="E73" s="2"/>
      <c r="F73" s="2"/>
      <c r="G73" s="5">
        <v>45852</v>
      </c>
      <c r="H73" s="5">
        <v>45852</v>
      </c>
      <c r="I73" s="4" t="s">
        <v>31</v>
      </c>
      <c r="J73" s="6">
        <f t="shared" si="4"/>
        <v>0</v>
      </c>
      <c r="K73" s="4" t="str">
        <f t="shared" ca="1" si="5"/>
        <v>-</v>
      </c>
      <c r="L73" s="7" t="str">
        <f>IF(I73="Completed","0",IF($H73="","",$H73-'[2]Read Me'!$B$4))</f>
        <v>0</v>
      </c>
      <c r="M73" s="4" t="str">
        <f>IF($I73="Complete","Green",IF($H73="","Amber",IF($H73&lt;'[2]Read Me'!$B$4,"Red",IF($H73-'[2]Read Me'!$B$4&lt;=21,"Amber","Green"))))</f>
        <v>Red</v>
      </c>
      <c r="N73" s="3"/>
      <c r="O73" t="str">
        <f>IF($I73&lt;&gt;"Complete",IF(COUNTIFS($A$4:$A72,$A73,$B$4:$B72,$B73,$I$4:$I72,"&lt;&gt;Complete")=0,$A73&amp;"|"&amp;$B73,""),"")</f>
        <v/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 t="s">
        <v>193</v>
      </c>
      <c r="B74" s="2" t="s">
        <v>21</v>
      </c>
      <c r="C74" s="3"/>
      <c r="D74" s="3"/>
      <c r="E74" s="2"/>
      <c r="F74" s="2"/>
      <c r="G74" s="5">
        <v>46194</v>
      </c>
      <c r="H74" s="5">
        <v>46285</v>
      </c>
      <c r="I74" s="4"/>
      <c r="J74" s="6">
        <f t="shared" si="4"/>
        <v>91</v>
      </c>
      <c r="K74" s="4" t="str">
        <f t="shared" ca="1" si="5"/>
        <v/>
      </c>
      <c r="L74" s="7">
        <f>IF(I74="Completed","0",IF($H74="","",$H74-'[2]Read Me'!$B$4))</f>
        <v>98</v>
      </c>
      <c r="M74" s="4" t="str">
        <f>IF($I74="Complete","Green",IF($H74="","Amber",IF($H74&lt;'[2]Read Me'!$B$4,"Red",IF($H74-'[2]Read Me'!$B$4&lt;=21,"Amber","Green"))))</f>
        <v>Green</v>
      </c>
      <c r="N74" s="3"/>
      <c r="O74" t="str">
        <f>IF($I74&lt;&gt;"Complete",IF(COUNTIFS($A$4:$A73,$A74,$B$4:$B73,$B74,$I$4:$I73,"&lt;&gt;Complete")=0,$A74&amp;"|"&amp;$B74,""),"")</f>
        <v>Amaia|Landscape</v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 t="s">
        <v>193</v>
      </c>
      <c r="B75" s="2" t="s">
        <v>21</v>
      </c>
      <c r="C75" s="3" t="s">
        <v>21</v>
      </c>
      <c r="D75" s="3" t="s">
        <v>78</v>
      </c>
      <c r="E75" s="2" t="s">
        <v>215</v>
      </c>
      <c r="F75" s="2" t="s">
        <v>208</v>
      </c>
      <c r="G75" s="5">
        <v>46075</v>
      </c>
      <c r="H75" s="5">
        <v>46135</v>
      </c>
      <c r="I75" s="4" t="s">
        <v>31</v>
      </c>
      <c r="J75" s="6">
        <f t="shared" si="4"/>
        <v>60</v>
      </c>
      <c r="K75" s="4" t="str">
        <f t="shared" ca="1" si="5"/>
        <v>-</v>
      </c>
      <c r="L75" s="7" t="str">
        <f>IF(I75="Completed","0",IF($H75="","",$H75-'[2]Read Me'!$B$4))</f>
        <v>0</v>
      </c>
      <c r="M75" s="4" t="str">
        <f>IF($I75="Complete","Green",IF($H75="","Amber",IF($H75&lt;'[2]Read Me'!$B$4,"Red",IF($H75-'[2]Read Me'!$B$4&lt;=21,"Amber","Green"))))</f>
        <v>Red</v>
      </c>
      <c r="N75" s="3"/>
      <c r="O75" t="str">
        <f>IF($I75&lt;&gt;"Complete",IF(COUNTIFS($A$4:$A74,$A75,$B$4:$B74,$B75,$I$4:$I74,"&lt;&gt;Complete")=0,$A75&amp;"|"&amp;$B75,""),"")</f>
        <v/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 t="s">
        <v>193</v>
      </c>
      <c r="B76" s="2" t="s">
        <v>21</v>
      </c>
      <c r="C76" s="3" t="s">
        <v>21</v>
      </c>
      <c r="D76" s="3" t="s">
        <v>80</v>
      </c>
      <c r="E76" s="2" t="s">
        <v>215</v>
      </c>
      <c r="F76" s="2"/>
      <c r="G76" s="5">
        <v>46082</v>
      </c>
      <c r="H76" s="5">
        <v>46159</v>
      </c>
      <c r="I76" s="4" t="s">
        <v>31</v>
      </c>
      <c r="J76" s="6">
        <f t="shared" si="4"/>
        <v>77</v>
      </c>
      <c r="K76" s="4" t="str">
        <f t="shared" ca="1" si="5"/>
        <v>-</v>
      </c>
      <c r="L76" s="7" t="str">
        <f>IF(I76="Completed","0",IF($H76="","",$H76-'[2]Read Me'!$B$4))</f>
        <v>0</v>
      </c>
      <c r="M76" s="4" t="str">
        <f>IF($I76="Complete","Green",IF($H76="","Amber",IF($H76&lt;'[2]Read Me'!$B$4,"Red",IF($H76-'[2]Read Me'!$B$4&lt;=21,"Amber","Green"))))</f>
        <v>Red</v>
      </c>
      <c r="N76" s="3"/>
      <c r="O76" t="str">
        <f>IF($I76&lt;&gt;"Complete",IF(COUNTIFS($A$4:$A75,$A76,$B$4:$B75,$B76,$I$4:$I75,"&lt;&gt;Complete")=0,$A76&amp;"|"&amp;$B76,""),"")</f>
        <v/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 t="s">
        <v>193</v>
      </c>
      <c r="B77" s="2" t="s">
        <v>21</v>
      </c>
      <c r="C77" s="3" t="s">
        <v>21</v>
      </c>
      <c r="D77" s="3" t="s">
        <v>14</v>
      </c>
      <c r="E77" s="2" t="s">
        <v>215</v>
      </c>
      <c r="F77" s="2" t="s">
        <v>208</v>
      </c>
      <c r="G77" s="5">
        <v>46124</v>
      </c>
      <c r="H77" s="5">
        <v>46215</v>
      </c>
      <c r="I77" s="4" t="s">
        <v>46</v>
      </c>
      <c r="J77" s="6">
        <f t="shared" si="4"/>
        <v>91</v>
      </c>
      <c r="K77" s="4" t="str">
        <f t="shared" ca="1" si="5"/>
        <v>No</v>
      </c>
      <c r="L77" s="7">
        <f>IF(I77="Completed","0",IF($H77="","",$H77-'[2]Read Me'!$B$4))</f>
        <v>28</v>
      </c>
      <c r="M77" s="4" t="str">
        <f>IF($I77="Complete","Green",IF($H77="","Amber",IF($H77&lt;'[2]Read Me'!$B$4,"Red",IF($H77-'[2]Read Me'!$B$4&lt;=21,"Amber","Green"))))</f>
        <v>Green</v>
      </c>
      <c r="N77" s="3"/>
      <c r="O77" t="str">
        <f>IF($I77&lt;&gt;"Complete",IF(COUNTIFS($A$4:$A76,$A77,$B$4:$B76,$B77,$I$4:$I76,"&lt;&gt;Complete")=0,$A77&amp;"|"&amp;$B77,""),"")</f>
        <v/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 t="s">
        <v>193</v>
      </c>
      <c r="B78" s="2" t="s">
        <v>21</v>
      </c>
      <c r="C78" s="3" t="s">
        <v>21</v>
      </c>
      <c r="D78" s="3" t="s">
        <v>34</v>
      </c>
      <c r="E78" s="2" t="s">
        <v>215</v>
      </c>
      <c r="F78" s="2"/>
      <c r="G78" s="5">
        <v>46131</v>
      </c>
      <c r="H78" s="5">
        <v>46222</v>
      </c>
      <c r="I78" s="4" t="s">
        <v>17</v>
      </c>
      <c r="J78" s="6">
        <f t="shared" si="4"/>
        <v>91</v>
      </c>
      <c r="K78" s="4" t="str">
        <f t="shared" ca="1" si="5"/>
        <v>No</v>
      </c>
      <c r="L78" s="7">
        <f>IF(I78="Completed","0",IF($H78="","",$H78-'[2]Read Me'!$B$4))</f>
        <v>35</v>
      </c>
      <c r="M78" s="4" t="str">
        <f>IF($I78="Complete","Green",IF($H78="","Amber",IF($H78&lt;'[2]Read Me'!$B$4,"Red",IF($H78-'[2]Read Me'!$B$4&lt;=21,"Amber","Green"))))</f>
        <v>Green</v>
      </c>
      <c r="N78" s="3"/>
      <c r="O78" t="str">
        <f>IF($I78&lt;&gt;"Complete",IF(COUNTIFS($A$4:$A77,$A78,$B$4:$B77,$B78,$I$4:$I77,"&lt;&gt;Complete")=0,$A78&amp;"|"&amp;$B78,""),"")</f>
        <v/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 t="s">
        <v>193</v>
      </c>
      <c r="B79" s="2" t="s">
        <v>21</v>
      </c>
      <c r="C79" s="3" t="s">
        <v>21</v>
      </c>
      <c r="D79" s="3" t="s">
        <v>15</v>
      </c>
      <c r="E79" s="2" t="s">
        <v>215</v>
      </c>
      <c r="F79" s="2" t="s">
        <v>208</v>
      </c>
      <c r="G79" s="5">
        <v>46159</v>
      </c>
      <c r="H79" s="5">
        <v>46250</v>
      </c>
      <c r="I79" s="4" t="s">
        <v>17</v>
      </c>
      <c r="J79" s="6">
        <f t="shared" si="4"/>
        <v>91</v>
      </c>
      <c r="K79" s="4" t="str">
        <f t="shared" ca="1" si="5"/>
        <v>No</v>
      </c>
      <c r="L79" s="7">
        <f>IF(I79="Completed","0",IF($H79="","",$H79-'[2]Read Me'!$B$4))</f>
        <v>63</v>
      </c>
      <c r="M79" s="4" t="str">
        <f>IF($I79="Complete","Green",IF($H79="","Amber",IF($H79&lt;'[2]Read Me'!$B$4,"Red",IF($H79-'[2]Read Me'!$B$4&lt;=21,"Amber","Green"))))</f>
        <v>Green</v>
      </c>
      <c r="N79" s="3"/>
      <c r="O79" t="str">
        <f>IF($I79&lt;&gt;"Complete",IF(COUNTIFS($A$4:$A78,$A79,$B$4:$B78,$B79,$I$4:$I78,"&lt;&gt;Complete")=0,$A79&amp;"|"&amp;$B79,""),"")</f>
        <v/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 t="s">
        <v>193</v>
      </c>
      <c r="B80" s="2" t="s">
        <v>21</v>
      </c>
      <c r="C80" s="3" t="s">
        <v>21</v>
      </c>
      <c r="D80" s="3" t="s">
        <v>35</v>
      </c>
      <c r="E80" s="2" t="s">
        <v>215</v>
      </c>
      <c r="F80" s="2"/>
      <c r="G80" s="5">
        <v>46166</v>
      </c>
      <c r="H80" s="5">
        <v>46257</v>
      </c>
      <c r="I80" s="4" t="s">
        <v>17</v>
      </c>
      <c r="J80" s="6">
        <f t="shared" si="4"/>
        <v>91</v>
      </c>
      <c r="K80" s="4" t="str">
        <f t="shared" ca="1" si="5"/>
        <v>No</v>
      </c>
      <c r="L80" s="7">
        <f>IF(I80="Completed","0",IF($H80="","",$H80-'[2]Read Me'!$B$4))</f>
        <v>70</v>
      </c>
      <c r="M80" s="4" t="str">
        <f>IF($I80="Complete","Green",IF($H80="","Amber",IF($H80&lt;'[2]Read Me'!$B$4,"Red",IF($H80-'[2]Read Me'!$B$4&lt;=21,"Amber","Green"))))</f>
        <v>Green</v>
      </c>
      <c r="N80" s="3"/>
      <c r="O80" t="str">
        <f>IF($I80&lt;&gt;"Complete",IF(COUNTIFS($A$4:$A79,$A80,$B$4:$B79,$B80,$I$4:$I79,"&lt;&gt;Complete")=0,$A80&amp;"|"&amp;$B80,""),"")</f>
        <v/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 t="s">
        <v>193</v>
      </c>
      <c r="B81" s="2" t="s">
        <v>21</v>
      </c>
      <c r="C81" s="3" t="s">
        <v>21</v>
      </c>
      <c r="D81" s="3" t="s">
        <v>16</v>
      </c>
      <c r="E81" s="2" t="s">
        <v>215</v>
      </c>
      <c r="F81" s="2" t="s">
        <v>208</v>
      </c>
      <c r="G81" s="5">
        <v>46187</v>
      </c>
      <c r="H81" s="5">
        <v>46278</v>
      </c>
      <c r="I81" s="4" t="s">
        <v>17</v>
      </c>
      <c r="J81" s="6">
        <f t="shared" si="4"/>
        <v>91</v>
      </c>
      <c r="K81" s="4" t="str">
        <f t="shared" ca="1" si="5"/>
        <v>No</v>
      </c>
      <c r="L81" s="7">
        <f>IF(I81="Completed","0",IF($H81="","",$H81-'[2]Read Me'!$B$4))</f>
        <v>91</v>
      </c>
      <c r="M81" s="4" t="str">
        <f>IF($I81="Complete","Green",IF($H81="","Amber",IF($H81&lt;'[2]Read Me'!$B$4,"Red",IF($H81-'[2]Read Me'!$B$4&lt;=21,"Amber","Green"))))</f>
        <v>Green</v>
      </c>
      <c r="N81" s="3"/>
      <c r="O81" t="str">
        <f>IF($I81&lt;&gt;"Complete",IF(COUNTIFS($A$4:$A80,$A81,$B$4:$B80,$B81,$I$4:$I80,"&lt;&gt;Complete")=0,$A81&amp;"|"&amp;$B81,""),"")</f>
        <v/>
      </c>
      <c r="P81" t="str">
        <f ca="1">IF($K81="Yes",COUNTIFS($K$4:$K81,"Yes"),"")</f>
        <v/>
      </c>
      <c r="Q81">
        <f t="shared" ca="1" si="6"/>
        <v>0</v>
      </c>
      <c r="R81" t="str">
        <f ca="1">IF($Q81=1,SUM($Q$4:$Q81),"")</f>
        <v/>
      </c>
    </row>
    <row r="82" spans="1:18" ht="33.75" customHeight="1" x14ac:dyDescent="0.3">
      <c r="A82" s="2" t="s">
        <v>193</v>
      </c>
      <c r="B82" s="2" t="s">
        <v>21</v>
      </c>
      <c r="C82" s="3" t="s">
        <v>21</v>
      </c>
      <c r="D82" s="3" t="s">
        <v>37</v>
      </c>
      <c r="E82" s="2" t="s">
        <v>215</v>
      </c>
      <c r="F82" s="2"/>
      <c r="G82" s="5">
        <v>46194</v>
      </c>
      <c r="H82" s="5">
        <v>46285</v>
      </c>
      <c r="I82" s="4" t="s">
        <v>17</v>
      </c>
      <c r="J82" s="6">
        <f t="shared" si="4"/>
        <v>91</v>
      </c>
      <c r="K82" s="4" t="str">
        <f t="shared" ca="1" si="5"/>
        <v>No</v>
      </c>
      <c r="L82" s="7">
        <f>IF(I82="Completed","0",IF($H82="","",$H82-'[2]Read Me'!$B$4))</f>
        <v>98</v>
      </c>
      <c r="M82" s="4" t="str">
        <f>IF($I82="Complete","Green",IF($H82="","Amber",IF($H82&lt;'[2]Read Me'!$B$4,"Red",IF($H82-'[2]Read Me'!$B$4&lt;=21,"Amber","Green"))))</f>
        <v>Green</v>
      </c>
      <c r="N82" s="3"/>
      <c r="O82" t="str">
        <f>IF($I82&lt;&gt;"Complete",IF(COUNTIFS($A$4:$A81,$A82,$B$4:$B81,$B82,$I$4:$I81,"&lt;&gt;Complete")=0,$A82&amp;"|"&amp;$B82,""),"")</f>
        <v/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/>
      <c r="B83" s="2"/>
      <c r="C83" s="3" t="s">
        <v>21</v>
      </c>
      <c r="D83" s="3" t="s">
        <v>211</v>
      </c>
      <c r="E83" s="2"/>
      <c r="F83" s="2"/>
      <c r="G83" s="5">
        <v>46306</v>
      </c>
      <c r="H83" s="5">
        <v>46397</v>
      </c>
      <c r="I83" s="4" t="s">
        <v>17</v>
      </c>
      <c r="J83" s="6">
        <f t="shared" si="4"/>
        <v>91</v>
      </c>
      <c r="K83" s="4" t="str">
        <f t="shared" ca="1" si="5"/>
        <v>No</v>
      </c>
      <c r="L83" s="7">
        <f>IF(I83="Completed","0",IF($H83="","",$H83-'[2]Read Me'!$B$4))</f>
        <v>210</v>
      </c>
      <c r="M83" s="4" t="str">
        <f>IF($I83="Complete","Green",IF($H83="","Amber",IF($H83&lt;'[2]Read Me'!$B$4,"Red",IF($H83-'[2]Read Me'!$B$4&lt;=21,"Amber","Green"))))</f>
        <v>Green</v>
      </c>
      <c r="N83" s="3"/>
      <c r="O83" t="str">
        <f>IF($I83&lt;&gt;"Complete",IF(COUNTIFS($A$4:$A82,$A83,$B$4:$B82,$B83,$I$4:$I82,"&lt;&gt;Complete")=0,$A83&amp;"|"&amp;$B83,""),"")</f>
        <v>|</v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/>
      <c r="B84" s="2"/>
      <c r="C84" s="3" t="s">
        <v>21</v>
      </c>
      <c r="D84" s="3" t="s">
        <v>212</v>
      </c>
      <c r="E84" s="2"/>
      <c r="F84" s="2" t="s">
        <v>208</v>
      </c>
      <c r="G84" s="5">
        <v>46299</v>
      </c>
      <c r="H84" s="5">
        <v>46390</v>
      </c>
      <c r="I84" s="4" t="s">
        <v>17</v>
      </c>
      <c r="J84" s="6">
        <f t="shared" si="4"/>
        <v>91</v>
      </c>
      <c r="K84" s="4" t="str">
        <f t="shared" ca="1" si="5"/>
        <v>No</v>
      </c>
      <c r="L84" s="7">
        <f>IF(I84="Completed","0",IF($H84="","",$H84-'[2]Read Me'!$B$4))</f>
        <v>203</v>
      </c>
      <c r="M84" s="4" t="str">
        <f>IF($I84="Complete","Green",IF($H84="","Amber",IF($H84&lt;'[2]Read Me'!$B$4,"Red",IF($H84-'[2]Read Me'!$B$4&lt;=21,"Amber","Green"))))</f>
        <v>Green</v>
      </c>
      <c r="N84" s="3"/>
      <c r="O84" t="str">
        <f>IF($I84&lt;&gt;"Complete",IF(COUNTIFS($A$4:$A83,$A84,$B$4:$B83,$B84,$I$4:$I83,"&lt;&gt;Complete")=0,$A84&amp;"|"&amp;$B84,""),"")</f>
        <v>|</v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/>
      <c r="B85" s="2"/>
      <c r="C85" s="3" t="s">
        <v>21</v>
      </c>
      <c r="D85" s="3" t="s">
        <v>58</v>
      </c>
      <c r="E85" s="2"/>
      <c r="F85" s="2"/>
      <c r="G85" s="5">
        <v>46306</v>
      </c>
      <c r="H85" s="5">
        <v>46397</v>
      </c>
      <c r="I85" s="4" t="s">
        <v>17</v>
      </c>
      <c r="J85" s="6">
        <f t="shared" si="4"/>
        <v>91</v>
      </c>
      <c r="K85" s="4" t="str">
        <f t="shared" ca="1" si="5"/>
        <v>No</v>
      </c>
      <c r="L85" s="7">
        <f>IF(I85="Completed","0",IF($H85="","",$H85-'[2]Read Me'!$B$4))</f>
        <v>210</v>
      </c>
      <c r="M85" s="4" t="str">
        <f>IF($I85="Complete","Green",IF($H85="","Amber",IF($H85&lt;'[2]Read Me'!$B$4,"Red",IF($H85-'[2]Read Me'!$B$4&lt;=21,"Amber","Green"))))</f>
        <v>Green</v>
      </c>
      <c r="N85" s="3"/>
      <c r="O85" t="str">
        <f>IF($I85&lt;&gt;"Complete",IF(COUNTIFS($A$4:$A84,$A85,$B$4:$B84,$B85,$I$4:$I84,"&lt;&gt;Complete")=0,$A85&amp;"|"&amp;$B85,""),"")</f>
        <v>|</v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/>
      <c r="B86" s="2"/>
      <c r="C86" s="3"/>
      <c r="D86" s="3"/>
      <c r="E86" s="2"/>
      <c r="F86" s="2"/>
      <c r="G86" s="5"/>
      <c r="H86" s="5">
        <v>46208</v>
      </c>
      <c r="I86" s="4"/>
      <c r="J86" s="6" t="str">
        <f t="shared" si="4"/>
        <v/>
      </c>
      <c r="K86" s="4" t="str">
        <f t="shared" ca="1" si="5"/>
        <v/>
      </c>
      <c r="L86" s="7">
        <f>IF(I86="Completed","0",IF($H86="","",$H86-'[2]Read Me'!$B$4))</f>
        <v>21</v>
      </c>
      <c r="M86" s="4" t="str">
        <f>IF($I86="Complete","Green",IF($H86="","Amber",IF($H86&lt;'[2]Read Me'!$B$4,"Red",IF($H86-'[2]Read Me'!$B$4&lt;=21,"Amber","Green"))))</f>
        <v>Amber</v>
      </c>
      <c r="N86" s="3"/>
      <c r="O86" t="str">
        <f>IF($I86&lt;&gt;"Complete",IF(COUNTIFS($A$4:$A85,$A86,$B$4:$B85,$B86,$I$4:$I85,"&lt;&gt;Complete")=0,$A86&amp;"|"&amp;$B86,""),"")</f>
        <v>|</v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 t="s">
        <v>193</v>
      </c>
      <c r="B87" s="2" t="s">
        <v>186</v>
      </c>
      <c r="C87" s="3" t="s">
        <v>216</v>
      </c>
      <c r="D87" s="3" t="s">
        <v>16</v>
      </c>
      <c r="E87" s="2" t="s">
        <v>215</v>
      </c>
      <c r="F87" s="2"/>
      <c r="G87" s="5"/>
      <c r="H87" s="5">
        <v>46201</v>
      </c>
      <c r="I87" s="4" t="s">
        <v>46</v>
      </c>
      <c r="J87" s="6" t="str">
        <f t="shared" si="4"/>
        <v/>
      </c>
      <c r="K87" s="4" t="str">
        <f t="shared" ca="1" si="5"/>
        <v>Yes</v>
      </c>
      <c r="L87" s="7">
        <f>IF(I87="Completed","0",IF($H87="","",$H87-'[2]Read Me'!$B$4))</f>
        <v>14</v>
      </c>
      <c r="M87" s="4" t="str">
        <f>IF($I87="Complete","Green",IF($H87="","Amber",IF($H87&lt;'[2]Read Me'!$B$4,"Red",IF($H87-'[2]Read Me'!$B$4&lt;=21,"Amber","Green"))))</f>
        <v>Amber</v>
      </c>
      <c r="N87" s="3"/>
      <c r="O87" t="str">
        <f>IF($I87&lt;&gt;"Complete",IF(COUNTIFS($A$4:$A86,$A87,$B$4:$B86,$B87,$I$4:$I86,"&lt;&gt;Complete")=0,$A87&amp;"|"&amp;$B87,""),"")</f>
        <v>Amaia|Plot Fences</v>
      </c>
      <c r="P87">
        <f ca="1">IF($K87="Yes",COUNTIFS($K$4:$K87,"Yes"),"")</f>
        <v>11</v>
      </c>
      <c r="Q87">
        <f t="shared" ca="1" si="6"/>
        <v>1</v>
      </c>
      <c r="R87">
        <f ca="1">IF($Q87=1,SUM($Q$4:$Q87),"")</f>
        <v>11</v>
      </c>
    </row>
    <row r="88" spans="1:18" ht="33.75" customHeight="1" x14ac:dyDescent="0.3">
      <c r="A88" s="2" t="s">
        <v>193</v>
      </c>
      <c r="B88" s="2" t="s">
        <v>186</v>
      </c>
      <c r="C88" s="3" t="s">
        <v>216</v>
      </c>
      <c r="D88" s="3" t="s">
        <v>37</v>
      </c>
      <c r="E88" s="2" t="s">
        <v>215</v>
      </c>
      <c r="F88" s="2"/>
      <c r="G88" s="5"/>
      <c r="H88" s="5">
        <v>46208</v>
      </c>
      <c r="I88" s="4" t="s">
        <v>17</v>
      </c>
      <c r="J88" s="6" t="str">
        <f t="shared" si="4"/>
        <v/>
      </c>
      <c r="K88" s="4" t="str">
        <f t="shared" ca="1" si="5"/>
        <v>No</v>
      </c>
      <c r="L88" s="7">
        <f>IF(I88="Completed","0",IF($H88="","",$H88-'[2]Read Me'!$B$4))</f>
        <v>21</v>
      </c>
      <c r="M88" s="4" t="str">
        <f>IF($I88="Complete","Green",IF($H88="","Amber",IF($H88&lt;'[2]Read Me'!$B$4,"Red",IF($H88-'[2]Read Me'!$B$4&lt;=21,"Amber","Green"))))</f>
        <v>Amber</v>
      </c>
      <c r="N88" s="3"/>
      <c r="O88" t="str">
        <f>IF($I88&lt;&gt;"Complete",IF(COUNTIFS($A$4:$A87,$A88,$B$4:$B87,$B88,$I$4:$I87,"&lt;&gt;Complete")=0,$A88&amp;"|"&amp;$B88,""),"")</f>
        <v/>
      </c>
      <c r="P88" t="str">
        <f ca="1">IF($K88="Yes",COUNTIFS($K$4:$K88,"Yes"),"")</f>
        <v/>
      </c>
      <c r="Q88">
        <f t="shared" ca="1" si="6"/>
        <v>0</v>
      </c>
      <c r="R88" t="str">
        <f ca="1">IF($Q88=1,SUM($Q$4:$Q88),"")</f>
        <v/>
      </c>
    </row>
    <row r="89" spans="1:18" ht="33.75" customHeight="1" x14ac:dyDescent="0.3">
      <c r="A89" s="2" t="s">
        <v>217</v>
      </c>
      <c r="B89" s="2" t="s">
        <v>62</v>
      </c>
      <c r="C89" s="3"/>
      <c r="D89" s="3"/>
      <c r="E89" s="2"/>
      <c r="F89" s="2"/>
      <c r="G89" s="5">
        <v>46078</v>
      </c>
      <c r="H89" s="5">
        <v>46173</v>
      </c>
      <c r="I89" s="4"/>
      <c r="J89" s="6">
        <f t="shared" si="4"/>
        <v>95</v>
      </c>
      <c r="K89" s="4" t="str">
        <f t="shared" ca="1" si="5"/>
        <v/>
      </c>
      <c r="L89" s="7">
        <f>IF(I89="Completed","0",IF($H89="","",$H89-'[2]Read Me'!$B$4))</f>
        <v>-14</v>
      </c>
      <c r="M89" s="4" t="str">
        <f>IF($I89="Complete","Green",IF($H89="","Amber",IF($H89&lt;'[2]Read Me'!$B$4,"Red",IF($H89-'[2]Read Me'!$B$4&lt;=21,"Amber","Green"))))</f>
        <v>Red</v>
      </c>
      <c r="N89" s="3"/>
      <c r="O89" t="str">
        <f>IF($I89&lt;&gt;"Complete",IF(COUNTIFS($A$4:$A88,$A89,$B$4:$B88,$B89,$I$4:$I88,"&lt;&gt;Complete")=0,$A89&amp;"|"&amp;$B89,""),"")</f>
        <v>Pheonix|Buildings</v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 t="s">
        <v>217</v>
      </c>
      <c r="B90" s="2" t="s">
        <v>62</v>
      </c>
      <c r="C90" s="3" t="s">
        <v>218</v>
      </c>
      <c r="D90" s="3" t="s">
        <v>219</v>
      </c>
      <c r="E90" s="2" t="s">
        <v>165</v>
      </c>
      <c r="F90" s="2" t="s">
        <v>220</v>
      </c>
      <c r="G90" s="5">
        <v>45938</v>
      </c>
      <c r="H90" s="5">
        <v>45981</v>
      </c>
      <c r="I90" s="4" t="s">
        <v>31</v>
      </c>
      <c r="J90" s="6">
        <f t="shared" si="4"/>
        <v>43</v>
      </c>
      <c r="K90" s="4" t="str">
        <f t="shared" ca="1" si="5"/>
        <v>-</v>
      </c>
      <c r="L90" s="7" t="str">
        <f>IF(I90="Completed","0",IF($H90="","",$H90-'[2]Read Me'!$B$4))</f>
        <v>0</v>
      </c>
      <c r="M90" s="4" t="str">
        <f>IF($I90="Complete","Green",IF($H90="","Amber",IF($H90&lt;'[2]Read Me'!$B$4,"Red",IF($H90-'[2]Read Me'!$B$4&lt;=21,"Amber","Green"))))</f>
        <v>Red</v>
      </c>
      <c r="N90" s="3"/>
      <c r="O90" t="str">
        <f>IF($I90&lt;&gt;"Complete",IF(COUNTIFS($A$4:$A89,$A90,$B$4:$B89,$B90,$I$4:$I89,"&lt;&gt;Complete")=0,$A90&amp;"|"&amp;$B90,""),"")</f>
        <v/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 t="s">
        <v>217</v>
      </c>
      <c r="B91" s="2" t="s">
        <v>62</v>
      </c>
      <c r="C91" s="3" t="s">
        <v>218</v>
      </c>
      <c r="D91" s="3" t="s">
        <v>178</v>
      </c>
      <c r="E91" s="2" t="s">
        <v>165</v>
      </c>
      <c r="F91" s="2"/>
      <c r="G91" s="5">
        <v>45952</v>
      </c>
      <c r="H91" s="5">
        <v>45991</v>
      </c>
      <c r="I91" s="4" t="s">
        <v>31</v>
      </c>
      <c r="J91" s="6">
        <f t="shared" si="4"/>
        <v>39</v>
      </c>
      <c r="K91" s="4" t="str">
        <f t="shared" ca="1" si="5"/>
        <v>-</v>
      </c>
      <c r="L91" s="7" t="str">
        <f>IF(I91="Completed","0",IF($H91="","",$H91-'[2]Read Me'!$B$4))</f>
        <v>0</v>
      </c>
      <c r="M91" s="4" t="str">
        <f>IF($I91="Complete","Green",IF($H91="","Amber",IF($H91&lt;'[2]Read Me'!$B$4,"Red",IF($H91-'[2]Read Me'!$B$4&lt;=21,"Amber","Green"))))</f>
        <v>Red</v>
      </c>
      <c r="N91" s="3"/>
      <c r="O91" t="str">
        <f>IF($I91&lt;&gt;"Complete",IF(COUNTIFS($A$4:$A90,$A91,$B$4:$B90,$B91,$I$4:$I90,"&lt;&gt;Complete")=0,$A91&amp;"|"&amp;$B91,""),"")</f>
        <v/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 t="s">
        <v>217</v>
      </c>
      <c r="B92" s="2" t="s">
        <v>62</v>
      </c>
      <c r="C92" s="3" t="s">
        <v>218</v>
      </c>
      <c r="D92" s="3" t="s">
        <v>221</v>
      </c>
      <c r="E92" s="2" t="s">
        <v>165</v>
      </c>
      <c r="F92" s="2" t="s">
        <v>220</v>
      </c>
      <c r="G92" s="5">
        <v>45994</v>
      </c>
      <c r="H92" s="5">
        <v>46033</v>
      </c>
      <c r="I92" s="4" t="s">
        <v>31</v>
      </c>
      <c r="J92" s="6">
        <f t="shared" si="4"/>
        <v>39</v>
      </c>
      <c r="K92" s="4" t="str">
        <f t="shared" ca="1" si="5"/>
        <v>-</v>
      </c>
      <c r="L92" s="7" t="str">
        <f>IF(I92="Completed","0",IF($H92="","",$H92-'[2]Read Me'!$B$4))</f>
        <v>0</v>
      </c>
      <c r="M92" s="4" t="str">
        <f>IF($I92="Complete","Green",IF($H92="","Amber",IF($H92&lt;'[2]Read Me'!$B$4,"Red",IF($H92-'[2]Read Me'!$B$4&lt;=21,"Amber","Green"))))</f>
        <v>Red</v>
      </c>
      <c r="N92" s="3"/>
      <c r="O92" t="str">
        <f>IF($I92&lt;&gt;"Complete",IF(COUNTIFS($A$4:$A91,$A92,$B$4:$B91,$B92,$I$4:$I91,"&lt;&gt;Complete")=0,$A92&amp;"|"&amp;$B92,""),"")</f>
        <v/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 t="s">
        <v>217</v>
      </c>
      <c r="B93" s="2" t="s">
        <v>62</v>
      </c>
      <c r="C93" s="3" t="s">
        <v>218</v>
      </c>
      <c r="D93" s="3" t="s">
        <v>222</v>
      </c>
      <c r="E93" s="2" t="s">
        <v>165</v>
      </c>
      <c r="F93" s="2" t="s">
        <v>220</v>
      </c>
      <c r="G93" s="5">
        <v>46050</v>
      </c>
      <c r="H93" s="5">
        <v>46089</v>
      </c>
      <c r="I93" s="4" t="s">
        <v>31</v>
      </c>
      <c r="J93" s="6">
        <f t="shared" si="4"/>
        <v>39</v>
      </c>
      <c r="K93" s="4" t="str">
        <f t="shared" ca="1" si="5"/>
        <v>-</v>
      </c>
      <c r="L93" s="7" t="str">
        <f>IF(I93="Completed","0",IF($H93="","",$H93-'[2]Read Me'!$B$4))</f>
        <v>0</v>
      </c>
      <c r="M93" s="4" t="str">
        <f>IF($I93="Complete","Green",IF($H93="","Amber",IF($H93&lt;'[2]Read Me'!$B$4,"Red",IF($H93-'[2]Read Me'!$B$4&lt;=21,"Amber","Green"))))</f>
        <v>Red</v>
      </c>
      <c r="N93" s="3"/>
      <c r="O93" t="str">
        <f>IF($I93&lt;&gt;"Complete",IF(COUNTIFS($A$4:$A92,$A93,$B$4:$B92,$B93,$I$4:$I92,"&lt;&gt;Complete")=0,$A93&amp;"|"&amp;$B93,""),"")</f>
        <v/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 t="s">
        <v>217</v>
      </c>
      <c r="B94" s="2" t="s">
        <v>62</v>
      </c>
      <c r="C94" s="3" t="s">
        <v>218</v>
      </c>
      <c r="D94" s="3" t="s">
        <v>223</v>
      </c>
      <c r="E94" s="2" t="s">
        <v>165</v>
      </c>
      <c r="F94" s="2" t="s">
        <v>220</v>
      </c>
      <c r="G94" s="5">
        <v>46036</v>
      </c>
      <c r="H94" s="5">
        <v>46117</v>
      </c>
      <c r="I94" s="4" t="s">
        <v>31</v>
      </c>
      <c r="J94" s="6">
        <f t="shared" si="4"/>
        <v>81</v>
      </c>
      <c r="K94" s="4" t="str">
        <f t="shared" ca="1" si="5"/>
        <v>-</v>
      </c>
      <c r="L94" s="7" t="str">
        <f>IF(I94="Completed","0",IF($H94="","",$H94-'[2]Read Me'!$B$4))</f>
        <v>0</v>
      </c>
      <c r="M94" s="4" t="str">
        <f>IF($I94="Complete","Green",IF($H94="","Amber",IF($H94&lt;'[2]Read Me'!$B$4,"Red",IF($H94-'[2]Read Me'!$B$4&lt;=21,"Amber","Green"))))</f>
        <v>Red</v>
      </c>
      <c r="N94" s="3"/>
      <c r="O94" t="str">
        <f>IF($I94&lt;&gt;"Complete",IF(COUNTIFS($A$4:$A93,$A94,$B$4:$B93,$B94,$I$4:$I93,"&lt;&gt;Complete")=0,$A94&amp;"|"&amp;$B94,""),"")</f>
        <v/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 t="s">
        <v>217</v>
      </c>
      <c r="B95" s="2" t="s">
        <v>62</v>
      </c>
      <c r="C95" s="3" t="s">
        <v>218</v>
      </c>
      <c r="D95" s="3" t="s">
        <v>224</v>
      </c>
      <c r="E95" s="2" t="s">
        <v>165</v>
      </c>
      <c r="F95" s="2" t="s">
        <v>220</v>
      </c>
      <c r="G95" s="5">
        <v>46078</v>
      </c>
      <c r="H95" s="5">
        <v>46173</v>
      </c>
      <c r="I95" s="4" t="s">
        <v>31</v>
      </c>
      <c r="J95" s="6">
        <f t="shared" si="4"/>
        <v>95</v>
      </c>
      <c r="K95" s="4" t="str">
        <f t="shared" ca="1" si="5"/>
        <v>-</v>
      </c>
      <c r="L95" s="7" t="str">
        <f>IF(I95="Completed","0",IF($H95="","",$H95-'[2]Read Me'!$B$4))</f>
        <v>0</v>
      </c>
      <c r="M95" s="4" t="str">
        <f>IF($I95="Complete","Green",IF($H95="","Amber",IF($H95&lt;'[2]Read Me'!$B$4,"Red",IF($H95-'[2]Read Me'!$B$4&lt;=21,"Amber","Green"))))</f>
        <v>Red</v>
      </c>
      <c r="N95" s="3"/>
      <c r="O95" t="str">
        <f>IF($I95&lt;&gt;"Complete",IF(COUNTIFS($A$4:$A94,$A95,$B$4:$B94,$B95,$I$4:$I94,"&lt;&gt;Complete")=0,$A95&amp;"|"&amp;$B95,""),"")</f>
        <v/>
      </c>
      <c r="P95" t="str">
        <f ca="1">IF($K95="Yes",COUNTIFS($K$4:$K95,"Yes"),"")</f>
        <v/>
      </c>
      <c r="Q95">
        <f t="shared" ca="1" si="6"/>
        <v>0</v>
      </c>
      <c r="R95" t="str">
        <f ca="1">IF($Q95=1,SUM($Q$4:$Q95),"")</f>
        <v/>
      </c>
    </row>
    <row r="96" spans="1:18" ht="33.75" customHeight="1" x14ac:dyDescent="0.3">
      <c r="A96" s="2" t="s">
        <v>217</v>
      </c>
      <c r="B96" s="2" t="s">
        <v>49</v>
      </c>
      <c r="C96" s="3"/>
      <c r="D96" s="3"/>
      <c r="E96" s="2"/>
      <c r="F96" s="2"/>
      <c r="G96" s="5"/>
      <c r="H96" s="5">
        <v>46306</v>
      </c>
      <c r="I96" s="4"/>
      <c r="J96" s="6" t="str">
        <f t="shared" si="4"/>
        <v/>
      </c>
      <c r="K96" s="4" t="str">
        <f t="shared" ca="1" si="5"/>
        <v/>
      </c>
      <c r="L96" s="7">
        <f>IF(I96="Completed","0",IF($H96="","",$H96-'[2]Read Me'!$B$4))</f>
        <v>119</v>
      </c>
      <c r="M96" s="4" t="str">
        <f>IF($I96="Complete","Green",IF($H96="","Amber",IF($H96&lt;'[2]Read Me'!$B$4,"Red",IF($H96-'[2]Read Me'!$B$4&lt;=21,"Amber","Green"))))</f>
        <v>Green</v>
      </c>
      <c r="N96" s="3"/>
      <c r="O96" t="str">
        <f>IF($I96&lt;&gt;"Complete",IF(COUNTIFS($A$4:$A95,$A96,$B$4:$B95,$B96,$I$4:$I95,"&lt;&gt;Complete")=0,$A96&amp;"|"&amp;$B96,""),"")</f>
        <v>Pheonix|Authorities</v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 t="s">
        <v>217</v>
      </c>
      <c r="B97" s="2" t="s">
        <v>21</v>
      </c>
      <c r="C97" s="3"/>
      <c r="D97" s="3"/>
      <c r="E97" s="2"/>
      <c r="F97" s="2"/>
      <c r="G97" s="5">
        <v>46233</v>
      </c>
      <c r="H97" s="5">
        <v>46251.3</v>
      </c>
      <c r="I97" s="4"/>
      <c r="J97" s="6">
        <f t="shared" si="4"/>
        <v>18.30000000000291</v>
      </c>
      <c r="K97" s="4" t="str">
        <f t="shared" ca="1" si="5"/>
        <v/>
      </c>
      <c r="L97" s="7">
        <f>IF(I97="Completed","0",IF($H97="","",$H97-'[2]Read Me'!$B$4))</f>
        <v>64.30000000000291</v>
      </c>
      <c r="M97" s="4" t="str">
        <f>IF($I97="Complete","Green",IF($H97="","Amber",IF($H97&lt;'[2]Read Me'!$B$4,"Red",IF($H97-'[2]Read Me'!$B$4&lt;=21,"Amber","Green"))))</f>
        <v>Green</v>
      </c>
      <c r="N97" s="3"/>
      <c r="O97" t="str">
        <f>IF($I97&lt;&gt;"Complete",IF(COUNTIFS($A$4:$A96,$A97,$B$4:$B96,$B97,$I$4:$I96,"&lt;&gt;Complete")=0,$A97&amp;"|"&amp;$B97,""),"")</f>
        <v>Pheonix|Landscape</v>
      </c>
      <c r="P97" t="str">
        <f ca="1">IF($K97="Yes",COUNTIFS($K$4:$K97,"Yes"),"")</f>
        <v/>
      </c>
      <c r="Q97">
        <f t="shared" ca="1" si="6"/>
        <v>0</v>
      </c>
      <c r="R97" t="str">
        <f ca="1">IF($Q97=1,SUM($Q$4:$Q97),"")</f>
        <v/>
      </c>
    </row>
    <row r="98" spans="1:18" ht="33.75" customHeight="1" x14ac:dyDescent="0.3">
      <c r="A98" s="2" t="s">
        <v>217</v>
      </c>
      <c r="B98" s="2" t="s">
        <v>21</v>
      </c>
      <c r="C98" s="3" t="s">
        <v>225</v>
      </c>
      <c r="D98" s="3" t="s">
        <v>226</v>
      </c>
      <c r="E98" s="2" t="s">
        <v>181</v>
      </c>
      <c r="F98" s="2" t="s">
        <v>227</v>
      </c>
      <c r="G98" s="5">
        <v>46152</v>
      </c>
      <c r="H98" s="5">
        <v>46180</v>
      </c>
      <c r="I98" s="4" t="s">
        <v>31</v>
      </c>
      <c r="J98" s="6">
        <f t="shared" si="4"/>
        <v>28</v>
      </c>
      <c r="K98" s="4" t="str">
        <f t="shared" ca="1" si="5"/>
        <v>-</v>
      </c>
      <c r="L98" s="7" t="str">
        <f>IF(I98="Completed","0",IF($H98="","",$H98-'[2]Read Me'!$B$4))</f>
        <v>0</v>
      </c>
      <c r="M98" s="4" t="str">
        <f>IF($I98="Complete","Green",IF($H98="","Amber",IF($H98&lt;'[2]Read Me'!$B$4,"Red",IF($H98-'[2]Read Me'!$B$4&lt;=21,"Amber","Green"))))</f>
        <v>Red</v>
      </c>
      <c r="N98" s="3"/>
      <c r="O98" t="str">
        <f>IF($I98&lt;&gt;"Complete",IF(COUNTIFS($A$4:$A97,$A98,$B$4:$B97,$B98,$I$4:$I97,"&lt;&gt;Complete")=0,$A98&amp;"|"&amp;$B98,""),"")</f>
        <v/>
      </c>
      <c r="P98" t="str">
        <f ca="1">IF($K98="Yes",COUNTIFS($K$4:$K98,"Yes"),"")</f>
        <v/>
      </c>
      <c r="Q98">
        <f t="shared" ca="1" si="6"/>
        <v>0</v>
      </c>
      <c r="R98" t="str">
        <f ca="1">IF($Q98=1,SUM($Q$4:$Q98),"")</f>
        <v/>
      </c>
    </row>
    <row r="99" spans="1:18" ht="33.75" customHeight="1" x14ac:dyDescent="0.3">
      <c r="A99" s="2" t="s">
        <v>217</v>
      </c>
      <c r="B99" s="2" t="s">
        <v>21</v>
      </c>
      <c r="C99" s="3" t="s">
        <v>225</v>
      </c>
      <c r="D99" s="3" t="s">
        <v>32</v>
      </c>
      <c r="E99" s="2" t="s">
        <v>181</v>
      </c>
      <c r="F99" s="2"/>
      <c r="G99" s="5">
        <v>46154</v>
      </c>
      <c r="H99" s="5">
        <v>46182</v>
      </c>
      <c r="I99" s="4" t="s">
        <v>31</v>
      </c>
      <c r="J99" s="6">
        <f t="shared" si="4"/>
        <v>28</v>
      </c>
      <c r="K99" s="4" t="str">
        <f t="shared" ca="1" si="5"/>
        <v>-</v>
      </c>
      <c r="L99" s="7" t="str">
        <f>IF(I99="Completed","0",IF($H99="","",$H99-'[2]Read Me'!$B$4))</f>
        <v>0</v>
      </c>
      <c r="M99" s="4" t="str">
        <f>IF($I99="Complete","Green",IF($H99="","Amber",IF($H99&lt;'[2]Read Me'!$B$4,"Red",IF($H99-'[2]Read Me'!$B$4&lt;=21,"Amber","Green"))))</f>
        <v>Red</v>
      </c>
      <c r="N99" s="3"/>
      <c r="O99" t="str">
        <f>IF($I99&lt;&gt;"Complete",IF(COUNTIFS($A$4:$A98,$A99,$B$4:$B98,$B99,$I$4:$I98,"&lt;&gt;Complete")=0,$A99&amp;"|"&amp;$B99,""),"")</f>
        <v/>
      </c>
      <c r="P99" t="str">
        <f ca="1">IF($K99="Yes",COUNTIFS($K$4:$K99,"Yes"),"")</f>
        <v/>
      </c>
      <c r="Q99">
        <f t="shared" ca="1" si="6"/>
        <v>0</v>
      </c>
      <c r="R99" t="str">
        <f ca="1">IF($Q99=1,SUM($Q$4:$Q99),"")</f>
        <v/>
      </c>
    </row>
    <row r="100" spans="1:18" ht="33.75" customHeight="1" x14ac:dyDescent="0.3">
      <c r="A100" s="2" t="s">
        <v>217</v>
      </c>
      <c r="B100" s="2" t="s">
        <v>21</v>
      </c>
      <c r="C100" s="3" t="s">
        <v>225</v>
      </c>
      <c r="D100" s="3" t="s">
        <v>14</v>
      </c>
      <c r="E100" s="2" t="s">
        <v>181</v>
      </c>
      <c r="F100" s="2" t="s">
        <v>227</v>
      </c>
      <c r="G100" s="5">
        <v>46180</v>
      </c>
      <c r="H100" s="5">
        <v>46204</v>
      </c>
      <c r="I100" s="4" t="s">
        <v>46</v>
      </c>
      <c r="J100" s="6">
        <f t="shared" si="4"/>
        <v>24</v>
      </c>
      <c r="K100" s="4" t="str">
        <f t="shared" ca="1" si="5"/>
        <v>Yes</v>
      </c>
      <c r="L100" s="7">
        <f>IF(I100="Completed","0",IF($H100="","",$H100-'[2]Read Me'!$B$4))</f>
        <v>17</v>
      </c>
      <c r="M100" s="4" t="str">
        <f>IF($I100="Complete","Green",IF($H100="","Amber",IF($H100&lt;'[2]Read Me'!$B$4,"Red",IF($H100-'[2]Read Me'!$B$4&lt;=21,"Amber","Green"))))</f>
        <v>Amber</v>
      </c>
      <c r="N100" s="3"/>
      <c r="O100" t="str">
        <f>IF($I100&lt;&gt;"Complete",IF(COUNTIFS($A$4:$A99,$A100,$B$4:$B99,$B100,$I$4:$I99,"&lt;&gt;Complete")=0,$A100&amp;"|"&amp;$B100,""),"")</f>
        <v/>
      </c>
      <c r="P100">
        <f ca="1">IF($K100="Yes",COUNTIFS($K$4:$K100,"Yes"),"")</f>
        <v>12</v>
      </c>
      <c r="Q100">
        <f t="shared" ca="1" si="6"/>
        <v>1</v>
      </c>
      <c r="R100">
        <f ca="1">IF($Q100=1,SUM($Q$4:$Q100),"")</f>
        <v>12</v>
      </c>
    </row>
    <row r="101" spans="1:18" ht="33.75" customHeight="1" x14ac:dyDescent="0.3">
      <c r="A101" s="2" t="s">
        <v>217</v>
      </c>
      <c r="B101" s="2" t="s">
        <v>21</v>
      </c>
      <c r="C101" s="3" t="s">
        <v>225</v>
      </c>
      <c r="D101" s="3" t="s">
        <v>34</v>
      </c>
      <c r="E101" s="2" t="s">
        <v>181</v>
      </c>
      <c r="F101" s="2"/>
      <c r="G101" s="5">
        <v>46183</v>
      </c>
      <c r="H101" s="5">
        <v>46210</v>
      </c>
      <c r="I101" s="4" t="s">
        <v>17</v>
      </c>
      <c r="J101" s="6">
        <f t="shared" si="4"/>
        <v>27</v>
      </c>
      <c r="K101" s="4" t="str">
        <f t="shared" ca="1" si="5"/>
        <v>No</v>
      </c>
      <c r="L101" s="7">
        <f>IF(I101="Completed","0",IF($H101="","",$H101-'[2]Read Me'!$B$4))</f>
        <v>23</v>
      </c>
      <c r="M101" s="4" t="str">
        <f>IF($I101="Complete","Green",IF($H101="","Amber",IF($H101&lt;'[2]Read Me'!$B$4,"Red",IF($H101-'[2]Read Me'!$B$4&lt;=21,"Amber","Green"))))</f>
        <v>Green</v>
      </c>
      <c r="N101" s="3"/>
      <c r="O101" t="str">
        <f>IF($I101&lt;&gt;"Complete",IF(COUNTIFS($A$4:$A100,$A101,$B$4:$B100,$B101,$I$4:$I100,"&lt;&gt;Complete")=0,$A101&amp;"|"&amp;$B101,""),"")</f>
        <v/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 t="s">
        <v>217</v>
      </c>
      <c r="B102" s="2" t="s">
        <v>21</v>
      </c>
      <c r="C102" s="3" t="s">
        <v>225</v>
      </c>
      <c r="D102" s="3" t="s">
        <v>15</v>
      </c>
      <c r="E102" s="2" t="s">
        <v>181</v>
      </c>
      <c r="F102" s="2" t="s">
        <v>227</v>
      </c>
      <c r="G102" s="5">
        <v>46202</v>
      </c>
      <c r="H102" s="5">
        <v>46229</v>
      </c>
      <c r="I102" s="4" t="s">
        <v>17</v>
      </c>
      <c r="J102" s="6">
        <f t="shared" si="4"/>
        <v>27</v>
      </c>
      <c r="K102" s="4" t="str">
        <f t="shared" ca="1" si="5"/>
        <v>No</v>
      </c>
      <c r="L102" s="7">
        <f>IF(I102="Completed","0",IF($H102="","",$H102-'[2]Read Me'!$B$4))</f>
        <v>42</v>
      </c>
      <c r="M102" s="4" t="str">
        <f>IF($I102="Complete","Green",IF($H102="","Amber",IF($H102&lt;'[2]Read Me'!$B$4,"Red",IF($H102-'[2]Read Me'!$B$4&lt;=21,"Amber","Green"))))</f>
        <v>Green</v>
      </c>
      <c r="N102" s="3"/>
      <c r="O102" t="str">
        <f>IF($I102&lt;&gt;"Complete",IF(COUNTIFS($A$4:$A101,$A102,$B$4:$B101,$B102,$I$4:$I101,"&lt;&gt;Complete")=0,$A102&amp;"|"&amp;$B102,""),"")</f>
        <v/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 t="s">
        <v>217</v>
      </c>
      <c r="B103" s="2" t="s">
        <v>21</v>
      </c>
      <c r="C103" s="3" t="s">
        <v>225</v>
      </c>
      <c r="D103" s="3" t="s">
        <v>35</v>
      </c>
      <c r="E103" s="2" t="s">
        <v>181</v>
      </c>
      <c r="F103" s="2"/>
      <c r="G103" s="5">
        <v>46208</v>
      </c>
      <c r="H103" s="5">
        <v>46232</v>
      </c>
      <c r="I103" s="4" t="s">
        <v>17</v>
      </c>
      <c r="J103" s="6">
        <f t="shared" si="4"/>
        <v>24</v>
      </c>
      <c r="K103" s="4" t="str">
        <f t="shared" ca="1" si="5"/>
        <v>No</v>
      </c>
      <c r="L103" s="7">
        <f>IF(I103="Completed","0",IF($H103="","",$H103-'[2]Read Me'!$B$4))</f>
        <v>45</v>
      </c>
      <c r="M103" s="4" t="str">
        <f>IF($I103="Complete","Green",IF($H103="","Amber",IF($H103&lt;'[2]Read Me'!$B$4,"Red",IF($H103-'[2]Read Me'!$B$4&lt;=21,"Amber","Green"))))</f>
        <v>Green</v>
      </c>
      <c r="N103" s="3"/>
      <c r="O103" t="str">
        <f>IF($I103&lt;&gt;"Complete",IF(COUNTIFS($A$4:$A102,$A103,$B$4:$B102,$B103,$I$4:$I102,"&lt;&gt;Complete")=0,$A103&amp;"|"&amp;$B103,""),"")</f>
        <v/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 t="s">
        <v>217</v>
      </c>
      <c r="B104" s="2" t="s">
        <v>21</v>
      </c>
      <c r="C104" s="3" t="s">
        <v>225</v>
      </c>
      <c r="D104" s="3" t="s">
        <v>20</v>
      </c>
      <c r="E104" s="2" t="s">
        <v>184</v>
      </c>
      <c r="F104" s="2"/>
      <c r="G104" s="5">
        <v>46216</v>
      </c>
      <c r="H104" s="5">
        <v>46244</v>
      </c>
      <c r="I104" s="4" t="s">
        <v>17</v>
      </c>
      <c r="J104" s="6">
        <f t="shared" si="4"/>
        <v>28</v>
      </c>
      <c r="K104" s="4" t="str">
        <f t="shared" ca="1" si="5"/>
        <v>No</v>
      </c>
      <c r="L104" s="7">
        <f>IF(I104="Completed","0",IF($H104="","",$H104-'[2]Read Me'!$B$4))</f>
        <v>57</v>
      </c>
      <c r="M104" s="4" t="str">
        <f>IF($I104="Complete","Green",IF($H104="","Amber",IF($H104&lt;'[2]Read Me'!$B$4,"Red",IF($H104-'[2]Read Me'!$B$4&lt;=21,"Amber","Green"))))</f>
        <v>Green</v>
      </c>
      <c r="N104" s="3"/>
      <c r="O104" t="str">
        <f>IF($I104&lt;&gt;"Complete",IF(COUNTIFS($A$4:$A103,$A104,$B$4:$B103,$B104,$I$4:$I103,"&lt;&gt;Complete")=0,$A104&amp;"|"&amp;$B104,""),"")</f>
        <v/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 t="s">
        <v>217</v>
      </c>
      <c r="B105" s="2" t="s">
        <v>21</v>
      </c>
      <c r="C105" s="3" t="s">
        <v>225</v>
      </c>
      <c r="D105" s="3" t="s">
        <v>16</v>
      </c>
      <c r="E105" s="2" t="s">
        <v>181</v>
      </c>
      <c r="F105" s="2" t="s">
        <v>227</v>
      </c>
      <c r="G105" s="5">
        <v>46222</v>
      </c>
      <c r="H105" s="5">
        <v>46246.3</v>
      </c>
      <c r="I105" s="4" t="s">
        <v>17</v>
      </c>
      <c r="J105" s="6">
        <f t="shared" si="4"/>
        <v>24.30000000000291</v>
      </c>
      <c r="K105" s="4" t="str">
        <f t="shared" ca="1" si="5"/>
        <v>No</v>
      </c>
      <c r="L105" s="7">
        <f>IF(I105="Completed","0",IF($H105="","",$H105-'[2]Read Me'!$B$4))</f>
        <v>59.30000000000291</v>
      </c>
      <c r="M105" s="4" t="str">
        <f>IF($I105="Complete","Green",IF($H105="","Amber",IF($H105&lt;'[2]Read Me'!$B$4,"Red",IF($H105-'[2]Read Me'!$B$4&lt;=21,"Amber","Green"))))</f>
        <v>Green</v>
      </c>
      <c r="N105" s="3"/>
      <c r="O105" t="str">
        <f>IF($I105&lt;&gt;"Complete",IF(COUNTIFS($A$4:$A104,$A105,$B$4:$B104,$B105,$I$4:$I104,"&lt;&gt;Complete")=0,$A105&amp;"|"&amp;$B105,""),"")</f>
        <v/>
      </c>
      <c r="P105" t="str">
        <f ca="1">IF($K105="Yes",COUNTIFS($K$4:$K105,"Yes"),"")</f>
        <v/>
      </c>
      <c r="Q105">
        <f t="shared" ca="1" si="6"/>
        <v>0</v>
      </c>
      <c r="R105" t="str">
        <f ca="1">IF($Q105=1,SUM($Q$4:$Q105),"")</f>
        <v/>
      </c>
    </row>
    <row r="106" spans="1:18" ht="22.5" customHeight="1" x14ac:dyDescent="0.3">
      <c r="A106" s="2" t="s">
        <v>217</v>
      </c>
      <c r="B106" s="2" t="s">
        <v>21</v>
      </c>
      <c r="C106" s="3" t="s">
        <v>225</v>
      </c>
      <c r="D106" s="3" t="s">
        <v>228</v>
      </c>
      <c r="E106" s="2" t="s">
        <v>181</v>
      </c>
      <c r="F106" s="2"/>
      <c r="G106" s="5">
        <v>46233</v>
      </c>
      <c r="H106" s="5">
        <v>46251.3</v>
      </c>
      <c r="I106" s="4" t="s">
        <v>17</v>
      </c>
      <c r="J106" s="6">
        <f t="shared" si="4"/>
        <v>18.30000000000291</v>
      </c>
      <c r="K106" s="4" t="str">
        <f t="shared" ca="1" si="5"/>
        <v>No</v>
      </c>
      <c r="L106" s="7">
        <f>IF(I106="Completed","0",IF($H106="","",$H106-'[2]Read Me'!$B$4))</f>
        <v>64.30000000000291</v>
      </c>
      <c r="M106" s="4" t="str">
        <f>IF($I106="Complete","Green",IF($H106="","Amber",IF($H106&lt;'[2]Read Me'!$B$4,"Red",IF($H106-'[2]Read Me'!$B$4&lt;=21,"Amber","Green"))))</f>
        <v>Green</v>
      </c>
      <c r="N106" s="3"/>
      <c r="O106" t="str">
        <f>IF($I106&lt;&gt;"Complete",IF(COUNTIFS($A$4:$A105,$A106,$B$4:$B105,$B106,$I$4:$I105,"&lt;&gt;Complete")=0,$A106&amp;"|"&amp;$B106,""),"")</f>
        <v/>
      </c>
      <c r="P106" t="str">
        <f ca="1">IF($K106="Yes",COUNTIFS($K$4:$K106,"Yes"),"")</f>
        <v/>
      </c>
      <c r="Q106">
        <f t="shared" ca="1" si="6"/>
        <v>0</v>
      </c>
      <c r="R106" t="str">
        <f ca="1">IF($Q106=1,SUM($Q$4:$Q106),"")</f>
        <v/>
      </c>
    </row>
    <row r="107" spans="1:18" ht="22.5" customHeight="1" x14ac:dyDescent="0.3">
      <c r="A107" s="2"/>
      <c r="B107" s="2"/>
      <c r="C107" s="3" t="s">
        <v>225</v>
      </c>
      <c r="D107" s="3" t="s">
        <v>144</v>
      </c>
      <c r="E107" s="2"/>
      <c r="F107" s="2"/>
      <c r="G107" s="5">
        <v>46348</v>
      </c>
      <c r="H107" s="5">
        <v>46366.3</v>
      </c>
      <c r="I107" s="4" t="s">
        <v>17</v>
      </c>
      <c r="J107" s="6">
        <f t="shared" si="4"/>
        <v>18.30000000000291</v>
      </c>
      <c r="K107" s="4" t="str">
        <f t="shared" ca="1" si="5"/>
        <v>No</v>
      </c>
      <c r="L107" s="7">
        <f>IF(I107="Completed","0",IF($H107="","",$H107-'[2]Read Me'!$B$4))</f>
        <v>179.30000000000291</v>
      </c>
      <c r="M107" s="4" t="str">
        <f>IF($I107="Complete","Green",IF($H107="","Amber",IF($H107&lt;'[2]Read Me'!$B$4,"Red",IF($H107-'[2]Read Me'!$B$4&lt;=21,"Amber","Green"))))</f>
        <v>Green</v>
      </c>
      <c r="N107" s="3"/>
      <c r="O107" t="str">
        <f>IF($I107&lt;&gt;"Complete",IF(COUNTIFS($A$4:$A106,$A107,$B$4:$B106,$B107,$I$4:$I106,"&lt;&gt;Complete")=0,$A107&amp;"|"&amp;$B107,""),"")</f>
        <v>|</v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/>
      <c r="B108" s="2"/>
      <c r="C108" s="3" t="s">
        <v>225</v>
      </c>
      <c r="D108" s="3" t="s">
        <v>212</v>
      </c>
      <c r="E108" s="2"/>
      <c r="F108" s="2"/>
      <c r="G108" s="5">
        <v>46348</v>
      </c>
      <c r="H108" s="5">
        <v>46366.3</v>
      </c>
      <c r="I108" s="4" t="s">
        <v>17</v>
      </c>
      <c r="J108" s="6">
        <f t="shared" si="4"/>
        <v>18.30000000000291</v>
      </c>
      <c r="K108" s="4" t="str">
        <f t="shared" ca="1" si="5"/>
        <v>No</v>
      </c>
      <c r="L108" s="7">
        <f>IF(I108="Completed","0",IF($H108="","",$H108-'[2]Read Me'!$B$4))</f>
        <v>179.30000000000291</v>
      </c>
      <c r="M108" s="4" t="str">
        <f>IF($I108="Complete","Green",IF($H108="","Amber",IF($H108&lt;'[2]Read Me'!$B$4,"Red",IF($H108-'[2]Read Me'!$B$4&lt;=21,"Amber","Green"))))</f>
        <v>Green</v>
      </c>
      <c r="N108" s="3"/>
      <c r="O108" t="str">
        <f>IF($I108&lt;&gt;"Complete",IF(COUNTIFS($A$4:$A107,$A108,$B$4:$B107,$B108,$I$4:$I107,"&lt;&gt;Complete")=0,$A108&amp;"|"&amp;$B108,""),"")</f>
        <v>|</v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 t="s">
        <v>217</v>
      </c>
      <c r="B109" s="2" t="s">
        <v>186</v>
      </c>
      <c r="C109" s="3"/>
      <c r="D109" s="3"/>
      <c r="E109" s="2"/>
      <c r="F109" s="2"/>
      <c r="G109" s="5">
        <v>46174</v>
      </c>
      <c r="H109" s="5">
        <v>46203</v>
      </c>
      <c r="I109" s="4"/>
      <c r="J109" s="6">
        <f t="shared" si="4"/>
        <v>29</v>
      </c>
      <c r="K109" s="4" t="str">
        <f t="shared" ca="1" si="5"/>
        <v/>
      </c>
      <c r="L109" s="7">
        <f>IF(I109="Completed","0",IF($H109="","",$H109-'[2]Read Me'!$B$4))</f>
        <v>16</v>
      </c>
      <c r="M109" s="4" t="str">
        <f>IF($I109="Complete","Green",IF($H109="","Amber",IF($H109&lt;'[2]Read Me'!$B$4,"Red",IF($H109-'[2]Read Me'!$B$4&lt;=21,"Amber","Green"))))</f>
        <v>Amber</v>
      </c>
      <c r="N109" s="3"/>
      <c r="O109" t="str">
        <f>IF($I109&lt;&gt;"Complete",IF(COUNTIFS($A$4:$A108,$A109,$B$4:$B108,$B109,$I$4:$I108,"&lt;&gt;Complete")=0,$A109&amp;"|"&amp;$B109,""),"")</f>
        <v>Pheonix|Plot Fences</v>
      </c>
      <c r="P109" t="str">
        <f ca="1">IF($K109="Yes",COUNTIFS($K$4:$K109,"Yes"),"")</f>
        <v/>
      </c>
      <c r="Q109">
        <f t="shared" ca="1" si="6"/>
        <v>0</v>
      </c>
      <c r="R109" t="str">
        <f ca="1">IF($Q109=1,SUM($Q$4:$Q109),"")</f>
        <v/>
      </c>
    </row>
    <row r="110" spans="1:18" ht="22.5" customHeight="1" x14ac:dyDescent="0.3">
      <c r="A110" s="2" t="s">
        <v>217</v>
      </c>
      <c r="B110" s="2" t="s">
        <v>186</v>
      </c>
      <c r="C110" s="3" t="s">
        <v>229</v>
      </c>
      <c r="D110" s="3" t="s">
        <v>230</v>
      </c>
      <c r="E110" s="2" t="s">
        <v>181</v>
      </c>
      <c r="F110" s="2" t="s">
        <v>227</v>
      </c>
      <c r="G110" s="5">
        <v>46152</v>
      </c>
      <c r="H110" s="5">
        <v>46167</v>
      </c>
      <c r="I110" s="4" t="s">
        <v>31</v>
      </c>
      <c r="J110" s="6">
        <f t="shared" si="4"/>
        <v>15</v>
      </c>
      <c r="K110" s="4" t="str">
        <f t="shared" ca="1" si="5"/>
        <v>-</v>
      </c>
      <c r="L110" s="7" t="str">
        <f>IF(I110="Completed","0",IF($H110="","",$H110-'[2]Read Me'!$B$4))</f>
        <v>0</v>
      </c>
      <c r="M110" s="4" t="str">
        <f>IF($I110="Complete","Green",IF($H110="","Amber",IF($H110&lt;'[2]Read Me'!$B$4,"Red",IF($H110-'[2]Read Me'!$B$4&lt;=21,"Amber","Green"))))</f>
        <v>Red</v>
      </c>
      <c r="N110" s="3"/>
      <c r="O110" t="str">
        <f>IF($I110&lt;&gt;"Complete",IF(COUNTIFS($A$4:$A109,$A110,$B$4:$B109,$B110,$I$4:$I109,"&lt;&gt;Complete")=0,$A110&amp;"|"&amp;$B110,""),"")</f>
        <v/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 t="s">
        <v>217</v>
      </c>
      <c r="B111" s="2" t="s">
        <v>186</v>
      </c>
      <c r="C111" s="3" t="s">
        <v>229</v>
      </c>
      <c r="D111" s="3" t="s">
        <v>231</v>
      </c>
      <c r="E111" s="2" t="s">
        <v>181</v>
      </c>
      <c r="F111" s="2"/>
      <c r="G111" s="5">
        <v>46154</v>
      </c>
      <c r="H111" s="5">
        <v>46174</v>
      </c>
      <c r="I111" s="4" t="s">
        <v>31</v>
      </c>
      <c r="J111" s="6">
        <f t="shared" si="4"/>
        <v>20</v>
      </c>
      <c r="K111" s="4" t="str">
        <f t="shared" ca="1" si="5"/>
        <v>-</v>
      </c>
      <c r="L111" s="7" t="str">
        <f>IF(I111="Completed","0",IF($H111="","",$H111-'[2]Read Me'!$B$4))</f>
        <v>0</v>
      </c>
      <c r="M111" s="4" t="str">
        <f>IF($I111="Complete","Green",IF($H111="","Amber",IF($H111&lt;'[2]Read Me'!$B$4,"Red",IF($H111-'[2]Read Me'!$B$4&lt;=21,"Amber","Green"))))</f>
        <v>Red</v>
      </c>
      <c r="N111" s="3"/>
      <c r="O111" t="str">
        <f>IF($I111&lt;&gt;"Complete",IF(COUNTIFS($A$4:$A110,$A111,$B$4:$B110,$B111,$I$4:$I110,"&lt;&gt;Complete")=0,$A111&amp;"|"&amp;$B111,""),"")</f>
        <v/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 t="s">
        <v>217</v>
      </c>
      <c r="B112" s="2" t="s">
        <v>186</v>
      </c>
      <c r="C112" s="3" t="s">
        <v>229</v>
      </c>
      <c r="D112" s="3" t="s">
        <v>16</v>
      </c>
      <c r="E112" s="2" t="s">
        <v>181</v>
      </c>
      <c r="F112" s="2" t="s">
        <v>227</v>
      </c>
      <c r="G112" s="5">
        <v>46161</v>
      </c>
      <c r="H112" s="5">
        <v>46196</v>
      </c>
      <c r="I112" s="4" t="s">
        <v>46</v>
      </c>
      <c r="J112" s="6">
        <f t="shared" si="4"/>
        <v>35</v>
      </c>
      <c r="K112" s="4" t="str">
        <f t="shared" ca="1" si="5"/>
        <v>Yes</v>
      </c>
      <c r="L112" s="7">
        <f>IF(I112="Completed","0",IF($H112="","",$H112-'[2]Read Me'!$B$4))</f>
        <v>9</v>
      </c>
      <c r="M112" s="4" t="str">
        <f>IF($I112="Complete","Green",IF($H112="","Amber",IF($H112&lt;'[2]Read Me'!$B$4,"Red",IF($H112-'[2]Read Me'!$B$4&lt;=21,"Amber","Green"))))</f>
        <v>Amber</v>
      </c>
      <c r="N112" s="3"/>
      <c r="O112" t="str">
        <f>IF($I112&lt;&gt;"Complete",IF(COUNTIFS($A$4:$A111,$A112,$B$4:$B111,$B112,$I$4:$I111,"&lt;&gt;Complete")=0,$A112&amp;"|"&amp;$B112,""),"")</f>
        <v/>
      </c>
      <c r="P112">
        <f ca="1">IF($K112="Yes",COUNTIFS($K$4:$K112,"Yes"),"")</f>
        <v>13</v>
      </c>
      <c r="Q112">
        <f t="shared" ca="1" si="6"/>
        <v>1</v>
      </c>
      <c r="R112">
        <f ca="1">IF($Q112=1,SUM($Q$4:$Q112),"")</f>
        <v>13</v>
      </c>
    </row>
    <row r="113" spans="1:18" ht="22.5" customHeight="1" x14ac:dyDescent="0.3">
      <c r="A113" s="2" t="s">
        <v>217</v>
      </c>
      <c r="B113" s="2" t="s">
        <v>186</v>
      </c>
      <c r="C113" s="3" t="s">
        <v>229</v>
      </c>
      <c r="D113" s="3" t="s">
        <v>228</v>
      </c>
      <c r="E113" s="2" t="s">
        <v>181</v>
      </c>
      <c r="F113" s="2"/>
      <c r="G113" s="5">
        <v>46174</v>
      </c>
      <c r="H113" s="5">
        <v>46203</v>
      </c>
      <c r="I113" s="4" t="s">
        <v>17</v>
      </c>
      <c r="J113" s="6">
        <f t="shared" si="4"/>
        <v>29</v>
      </c>
      <c r="K113" s="4" t="str">
        <f t="shared" ca="1" si="5"/>
        <v>Yes</v>
      </c>
      <c r="L113" s="7">
        <f>IF(I113="Completed","0",IF($H113="","",$H113-'[2]Read Me'!$B$4))</f>
        <v>16</v>
      </c>
      <c r="M113" s="4" t="str">
        <f>IF($I113="Complete","Green",IF($H113="","Amber",IF($H113&lt;'[2]Read Me'!$B$4,"Red",IF($H113-'[2]Read Me'!$B$4&lt;=21,"Amber","Green"))))</f>
        <v>Amber</v>
      </c>
      <c r="N113" s="3"/>
      <c r="O113" t="str">
        <f>IF($I113&lt;&gt;"Complete",IF(COUNTIFS($A$4:$A112,$A113,$B$4:$B112,$B113,$I$4:$I112,"&lt;&gt;Complete")=0,$A113&amp;"|"&amp;$B113,""),"")</f>
        <v/>
      </c>
      <c r="P113">
        <f ca="1">IF($K113="Yes",COUNTIFS($K$4:$K113,"Yes"),"")</f>
        <v>14</v>
      </c>
      <c r="Q113">
        <f t="shared" ca="1" si="6"/>
        <v>1</v>
      </c>
      <c r="R113">
        <f ca="1">IF($Q113=1,SUM($Q$4:$Q113),"")</f>
        <v>14</v>
      </c>
    </row>
    <row r="114" spans="1:18" ht="22.5" customHeight="1" x14ac:dyDescent="0.3">
      <c r="A114" s="2" t="s">
        <v>232</v>
      </c>
      <c r="B114" s="2" t="s">
        <v>21</v>
      </c>
      <c r="C114" s="3"/>
      <c r="D114" s="3"/>
      <c r="E114" s="2"/>
      <c r="F114" s="2"/>
      <c r="G114" s="5">
        <v>46006</v>
      </c>
      <c r="H114" s="5">
        <v>46076</v>
      </c>
      <c r="I114" s="4"/>
      <c r="J114" s="6">
        <f t="shared" si="4"/>
        <v>70</v>
      </c>
      <c r="K114" s="4" t="str">
        <f t="shared" ca="1" si="5"/>
        <v/>
      </c>
      <c r="L114" s="7">
        <f>IF(I114="Completed","0",IF($H114="","",$H114-'[2]Read Me'!$B$4))</f>
        <v>-111</v>
      </c>
      <c r="M114" s="4" t="str">
        <f>IF($I114="Complete","Green",IF($H114="","Amber",IF($H114&lt;'[2]Read Me'!$B$4,"Red",IF($H114-'[2]Read Me'!$B$4&lt;=21,"Amber","Green"))))</f>
        <v>Red</v>
      </c>
      <c r="N114" s="3"/>
      <c r="O114" t="str">
        <f>IF($I114&lt;&gt;"Complete",IF(COUNTIFS($A$4:$A113,$A114,$B$4:$B113,$B114,$I$4:$I113,"&lt;&gt;Complete")=0,$A114&amp;"|"&amp;$B114,""),"")</f>
        <v>IRIS 01&amp;02|Landscape</v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 t="s">
        <v>232</v>
      </c>
      <c r="B115" s="2" t="s">
        <v>21</v>
      </c>
      <c r="C115" s="3" t="s">
        <v>233</v>
      </c>
      <c r="D115" s="3" t="s">
        <v>234</v>
      </c>
      <c r="E115" s="2"/>
      <c r="F115" s="2"/>
      <c r="G115" s="5">
        <v>45717</v>
      </c>
      <c r="H115" s="5">
        <v>45717</v>
      </c>
      <c r="I115" s="4" t="s">
        <v>31</v>
      </c>
      <c r="J115" s="6">
        <f t="shared" si="4"/>
        <v>0</v>
      </c>
      <c r="K115" s="4" t="str">
        <f t="shared" ca="1" si="5"/>
        <v>-</v>
      </c>
      <c r="L115" s="7" t="str">
        <f>IF(I115="Completed","0",IF($H115="","",$H115-'[2]Read Me'!$B$4))</f>
        <v>0</v>
      </c>
      <c r="M115" s="4" t="str">
        <f>IF($I115="Complete","Green",IF($H115="","Amber",IF($H115&lt;'[2]Read Me'!$B$4,"Red",IF($H115-'[2]Read Me'!$B$4&lt;=21,"Amber","Green"))))</f>
        <v>Red</v>
      </c>
      <c r="N115" s="3"/>
      <c r="O115" t="str">
        <f>IF($I115&lt;&gt;"Complete",IF(COUNTIFS($A$4:$A114,$A115,$B$4:$B114,$B115,$I$4:$I114,"&lt;&gt;Complete")=0,$A115&amp;"|"&amp;$B115,""),"")</f>
        <v/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 t="s">
        <v>232</v>
      </c>
      <c r="B116" s="2" t="s">
        <v>21</v>
      </c>
      <c r="C116" s="3" t="s">
        <v>233</v>
      </c>
      <c r="D116" s="3" t="s">
        <v>235</v>
      </c>
      <c r="E116" s="2"/>
      <c r="F116" s="2"/>
      <c r="G116" s="5">
        <v>45746</v>
      </c>
      <c r="H116" s="5">
        <v>45746</v>
      </c>
      <c r="I116" s="4" t="s">
        <v>31</v>
      </c>
      <c r="J116" s="6">
        <f t="shared" si="4"/>
        <v>0</v>
      </c>
      <c r="K116" s="4" t="str">
        <f t="shared" ca="1" si="5"/>
        <v>-</v>
      </c>
      <c r="L116" s="7" t="str">
        <f>IF(I116="Completed","0",IF($H116="","",$H116-'[2]Read Me'!$B$4))</f>
        <v>0</v>
      </c>
      <c r="M116" s="4" t="str">
        <f>IF($I116="Complete","Green",IF($H116="","Amber",IF($H116&lt;'[2]Read Me'!$B$4,"Red",IF($H116-'[2]Read Me'!$B$4&lt;=21,"Amber","Green"))))</f>
        <v>Red</v>
      </c>
      <c r="N116" s="3"/>
      <c r="O116" t="str">
        <f>IF($I116&lt;&gt;"Complete",IF(COUNTIFS($A$4:$A115,$A116,$B$4:$B115,$B116,$I$4:$I115,"&lt;&gt;Complete")=0,$A116&amp;"|"&amp;$B116,""),"")</f>
        <v/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 t="s">
        <v>232</v>
      </c>
      <c r="B117" s="2" t="s">
        <v>21</v>
      </c>
      <c r="C117" s="3" t="s">
        <v>233</v>
      </c>
      <c r="D117" s="3" t="s">
        <v>236</v>
      </c>
      <c r="E117" s="2"/>
      <c r="F117" s="2"/>
      <c r="G117" s="5">
        <v>45775</v>
      </c>
      <c r="H117" s="5">
        <v>45775</v>
      </c>
      <c r="I117" s="4" t="s">
        <v>31</v>
      </c>
      <c r="J117" s="6">
        <f t="shared" si="4"/>
        <v>0</v>
      </c>
      <c r="K117" s="4" t="str">
        <f t="shared" ca="1" si="5"/>
        <v>-</v>
      </c>
      <c r="L117" s="7" t="str">
        <f>IF(I117="Completed","0",IF($H117="","",$H117-'[2]Read Me'!$B$4))</f>
        <v>0</v>
      </c>
      <c r="M117" s="4" t="str">
        <f>IF($I117="Complete","Green",IF($H117="","Amber",IF($H117&lt;'[2]Read Me'!$B$4,"Red",IF($H117-'[2]Read Me'!$B$4&lt;=21,"Amber","Green"))))</f>
        <v>Red</v>
      </c>
      <c r="N117" s="3"/>
      <c r="O117" t="str">
        <f>IF($I117&lt;&gt;"Complete",IF(COUNTIFS($A$4:$A116,$A117,$B$4:$B116,$B117,$I$4:$I116,"&lt;&gt;Complete")=0,$A117&amp;"|"&amp;$B117,""),"")</f>
        <v/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 t="s">
        <v>232</v>
      </c>
      <c r="B118" s="2" t="s">
        <v>21</v>
      </c>
      <c r="C118" s="3" t="s">
        <v>233</v>
      </c>
      <c r="D118" s="3" t="s">
        <v>47</v>
      </c>
      <c r="E118" s="2"/>
      <c r="F118" s="2"/>
      <c r="G118" s="5">
        <v>45790</v>
      </c>
      <c r="H118" s="5">
        <v>45790</v>
      </c>
      <c r="I118" s="4" t="s">
        <v>31</v>
      </c>
      <c r="J118" s="6">
        <f t="shared" si="4"/>
        <v>0</v>
      </c>
      <c r="K118" s="4" t="str">
        <f t="shared" ca="1" si="5"/>
        <v>-</v>
      </c>
      <c r="L118" s="7" t="str">
        <f>IF(I118="Completed","0",IF($H118="","",$H118-'[2]Read Me'!$B$4))</f>
        <v>0</v>
      </c>
      <c r="M118" s="4" t="str">
        <f>IF($I118="Complete","Green",IF($H118="","Amber",IF($H118&lt;'[2]Read Me'!$B$4,"Red",IF($H118-'[2]Read Me'!$B$4&lt;=21,"Amber","Green"))))</f>
        <v>Red</v>
      </c>
      <c r="N118" s="3"/>
      <c r="O118" t="str">
        <f>IF($I118&lt;&gt;"Complete",IF(COUNTIFS($A$4:$A117,$A118,$B$4:$B117,$B118,$I$4:$I117,"&lt;&gt;Complete")=0,$A118&amp;"|"&amp;$B118,""),"")</f>
        <v/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 t="s">
        <v>232</v>
      </c>
      <c r="B119" s="2" t="s">
        <v>21</v>
      </c>
      <c r="C119" s="3" t="s">
        <v>233</v>
      </c>
      <c r="D119" s="3" t="s">
        <v>237</v>
      </c>
      <c r="E119" s="2"/>
      <c r="F119" s="2"/>
      <c r="G119" s="5">
        <v>45790</v>
      </c>
      <c r="H119" s="5">
        <v>45790</v>
      </c>
      <c r="I119" s="4" t="s">
        <v>31</v>
      </c>
      <c r="J119" s="6">
        <f t="shared" si="4"/>
        <v>0</v>
      </c>
      <c r="K119" s="4" t="str">
        <f t="shared" ca="1" si="5"/>
        <v>-</v>
      </c>
      <c r="L119" s="7" t="str">
        <f>IF(I119="Completed","0",IF($H119="","",$H119-'[2]Read Me'!$B$4))</f>
        <v>0</v>
      </c>
      <c r="M119" s="4" t="str">
        <f>IF($I119="Complete","Green",IF($H119="","Amber",IF($H119&lt;'[2]Read Me'!$B$4,"Red",IF($H119-'[2]Read Me'!$B$4&lt;=21,"Amber","Green"))))</f>
        <v>Red</v>
      </c>
      <c r="N119" s="3"/>
      <c r="O119" t="str">
        <f>IF($I119&lt;&gt;"Complete",IF(COUNTIFS($A$4:$A118,$A119,$B$4:$B118,$B119,$I$4:$I118,"&lt;&gt;Complete")=0,$A119&amp;"|"&amp;$B119,""),"")</f>
        <v/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 t="s">
        <v>232</v>
      </c>
      <c r="B120" s="2" t="s">
        <v>21</v>
      </c>
      <c r="C120" s="3" t="s">
        <v>233</v>
      </c>
      <c r="D120" s="3" t="s">
        <v>238</v>
      </c>
      <c r="E120" s="2"/>
      <c r="F120" s="2"/>
      <c r="G120" s="5">
        <v>45819</v>
      </c>
      <c r="H120" s="5">
        <v>45819</v>
      </c>
      <c r="I120" s="4" t="s">
        <v>31</v>
      </c>
      <c r="J120" s="6">
        <f t="shared" si="4"/>
        <v>0</v>
      </c>
      <c r="K120" s="4" t="str">
        <f t="shared" ca="1" si="5"/>
        <v>-</v>
      </c>
      <c r="L120" s="7" t="str">
        <f>IF(I120="Completed","0",IF($H120="","",$H120-'[2]Read Me'!$B$4))</f>
        <v>0</v>
      </c>
      <c r="M120" s="4" t="str">
        <f>IF($I120="Complete","Green",IF($H120="","Amber",IF($H120&lt;'[2]Read Me'!$B$4,"Red",IF($H120-'[2]Read Me'!$B$4&lt;=21,"Amber","Green"))))</f>
        <v>Red</v>
      </c>
      <c r="N120" s="3"/>
      <c r="O120" t="str">
        <f>IF($I120&lt;&gt;"Complete",IF(COUNTIFS($A$4:$A119,$A120,$B$4:$B119,$B120,$I$4:$I119,"&lt;&gt;Complete")=0,$A120&amp;"|"&amp;$B120,""),"")</f>
        <v/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 t="s">
        <v>232</v>
      </c>
      <c r="B121" s="2" t="s">
        <v>21</v>
      </c>
      <c r="C121" s="3" t="s">
        <v>233</v>
      </c>
      <c r="D121" s="3" t="s">
        <v>134</v>
      </c>
      <c r="E121" s="2"/>
      <c r="F121" s="2"/>
      <c r="G121" s="5">
        <v>45834</v>
      </c>
      <c r="H121" s="5">
        <v>45834</v>
      </c>
      <c r="I121" s="4" t="s">
        <v>31</v>
      </c>
      <c r="J121" s="6">
        <f t="shared" si="4"/>
        <v>0</v>
      </c>
      <c r="K121" s="4" t="str">
        <f t="shared" ca="1" si="5"/>
        <v>-</v>
      </c>
      <c r="L121" s="7" t="str">
        <f>IF(I121="Completed","0",IF($H121="","",$H121-'[2]Read Me'!$B$4))</f>
        <v>0</v>
      </c>
      <c r="M121" s="4" t="str">
        <f>IF($I121="Complete","Green",IF($H121="","Amber",IF($H121&lt;'[2]Read Me'!$B$4,"Red",IF($H121-'[2]Read Me'!$B$4&lt;=21,"Amber","Green"))))</f>
        <v>Red</v>
      </c>
      <c r="N121" s="3"/>
      <c r="O121" t="str">
        <f>IF($I121&lt;&gt;"Complete",IF(COUNTIFS($A$4:$A120,$A121,$B$4:$B120,$B121,$I$4:$I120,"&lt;&gt;Complete")=0,$A121&amp;"|"&amp;$B121,""),"")</f>
        <v/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 t="s">
        <v>232</v>
      </c>
      <c r="B122" s="2" t="s">
        <v>21</v>
      </c>
      <c r="C122" s="3" t="s">
        <v>233</v>
      </c>
      <c r="D122" s="3" t="s">
        <v>239</v>
      </c>
      <c r="E122" s="2"/>
      <c r="F122" s="2"/>
      <c r="G122" s="5">
        <v>45841</v>
      </c>
      <c r="H122" s="5">
        <v>45841</v>
      </c>
      <c r="I122" s="4" t="s">
        <v>31</v>
      </c>
      <c r="J122" s="6">
        <f t="shared" si="4"/>
        <v>0</v>
      </c>
      <c r="K122" s="4" t="str">
        <f t="shared" ca="1" si="5"/>
        <v>-</v>
      </c>
      <c r="L122" s="7" t="str">
        <f>IF(I122="Completed","0",IF($H122="","",$H122-'[2]Read Me'!$B$4))</f>
        <v>0</v>
      </c>
      <c r="M122" s="4" t="str">
        <f>IF($I122="Complete","Green",IF($H122="","Amber",IF($H122&lt;'[2]Read Me'!$B$4,"Red",IF($H122-'[2]Read Me'!$B$4&lt;=21,"Amber","Green"))))</f>
        <v>Red</v>
      </c>
      <c r="N122" s="3"/>
      <c r="O122" t="str">
        <f>IF($I122&lt;&gt;"Complete",IF(COUNTIFS($A$4:$A121,$A122,$B$4:$B121,$B122,$I$4:$I121,"&lt;&gt;Complete")=0,$A122&amp;"|"&amp;$B122,""),"")</f>
        <v/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 t="s">
        <v>232</v>
      </c>
      <c r="B123" s="2" t="s">
        <v>21</v>
      </c>
      <c r="C123" s="3" t="s">
        <v>233</v>
      </c>
      <c r="D123" s="3" t="s">
        <v>240</v>
      </c>
      <c r="E123" s="2"/>
      <c r="F123" s="2"/>
      <c r="G123" s="5">
        <v>45871</v>
      </c>
      <c r="H123" s="5">
        <v>45871</v>
      </c>
      <c r="I123" s="4" t="s">
        <v>31</v>
      </c>
      <c r="J123" s="6">
        <f t="shared" si="4"/>
        <v>0</v>
      </c>
      <c r="K123" s="4" t="str">
        <f t="shared" ca="1" si="5"/>
        <v>-</v>
      </c>
      <c r="L123" s="7" t="str">
        <f>IF(I123="Completed","0",IF($H123="","",$H123-'[2]Read Me'!$B$4))</f>
        <v>0</v>
      </c>
      <c r="M123" s="4" t="str">
        <f>IF($I123="Complete","Green",IF($H123="","Amber",IF($H123&lt;'[2]Read Me'!$B$4,"Red",IF($H123-'[2]Read Me'!$B$4&lt;=21,"Amber","Green"))))</f>
        <v>Red</v>
      </c>
      <c r="N123" s="3"/>
      <c r="O123" t="str">
        <f>IF($I123&lt;&gt;"Complete",IF(COUNTIFS($A$4:$A122,$A123,$B$4:$B122,$B123,$I$4:$I122,"&lt;&gt;Complete")=0,$A123&amp;"|"&amp;$B123,""),"")</f>
        <v/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 t="s">
        <v>232</v>
      </c>
      <c r="B124" s="2" t="s">
        <v>21</v>
      </c>
      <c r="C124" s="3" t="s">
        <v>233</v>
      </c>
      <c r="D124" s="3" t="s">
        <v>32</v>
      </c>
      <c r="E124" s="2"/>
      <c r="F124" s="2"/>
      <c r="G124" s="5">
        <v>45886</v>
      </c>
      <c r="H124" s="5">
        <v>45886</v>
      </c>
      <c r="I124" s="4" t="s">
        <v>31</v>
      </c>
      <c r="J124" s="6">
        <f t="shared" si="4"/>
        <v>0</v>
      </c>
      <c r="K124" s="4" t="str">
        <f t="shared" ca="1" si="5"/>
        <v>-</v>
      </c>
      <c r="L124" s="7" t="str">
        <f>IF(I124="Completed","0",IF($H124="","",$H124-'[2]Read Me'!$B$4))</f>
        <v>0</v>
      </c>
      <c r="M124" s="4" t="str">
        <f>IF($I124="Complete","Green",IF($H124="","Amber",IF($H124&lt;'[2]Read Me'!$B$4,"Red",IF($H124-'[2]Read Me'!$B$4&lt;=21,"Amber","Green"))))</f>
        <v>Red</v>
      </c>
      <c r="N124" s="3"/>
      <c r="O124" t="str">
        <f>IF($I124&lt;&gt;"Complete",IF(COUNTIFS($A$4:$A123,$A124,$B$4:$B123,$B124,$I$4:$I123,"&lt;&gt;Complete")=0,$A124&amp;"|"&amp;$B124,""),"")</f>
        <v/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 t="s">
        <v>232</v>
      </c>
      <c r="B125" s="2" t="s">
        <v>21</v>
      </c>
      <c r="C125" s="3" t="s">
        <v>233</v>
      </c>
      <c r="D125" s="3" t="s">
        <v>241</v>
      </c>
      <c r="E125" s="2"/>
      <c r="F125" s="2"/>
      <c r="G125" s="5">
        <v>45945</v>
      </c>
      <c r="H125" s="5">
        <v>45978</v>
      </c>
      <c r="I125" s="4" t="s">
        <v>31</v>
      </c>
      <c r="J125" s="6">
        <f t="shared" si="4"/>
        <v>33</v>
      </c>
      <c r="K125" s="4" t="str">
        <f t="shared" ca="1" si="5"/>
        <v>-</v>
      </c>
      <c r="L125" s="7" t="str">
        <f>IF(I125="Completed","0",IF($H125="","",$H125-'[2]Read Me'!$B$4))</f>
        <v>0</v>
      </c>
      <c r="M125" s="4" t="str">
        <f>IF($I125="Complete","Green",IF($H125="","Amber",IF($H125&lt;'[2]Read Me'!$B$4,"Red",IF($H125-'[2]Read Me'!$B$4&lt;=21,"Amber","Green"))))</f>
        <v>Red</v>
      </c>
      <c r="N125" s="3"/>
      <c r="O125" t="str">
        <f>IF($I125&lt;&gt;"Complete",IF(COUNTIFS($A$4:$A124,$A125,$B$4:$B124,$B125,$I$4:$I124,"&lt;&gt;Complete")=0,$A125&amp;"|"&amp;$B125,""),"")</f>
        <v/>
      </c>
      <c r="P125" t="str">
        <f ca="1">IF($K125="Yes",COUNTIFS($K$4:$K125,"Yes"),"")</f>
        <v/>
      </c>
      <c r="Q125">
        <f t="shared" ca="1" si="6"/>
        <v>0</v>
      </c>
      <c r="R125" t="str">
        <f ca="1">IF($Q125=1,SUM($Q$4:$Q125),"")</f>
        <v/>
      </c>
    </row>
    <row r="126" spans="1:18" ht="22.5" customHeight="1" x14ac:dyDescent="0.3">
      <c r="A126" s="2" t="s">
        <v>232</v>
      </c>
      <c r="B126" s="2" t="s">
        <v>21</v>
      </c>
      <c r="C126" s="3" t="s">
        <v>233</v>
      </c>
      <c r="D126" s="3" t="s">
        <v>242</v>
      </c>
      <c r="E126" s="2"/>
      <c r="F126" s="2"/>
      <c r="G126" s="5">
        <v>45945</v>
      </c>
      <c r="H126" s="5">
        <v>46030</v>
      </c>
      <c r="I126" s="4" t="s">
        <v>31</v>
      </c>
      <c r="J126" s="6">
        <f t="shared" si="4"/>
        <v>85</v>
      </c>
      <c r="K126" s="4" t="str">
        <f t="shared" ca="1" si="5"/>
        <v>-</v>
      </c>
      <c r="L126" s="7" t="str">
        <f>IF(I126="Completed","0",IF($H126="","",$H126-'[2]Read Me'!$B$4))</f>
        <v>0</v>
      </c>
      <c r="M126" s="4" t="str">
        <f>IF($I126="Complete","Green",IF($H126="","Amber",IF($H126&lt;'[2]Read Me'!$B$4,"Red",IF($H126-'[2]Read Me'!$B$4&lt;=21,"Amber","Green"))))</f>
        <v>Red</v>
      </c>
      <c r="N126" s="3"/>
      <c r="O126" t="str">
        <f>IF($I126&lt;&gt;"Complete",IF(COUNTIFS($A$4:$A125,$A126,$B$4:$B125,$B126,$I$4:$I125,"&lt;&gt;Complete")=0,$A126&amp;"|"&amp;$B126,""),"")</f>
        <v/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 t="s">
        <v>232</v>
      </c>
      <c r="B127" s="2" t="s">
        <v>21</v>
      </c>
      <c r="C127" s="3" t="s">
        <v>233</v>
      </c>
      <c r="D127" s="3" t="s">
        <v>35</v>
      </c>
      <c r="E127" s="2"/>
      <c r="F127" s="2"/>
      <c r="G127" s="5">
        <v>45960</v>
      </c>
      <c r="H127" s="5">
        <v>46036</v>
      </c>
      <c r="I127" s="4" t="s">
        <v>31</v>
      </c>
      <c r="J127" s="6">
        <f t="shared" si="4"/>
        <v>76</v>
      </c>
      <c r="K127" s="4" t="str">
        <f t="shared" ca="1" si="5"/>
        <v>-</v>
      </c>
      <c r="L127" s="7" t="str">
        <f>IF(I127="Completed","0",IF($H127="","",$H127-'[2]Read Me'!$B$4))</f>
        <v>0</v>
      </c>
      <c r="M127" s="4" t="str">
        <f>IF($I127="Complete","Green",IF($H127="","Amber",IF($H127&lt;'[2]Read Me'!$B$4,"Red",IF($H127-'[2]Read Me'!$B$4&lt;=21,"Amber","Green"))))</f>
        <v>Red</v>
      </c>
      <c r="N127" s="3"/>
      <c r="O127" t="str">
        <f>IF($I127&lt;&gt;"Complete",IF(COUNTIFS($A$4:$A126,$A127,$B$4:$B126,$B127,$I$4:$I126,"&lt;&gt;Complete")=0,$A127&amp;"|"&amp;$B127,""),"")</f>
        <v/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 t="s">
        <v>232</v>
      </c>
      <c r="B128" s="2" t="s">
        <v>21</v>
      </c>
      <c r="C128" s="3" t="s">
        <v>233</v>
      </c>
      <c r="D128" s="3" t="s">
        <v>16</v>
      </c>
      <c r="E128" s="2"/>
      <c r="F128" s="2"/>
      <c r="G128" s="5">
        <v>45991</v>
      </c>
      <c r="H128" s="5">
        <v>46072</v>
      </c>
      <c r="I128" s="4" t="s">
        <v>31</v>
      </c>
      <c r="J128" s="6">
        <f t="shared" si="4"/>
        <v>81</v>
      </c>
      <c r="K128" s="4" t="str">
        <f t="shared" ca="1" si="5"/>
        <v>-</v>
      </c>
      <c r="L128" s="7" t="str">
        <f>IF(I128="Completed","0",IF($H128="","",$H128-'[2]Read Me'!$B$4))</f>
        <v>0</v>
      </c>
      <c r="M128" s="4" t="str">
        <f>IF($I128="Complete","Green",IF($H128="","Amber",IF($H128&lt;'[2]Read Me'!$B$4,"Red",IF($H128-'[2]Read Me'!$B$4&lt;=21,"Amber","Green"))))</f>
        <v>Red</v>
      </c>
      <c r="N128" s="3"/>
      <c r="O128" t="str">
        <f>IF($I128&lt;&gt;"Complete",IF(COUNTIFS($A$4:$A127,$A128,$B$4:$B127,$B128,$I$4:$I127,"&lt;&gt;Complete")=0,$A128&amp;"|"&amp;$B128,""),"")</f>
        <v/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 t="s">
        <v>232</v>
      </c>
      <c r="B129" s="2" t="s">
        <v>21</v>
      </c>
      <c r="C129" s="3" t="s">
        <v>233</v>
      </c>
      <c r="D129" s="3" t="s">
        <v>37</v>
      </c>
      <c r="E129" s="2"/>
      <c r="F129" s="2"/>
      <c r="G129" s="5">
        <v>46006</v>
      </c>
      <c r="H129" s="5">
        <v>46076</v>
      </c>
      <c r="I129" s="4" t="s">
        <v>31</v>
      </c>
      <c r="J129" s="6">
        <f t="shared" si="4"/>
        <v>70</v>
      </c>
      <c r="K129" s="4" t="str">
        <f t="shared" ca="1" si="5"/>
        <v>-</v>
      </c>
      <c r="L129" s="7" t="str">
        <f>IF(I129="Completed","0",IF($H129="","",$H129-'[2]Read Me'!$B$4))</f>
        <v>0</v>
      </c>
      <c r="M129" s="4" t="str">
        <f>IF($I129="Complete","Green",IF($H129="","Amber",IF($H129&lt;'[2]Read Me'!$B$4,"Red",IF($H129-'[2]Read Me'!$B$4&lt;=21,"Amber","Green"))))</f>
        <v>Red</v>
      </c>
      <c r="N129" s="3"/>
      <c r="O129" t="str">
        <f>IF($I129&lt;&gt;"Complete",IF(COUNTIFS($A$4:$A128,$A129,$B$4:$B128,$B129,$I$4:$I128,"&lt;&gt;Complete")=0,$A129&amp;"|"&amp;$B129,""),"")</f>
        <v/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 t="s">
        <v>232</v>
      </c>
      <c r="B130" s="2" t="s">
        <v>186</v>
      </c>
      <c r="C130" s="3"/>
      <c r="D130" s="3"/>
      <c r="E130" s="2"/>
      <c r="F130" s="2"/>
      <c r="G130" s="5">
        <v>46366</v>
      </c>
      <c r="H130" s="5">
        <v>46090</v>
      </c>
      <c r="I130" s="4"/>
      <c r="J130" s="6">
        <f t="shared" si="4"/>
        <v>-276</v>
      </c>
      <c r="K130" s="4" t="str">
        <f t="shared" ca="1" si="5"/>
        <v/>
      </c>
      <c r="L130" s="7">
        <f>IF(I130="Completed","0",IF($H130="","",$H130-'[2]Read Me'!$B$4))</f>
        <v>-97</v>
      </c>
      <c r="M130" s="4" t="str">
        <f>IF($I130="Complete","Green",IF($H130="","Amber",IF($H130&lt;'[2]Read Me'!$B$4,"Red",IF($H130-'[2]Read Me'!$B$4&lt;=21,"Amber","Green"))))</f>
        <v>Red</v>
      </c>
      <c r="N130" s="3"/>
      <c r="O130" t="str">
        <f>IF($I130&lt;&gt;"Complete",IF(COUNTIFS($A$4:$A129,$A130,$B$4:$B129,$B130,$I$4:$I129,"&lt;&gt;Complete")=0,$A130&amp;"|"&amp;$B130,""),"")</f>
        <v>IRIS 01&amp;02|Plot Fences</v>
      </c>
      <c r="P130" t="str">
        <f ca="1">IF($K130="Yes",COUNTIFS($K$4:$K130,"Yes"),"")</f>
        <v/>
      </c>
      <c r="Q130">
        <f t="shared" ca="1" si="6"/>
        <v>0</v>
      </c>
      <c r="R130" t="str">
        <f ca="1">IF($Q130=1,SUM($Q$4:$Q130),"")</f>
        <v/>
      </c>
    </row>
    <row r="131" spans="1:18" ht="22.5" customHeight="1" x14ac:dyDescent="0.3">
      <c r="A131" s="2" t="s">
        <v>232</v>
      </c>
      <c r="B131" s="2" t="s">
        <v>186</v>
      </c>
      <c r="C131" s="3" t="s">
        <v>186</v>
      </c>
      <c r="D131" s="3" t="s">
        <v>243</v>
      </c>
      <c r="E131" s="2"/>
      <c r="F131" s="2"/>
      <c r="G131" s="5"/>
      <c r="H131" s="5">
        <v>46084</v>
      </c>
      <c r="I131" s="4" t="s">
        <v>31</v>
      </c>
      <c r="J131" s="6" t="str">
        <f t="shared" si="4"/>
        <v/>
      </c>
      <c r="K131" s="4" t="str">
        <f t="shared" ca="1" si="5"/>
        <v>-</v>
      </c>
      <c r="L131" s="7" t="str">
        <f>IF(I131="Completed","0",IF($H131="","",$H131-'[2]Read Me'!$B$4))</f>
        <v>0</v>
      </c>
      <c r="M131" s="4" t="str">
        <f>IF($I131="Complete","Green",IF($H131="","Amber",IF($H131&lt;'[2]Read Me'!$B$4,"Red",IF($H131-'[2]Read Me'!$B$4&lt;=21,"Amber","Green"))))</f>
        <v>Red</v>
      </c>
      <c r="N131" s="3"/>
      <c r="O131" t="str">
        <f>IF($I131&lt;&gt;"Complete",IF(COUNTIFS($A$4:$A130,$A131,$B$4:$B130,$B131,$I$4:$I130,"&lt;&gt;Complete")=0,$A131&amp;"|"&amp;$B131,""),"")</f>
        <v/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 t="s">
        <v>232</v>
      </c>
      <c r="B132" s="2" t="s">
        <v>186</v>
      </c>
      <c r="C132" s="3" t="s">
        <v>186</v>
      </c>
      <c r="D132" s="3" t="s">
        <v>58</v>
      </c>
      <c r="E132" s="2"/>
      <c r="F132" s="2"/>
      <c r="G132" s="5"/>
      <c r="H132" s="5">
        <v>46090</v>
      </c>
      <c r="I132" s="4" t="s">
        <v>31</v>
      </c>
      <c r="J132" s="6" t="str">
        <f t="shared" ref="J132:J195" si="7">IF(OR($G132="",$H132=""),"",$H132-$G132)</f>
        <v/>
      </c>
      <c r="K132" s="4" t="str">
        <f t="shared" ref="K132:K195" ca="1" si="8">IF(C132="","",IF(H132="","",IF($I132="completed","-",IF($H132&gt;TODAY(),"No","Yes"))))</f>
        <v>-</v>
      </c>
      <c r="L132" s="7" t="str">
        <f>IF(I132="Completed","0",IF($H132="","",$H132-'[2]Read Me'!$B$4))</f>
        <v>0</v>
      </c>
      <c r="M132" s="4" t="str">
        <f>IF($I132="Complete","Green",IF($H132="","Amber",IF($H132&lt;'[2]Read Me'!$B$4,"Red",IF($H132-'[2]Read Me'!$B$4&lt;=21,"Amber","Green"))))</f>
        <v>Red</v>
      </c>
      <c r="N132" s="3"/>
      <c r="O132" t="str">
        <f>IF($I132&lt;&gt;"Complete",IF(COUNTIFS($A$4:$A131,$A132,$B$4:$B131,$B132,$I$4:$I131,"&lt;&gt;Complete")=0,$A132&amp;"|"&amp;$B132,""),"")</f>
        <v/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 t="s">
        <v>244</v>
      </c>
      <c r="B133" s="2" t="s">
        <v>62</v>
      </c>
      <c r="C133" s="3"/>
      <c r="D133" s="3"/>
      <c r="E133" s="2"/>
      <c r="F133" s="2"/>
      <c r="G133" s="5">
        <v>46322</v>
      </c>
      <c r="H133" s="5">
        <v>46111</v>
      </c>
      <c r="I133" s="4"/>
      <c r="J133" s="6">
        <f t="shared" si="7"/>
        <v>-211</v>
      </c>
      <c r="K133" s="4" t="str">
        <f t="shared" ca="1" si="8"/>
        <v/>
      </c>
      <c r="L133" s="7">
        <f>IF(I133="Completed","0",IF($H133="","",$H133-'[2]Read Me'!$B$4))</f>
        <v>-76</v>
      </c>
      <c r="M133" s="4" t="str">
        <f>IF($I133="Complete","Green",IF($H133="","Amber",IF($H133&lt;'[2]Read Me'!$B$4,"Red",IF($H133-'[2]Read Me'!$B$4&lt;=21,"Amber","Green"))))</f>
        <v>Red</v>
      </c>
      <c r="N133" s="3"/>
      <c r="O133" t="str">
        <f>IF($I133&lt;&gt;"Complete",IF(COUNTIFS($A$4:$A132,$A133,$B$4:$B132,$B133,$I$4:$I132,"&lt;&gt;Complete")=0,$A133&amp;"|"&amp;$B133,""),"")</f>
        <v>IRIS 03|Buildings</v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 t="s">
        <v>244</v>
      </c>
      <c r="B134" s="2" t="s">
        <v>62</v>
      </c>
      <c r="C134" s="3" t="s">
        <v>245</v>
      </c>
      <c r="D134" s="3" t="s">
        <v>246</v>
      </c>
      <c r="E134" s="2"/>
      <c r="F134" s="2"/>
      <c r="G134" s="5">
        <v>46287</v>
      </c>
      <c r="H134" s="5">
        <v>45988</v>
      </c>
      <c r="I134" s="4" t="s">
        <v>31</v>
      </c>
      <c r="J134" s="6">
        <f t="shared" si="7"/>
        <v>-299</v>
      </c>
      <c r="K134" s="4" t="str">
        <f t="shared" ca="1" si="8"/>
        <v>-</v>
      </c>
      <c r="L134" s="7" t="str">
        <f>IF(I134="Completed","0",IF($H134="","",$H134-'[2]Read Me'!$B$4))</f>
        <v>0</v>
      </c>
      <c r="M134" s="4" t="str">
        <f>IF($I134="Complete","Green",IF($H134="","Amber",IF($H134&lt;'[2]Read Me'!$B$4,"Red",IF($H134-'[2]Read Me'!$B$4&lt;=21,"Amber","Green"))))</f>
        <v>Red</v>
      </c>
      <c r="N134" s="3"/>
      <c r="O134" t="str">
        <f>IF($I134&lt;&gt;"Complete",IF(COUNTIFS($A$4:$A133,$A134,$B$4:$B133,$B134,$I$4:$I133,"&lt;&gt;Complete")=0,$A134&amp;"|"&amp;$B134,""),"")</f>
        <v/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 t="s">
        <v>244</v>
      </c>
      <c r="B135" s="2" t="s">
        <v>62</v>
      </c>
      <c r="C135" s="3" t="s">
        <v>245</v>
      </c>
      <c r="D135" s="3" t="s">
        <v>58</v>
      </c>
      <c r="E135" s="2"/>
      <c r="F135" s="2"/>
      <c r="G135" s="5">
        <v>46294</v>
      </c>
      <c r="H135" s="5">
        <v>45995</v>
      </c>
      <c r="I135" s="4" t="s">
        <v>31</v>
      </c>
      <c r="J135" s="6">
        <f t="shared" si="7"/>
        <v>-299</v>
      </c>
      <c r="K135" s="4" t="str">
        <f t="shared" ca="1" si="8"/>
        <v>-</v>
      </c>
      <c r="L135" s="7" t="str">
        <f>IF(I135="Completed","0",IF($H135="","",$H135-'[2]Read Me'!$B$4))</f>
        <v>0</v>
      </c>
      <c r="M135" s="4" t="str">
        <f>IF($I135="Complete","Green",IF($H135="","Amber",IF($H135&lt;'[2]Read Me'!$B$4,"Red",IF($H135-'[2]Read Me'!$B$4&lt;=21,"Amber","Green"))))</f>
        <v>Red</v>
      </c>
      <c r="N135" s="3"/>
      <c r="O135" t="str">
        <f>IF($I135&lt;&gt;"Complete",IF(COUNTIFS($A$4:$A134,$A135,$B$4:$B134,$B135,$I$4:$I134,"&lt;&gt;Complete")=0,$A135&amp;"|"&amp;$B135,""),"")</f>
        <v/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 t="s">
        <v>244</v>
      </c>
      <c r="B136" s="2" t="s">
        <v>62</v>
      </c>
      <c r="C136" s="3" t="s">
        <v>245</v>
      </c>
      <c r="D136" s="3" t="s">
        <v>247</v>
      </c>
      <c r="E136" s="2"/>
      <c r="F136" s="2"/>
      <c r="G136" s="5">
        <v>46315</v>
      </c>
      <c r="H136" s="5">
        <v>46096</v>
      </c>
      <c r="I136" s="4" t="s">
        <v>31</v>
      </c>
      <c r="J136" s="6">
        <f t="shared" si="7"/>
        <v>-219</v>
      </c>
      <c r="K136" s="4" t="str">
        <f t="shared" ca="1" si="8"/>
        <v>-</v>
      </c>
      <c r="L136" s="7" t="str">
        <f>IF(I136="Completed","0",IF($H136="","",$H136-'[2]Read Me'!$B$4))</f>
        <v>0</v>
      </c>
      <c r="M136" s="4" t="str">
        <f>IF($I136="Complete","Green",IF($H136="","Amber",IF($H136&lt;'[2]Read Me'!$B$4,"Red",IF($H136-'[2]Read Me'!$B$4&lt;=21,"Amber","Green"))))</f>
        <v>Red</v>
      </c>
      <c r="N136" s="3"/>
      <c r="O136" t="str">
        <f>IF($I136&lt;&gt;"Complete",IF(COUNTIFS($A$4:$A135,$A136,$B$4:$B135,$B136,$I$4:$I135,"&lt;&gt;Complete")=0,$A136&amp;"|"&amp;$B136,""),"")</f>
        <v/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 t="s">
        <v>244</v>
      </c>
      <c r="B137" s="2" t="s">
        <v>62</v>
      </c>
      <c r="C137" s="3" t="s">
        <v>245</v>
      </c>
      <c r="D137" s="3" t="s">
        <v>58</v>
      </c>
      <c r="E137" s="2"/>
      <c r="F137" s="2"/>
      <c r="G137" s="5">
        <v>46322</v>
      </c>
      <c r="H137" s="5">
        <v>46111</v>
      </c>
      <c r="I137" s="4" t="s">
        <v>31</v>
      </c>
      <c r="J137" s="6">
        <f t="shared" si="7"/>
        <v>-211</v>
      </c>
      <c r="K137" s="4" t="str">
        <f t="shared" ca="1" si="8"/>
        <v>-</v>
      </c>
      <c r="L137" s="7" t="str">
        <f>IF(I137="Completed","0",IF($H137="","",$H137-'[2]Read Me'!$B$4))</f>
        <v>0</v>
      </c>
      <c r="M137" s="4" t="str">
        <f>IF($I137="Complete","Green",IF($H137="","Amber",IF($H137&lt;'[2]Read Me'!$B$4,"Red",IF($H137-'[2]Read Me'!$B$4&lt;=21,"Amber","Green"))))</f>
        <v>Red</v>
      </c>
      <c r="N137" s="3"/>
      <c r="O137" t="str">
        <f>IF($I137&lt;&gt;"Complete",IF(COUNTIFS($A$4:$A136,$A137,$B$4:$B136,$B137,$I$4:$I136,"&lt;&gt;Complete")=0,$A137&amp;"|"&amp;$B137,""),"")</f>
        <v/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 t="s">
        <v>244</v>
      </c>
      <c r="B138" s="2" t="s">
        <v>62</v>
      </c>
      <c r="C138" s="3"/>
      <c r="D138" s="3"/>
      <c r="E138" s="2"/>
      <c r="F138" s="2"/>
      <c r="G138" s="5">
        <v>46366</v>
      </c>
      <c r="H138" s="5">
        <v>46160</v>
      </c>
      <c r="I138" s="4"/>
      <c r="J138" s="6">
        <f t="shared" si="7"/>
        <v>-206</v>
      </c>
      <c r="K138" s="4" t="str">
        <f t="shared" ca="1" si="8"/>
        <v/>
      </c>
      <c r="L138" s="7">
        <f>IF(I138="Completed","0",IF($H138="","",$H138-'[2]Read Me'!$B$4))</f>
        <v>-27</v>
      </c>
      <c r="M138" s="4" t="str">
        <f>IF($I138="Complete","Green",IF($H138="","Amber",IF($H138&lt;'[2]Read Me'!$B$4,"Red",IF($H138-'[2]Read Me'!$B$4&lt;=21,"Amber","Green"))))</f>
        <v>Red</v>
      </c>
      <c r="N138" s="3"/>
      <c r="O138" t="str">
        <f>IF($I138&lt;&gt;"Complete",IF(COUNTIFS($A$4:$A137,$A138,$B$4:$B137,$B138,$I$4:$I137,"&lt;&gt;Complete")=0,$A138&amp;"|"&amp;$B138,""),"")</f>
        <v/>
      </c>
      <c r="P138" t="str">
        <f ca="1">IF($K138="Yes",COUNTIFS($K$4:$K138,"Yes"),"")</f>
        <v/>
      </c>
      <c r="Q138">
        <f t="shared" ca="1" si="9"/>
        <v>0</v>
      </c>
      <c r="R138" t="str">
        <f ca="1">IF($Q138=1,SUM($Q$4:$Q138),"")</f>
        <v/>
      </c>
    </row>
    <row r="139" spans="1:18" ht="22.5" customHeight="1" x14ac:dyDescent="0.3">
      <c r="A139" s="2" t="s">
        <v>244</v>
      </c>
      <c r="B139" s="2" t="s">
        <v>62</v>
      </c>
      <c r="C139" s="3" t="s">
        <v>248</v>
      </c>
      <c r="D139" s="3" t="s">
        <v>249</v>
      </c>
      <c r="E139" s="2"/>
      <c r="F139" s="2" t="s">
        <v>166</v>
      </c>
      <c r="G139" s="5"/>
      <c r="H139" s="5">
        <v>46126</v>
      </c>
      <c r="I139" s="4" t="s">
        <v>31</v>
      </c>
      <c r="J139" s="6" t="str">
        <f t="shared" si="7"/>
        <v/>
      </c>
      <c r="K139" s="4" t="str">
        <f t="shared" ca="1" si="8"/>
        <v>-</v>
      </c>
      <c r="L139" s="7" t="str">
        <f>IF(I139="Completed","0",IF($H139="","",$H139-'[2]Read Me'!$B$4))</f>
        <v>0</v>
      </c>
      <c r="M139" s="4" t="str">
        <f>IF($I139="Complete","Green",IF($H139="","Amber",IF($H139&lt;'[2]Read Me'!$B$4,"Red",IF($H139-'[2]Read Me'!$B$4&lt;=21,"Amber","Green"))))</f>
        <v>Red</v>
      </c>
      <c r="N139" s="3"/>
      <c r="O139" t="str">
        <f>IF($I139&lt;&gt;"Complete",IF(COUNTIFS($A$4:$A138,$A139,$B$4:$B138,$B139,$I$4:$I138,"&lt;&gt;Complete")=0,$A139&amp;"|"&amp;$B139,""),"")</f>
        <v/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 t="s">
        <v>244</v>
      </c>
      <c r="B140" s="2" t="s">
        <v>62</v>
      </c>
      <c r="C140" s="3" t="s">
        <v>248</v>
      </c>
      <c r="D140" s="3" t="s">
        <v>250</v>
      </c>
      <c r="E140" s="2" t="s">
        <v>165</v>
      </c>
      <c r="F140" s="2" t="s">
        <v>166</v>
      </c>
      <c r="G140" s="5">
        <v>46336</v>
      </c>
      <c r="H140" s="5">
        <v>46139</v>
      </c>
      <c r="I140" s="4" t="s">
        <v>31</v>
      </c>
      <c r="J140" s="6">
        <f t="shared" si="7"/>
        <v>-197</v>
      </c>
      <c r="K140" s="4" t="str">
        <f t="shared" ca="1" si="8"/>
        <v>-</v>
      </c>
      <c r="L140" s="7" t="str">
        <f>IF(I140="Completed","0",IF($H140="","",$H140-'[2]Read Me'!$B$4))</f>
        <v>0</v>
      </c>
      <c r="M140" s="4" t="str">
        <f>IF($I140="Complete","Green",IF($H140="","Amber",IF($H140&lt;'[2]Read Me'!$B$4,"Red",IF($H140-'[2]Read Me'!$B$4&lt;=21,"Amber","Green"))))</f>
        <v>Red</v>
      </c>
      <c r="N140" s="3"/>
      <c r="O140" t="str">
        <f>IF($I140&lt;&gt;"Complete",IF(COUNTIFS($A$4:$A139,$A140,$B$4:$B139,$B140,$I$4:$I139,"&lt;&gt;Complete")=0,$A140&amp;"|"&amp;$B140,""),"")</f>
        <v/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 t="s">
        <v>244</v>
      </c>
      <c r="B141" s="2" t="s">
        <v>62</v>
      </c>
      <c r="C141" s="3" t="s">
        <v>248</v>
      </c>
      <c r="D141" s="3" t="s">
        <v>251</v>
      </c>
      <c r="E141" s="2" t="s">
        <v>165</v>
      </c>
      <c r="F141" s="2" t="s">
        <v>166</v>
      </c>
      <c r="G141" s="5">
        <v>46358</v>
      </c>
      <c r="H141" s="5">
        <v>46153</v>
      </c>
      <c r="I141" s="4" t="s">
        <v>31</v>
      </c>
      <c r="J141" s="6">
        <f t="shared" si="7"/>
        <v>-205</v>
      </c>
      <c r="K141" s="4" t="str">
        <f t="shared" ca="1" si="8"/>
        <v>-</v>
      </c>
      <c r="L141" s="7" t="str">
        <f>IF(I141="Completed","0",IF($H141="","",$H141-'[2]Read Me'!$B$4))</f>
        <v>0</v>
      </c>
      <c r="M141" s="4" t="str">
        <f>IF($I141="Complete","Green",IF($H141="","Amber",IF($H141&lt;'[2]Read Me'!$B$4,"Red",IF($H141-'[2]Read Me'!$B$4&lt;=21,"Amber","Green"))))</f>
        <v>Red</v>
      </c>
      <c r="N141" s="3"/>
      <c r="O141" t="str">
        <f>IF($I141&lt;&gt;"Complete",IF(COUNTIFS($A$4:$A140,$A141,$B$4:$B140,$B141,$I$4:$I140,"&lt;&gt;Complete")=0,$A141&amp;"|"&amp;$B141,""),"")</f>
        <v/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 t="s">
        <v>244</v>
      </c>
      <c r="B142" s="2" t="s">
        <v>62</v>
      </c>
      <c r="C142" s="3" t="s">
        <v>248</v>
      </c>
      <c r="D142" s="3" t="s">
        <v>210</v>
      </c>
      <c r="E142" s="2" t="s">
        <v>165</v>
      </c>
      <c r="F142" s="2"/>
      <c r="G142" s="5">
        <v>46366</v>
      </c>
      <c r="H142" s="5">
        <v>46160</v>
      </c>
      <c r="I142" s="4" t="s">
        <v>31</v>
      </c>
      <c r="J142" s="6">
        <f t="shared" si="7"/>
        <v>-206</v>
      </c>
      <c r="K142" s="4" t="str">
        <f t="shared" ca="1" si="8"/>
        <v>-</v>
      </c>
      <c r="L142" s="7" t="str">
        <f>IF(I142="Completed","0",IF($H142="","",$H142-'[2]Read Me'!$B$4))</f>
        <v>0</v>
      </c>
      <c r="M142" s="4" t="str">
        <f>IF($I142="Complete","Green",IF($H142="","Amber",IF($H142&lt;'[2]Read Me'!$B$4,"Red",IF($H142-'[2]Read Me'!$B$4&lt;=21,"Amber","Green"))))</f>
        <v>Red</v>
      </c>
      <c r="N142" s="3"/>
      <c r="O142" t="str">
        <f>IF($I142&lt;&gt;"Complete",IF(COUNTIFS($A$4:$A141,$A142,$B$4:$B141,$B142,$I$4:$I141,"&lt;&gt;Complete")=0,$A142&amp;"|"&amp;$B142,""),"")</f>
        <v/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 t="s">
        <v>252</v>
      </c>
      <c r="B143" s="2" t="s">
        <v>62</v>
      </c>
      <c r="C143" s="3"/>
      <c r="D143" s="3"/>
      <c r="E143" s="2"/>
      <c r="F143" s="2"/>
      <c r="G143" s="5">
        <v>46417</v>
      </c>
      <c r="H143" s="5">
        <v>46229.7</v>
      </c>
      <c r="I143" s="4"/>
      <c r="J143" s="6">
        <f t="shared" si="7"/>
        <v>-187.30000000000291</v>
      </c>
      <c r="K143" s="4" t="str">
        <f t="shared" ca="1" si="8"/>
        <v/>
      </c>
      <c r="L143" s="7">
        <f>IF(I143="Completed","0",IF($H143="","",$H143-'[2]Read Me'!$B$4))</f>
        <v>42.69999999999709</v>
      </c>
      <c r="M143" s="4" t="str">
        <f>IF($I143="Complete","Green",IF($H143="","Amber",IF($H143&lt;'[2]Read Me'!$B$4,"Red",IF($H143-'[2]Read Me'!$B$4&lt;=21,"Amber","Green"))))</f>
        <v>Green</v>
      </c>
      <c r="N143" s="3"/>
      <c r="O143" t="str">
        <f>IF($I143&lt;&gt;"Complete",IF(COUNTIFS($A$4:$A142,$A143,$B$4:$B142,$B143,$I$4:$I142,"&lt;&gt;Complete")=0,$A143&amp;"|"&amp;$B143,""),"")</f>
        <v>IRIS 03 B.01|Buildings</v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 t="s">
        <v>252</v>
      </c>
      <c r="B144" s="2" t="s">
        <v>62</v>
      </c>
      <c r="C144" s="3" t="s">
        <v>253</v>
      </c>
      <c r="D144" s="3" t="s">
        <v>254</v>
      </c>
      <c r="E144" s="2" t="s">
        <v>165</v>
      </c>
      <c r="F144" s="2" t="s">
        <v>166</v>
      </c>
      <c r="G144" s="5">
        <v>46401</v>
      </c>
      <c r="H144" s="5">
        <v>46201.3</v>
      </c>
      <c r="I144" s="4" t="s">
        <v>46</v>
      </c>
      <c r="J144" s="6">
        <f t="shared" si="7"/>
        <v>-199.69999999999709</v>
      </c>
      <c r="K144" s="4" t="str">
        <f t="shared" ca="1" si="8"/>
        <v>Yes</v>
      </c>
      <c r="L144" s="7">
        <f>IF(I144="Completed","0",IF($H144="","",$H144-'[2]Read Me'!$B$4))</f>
        <v>14.30000000000291</v>
      </c>
      <c r="M144" s="4" t="str">
        <f>IF($I144="Complete","Green",IF($H144="","Amber",IF($H144&lt;'[2]Read Me'!$B$4,"Red",IF($H144-'[2]Read Me'!$B$4&lt;=21,"Amber","Green"))))</f>
        <v>Amber</v>
      </c>
      <c r="N144" s="3"/>
      <c r="O144" t="str">
        <f>IF($I144&lt;&gt;"Complete",IF(COUNTIFS($A$4:$A143,$A144,$B$4:$B143,$B144,$I$4:$I143,"&lt;&gt;Complete")=0,$A144&amp;"|"&amp;$B144,""),"")</f>
        <v/>
      </c>
      <c r="P144">
        <f ca="1">IF($K144="Yes",COUNTIFS($K$4:$K144,"Yes"),"")</f>
        <v>15</v>
      </c>
      <c r="Q144">
        <f t="shared" ca="1" si="9"/>
        <v>1</v>
      </c>
      <c r="R144">
        <f ca="1">IF($Q144=1,SUM($Q$4:$Q144),"")</f>
        <v>15</v>
      </c>
    </row>
    <row r="145" spans="1:18" ht="22.5" customHeight="1" x14ac:dyDescent="0.3">
      <c r="A145" s="2" t="s">
        <v>252</v>
      </c>
      <c r="B145" s="2" t="s">
        <v>62</v>
      </c>
      <c r="C145" s="3" t="s">
        <v>253</v>
      </c>
      <c r="D145" s="3" t="s">
        <v>210</v>
      </c>
      <c r="E145" s="2" t="s">
        <v>165</v>
      </c>
      <c r="F145" s="2"/>
      <c r="G145" s="5">
        <v>46410</v>
      </c>
      <c r="H145" s="5">
        <v>46208.3</v>
      </c>
      <c r="I145" s="4" t="s">
        <v>17</v>
      </c>
      <c r="J145" s="6">
        <f t="shared" si="7"/>
        <v>-201.69999999999709</v>
      </c>
      <c r="K145" s="4" t="str">
        <f t="shared" ca="1" si="8"/>
        <v>No</v>
      </c>
      <c r="L145" s="7">
        <f>IF(I145="Completed","0",IF($H145="","",$H145-'[2]Read Me'!$B$4))</f>
        <v>21.30000000000291</v>
      </c>
      <c r="M145" s="4" t="str">
        <f>IF($I145="Complete","Green",IF($H145="","Amber",IF($H145&lt;'[2]Read Me'!$B$4,"Red",IF($H145-'[2]Read Me'!$B$4&lt;=21,"Amber","Green"))))</f>
        <v>Green</v>
      </c>
      <c r="N145" s="3"/>
      <c r="O145" t="str">
        <f>IF($I145&lt;&gt;"Complete",IF(COUNTIFS($A$4:$A144,$A145,$B$4:$B144,$B145,$I$4:$I144,"&lt;&gt;Complete")=0,$A145&amp;"|"&amp;$B145,""),"")</f>
        <v/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 t="s">
        <v>252</v>
      </c>
      <c r="B146" s="2" t="s">
        <v>62</v>
      </c>
      <c r="C146" s="3" t="s">
        <v>253</v>
      </c>
      <c r="D146" s="3" t="s">
        <v>255</v>
      </c>
      <c r="E146" s="2"/>
      <c r="F146" s="2" t="s">
        <v>166</v>
      </c>
      <c r="G146" s="5"/>
      <c r="H146" s="5">
        <v>46212.2</v>
      </c>
      <c r="I146" s="4" t="s">
        <v>17</v>
      </c>
      <c r="J146" s="6" t="str">
        <f t="shared" si="7"/>
        <v/>
      </c>
      <c r="K146" s="4" t="str">
        <f t="shared" ca="1" si="8"/>
        <v>No</v>
      </c>
      <c r="L146" s="7">
        <f>IF(I146="Completed","0",IF($H146="","",$H146-'[2]Read Me'!$B$4))</f>
        <v>25.19999999999709</v>
      </c>
      <c r="M146" s="4" t="str">
        <f>IF($I146="Complete","Green",IF($H146="","Amber",IF($H146&lt;'[2]Read Me'!$B$4,"Red",IF($H146-'[2]Read Me'!$B$4&lt;=21,"Amber","Green"))))</f>
        <v>Green</v>
      </c>
      <c r="N146" s="3"/>
      <c r="O146" t="str">
        <f>IF($I146&lt;&gt;"Complete",IF(COUNTIFS($A$4:$A145,$A146,$B$4:$B145,$B146,$I$4:$I145,"&lt;&gt;Complete")=0,$A146&amp;"|"&amp;$B146,""),"")</f>
        <v/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 t="s">
        <v>252</v>
      </c>
      <c r="B147" s="2" t="s">
        <v>62</v>
      </c>
      <c r="C147" s="3" t="s">
        <v>253</v>
      </c>
      <c r="D147" s="3" t="s">
        <v>210</v>
      </c>
      <c r="E147" s="2"/>
      <c r="F147" s="2"/>
      <c r="G147" s="5"/>
      <c r="H147" s="5">
        <v>46229.7</v>
      </c>
      <c r="I147" s="4" t="s">
        <v>17</v>
      </c>
      <c r="J147" s="6" t="str">
        <f t="shared" si="7"/>
        <v/>
      </c>
      <c r="K147" s="4" t="str">
        <f t="shared" ca="1" si="8"/>
        <v>No</v>
      </c>
      <c r="L147" s="7">
        <f>IF(I147="Completed","0",IF($H147="","",$H147-'[2]Read Me'!$B$4))</f>
        <v>42.69999999999709</v>
      </c>
      <c r="M147" s="4" t="str">
        <f>IF($I147="Complete","Green",IF($H147="","Amber",IF($H147&lt;'[2]Read Me'!$B$4,"Red",IF($H147-'[2]Read Me'!$B$4&lt;=21,"Amber","Green"))))</f>
        <v>Green</v>
      </c>
      <c r="N147" s="3"/>
      <c r="O147" t="str">
        <f>IF($I147&lt;&gt;"Complete",IF(COUNTIFS($A$4:$A146,$A147,$B$4:$B146,$B147,$I$4:$I146,"&lt;&gt;Complete")=0,$A147&amp;"|"&amp;$B147,""),"")</f>
        <v/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 t="s">
        <v>252</v>
      </c>
      <c r="B148" s="2" t="s">
        <v>62</v>
      </c>
      <c r="C148" s="3" t="s">
        <v>253</v>
      </c>
      <c r="D148" s="3" t="s">
        <v>183</v>
      </c>
      <c r="E148" s="2" t="s">
        <v>184</v>
      </c>
      <c r="F148" s="2"/>
      <c r="G148" s="5">
        <v>46417</v>
      </c>
      <c r="H148" s="5">
        <v>46229.2</v>
      </c>
      <c r="I148" s="4" t="s">
        <v>17</v>
      </c>
      <c r="J148" s="6">
        <f t="shared" si="7"/>
        <v>-187.80000000000291</v>
      </c>
      <c r="K148" s="4" t="str">
        <f t="shared" ca="1" si="8"/>
        <v>No</v>
      </c>
      <c r="L148" s="7">
        <f>IF(I148="Completed","0",IF($H148="","",$H148-'[2]Read Me'!$B$4))</f>
        <v>42.19999999999709</v>
      </c>
      <c r="M148" s="4" t="str">
        <f>IF($I148="Complete","Green",IF($H148="","Amber",IF($H148&lt;'[2]Read Me'!$B$4,"Red",IF($H148-'[2]Read Me'!$B$4&lt;=21,"Amber","Green"))))</f>
        <v>Green</v>
      </c>
      <c r="N148" s="3"/>
      <c r="O148" t="str">
        <f>IF($I148&lt;&gt;"Complete",IF(COUNTIFS($A$4:$A147,$A148,$B$4:$B147,$B148,$I$4:$I147,"&lt;&gt;Complete")=0,$A148&amp;"|"&amp;$B148,""),"")</f>
        <v/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 t="s">
        <v>252</v>
      </c>
      <c r="B149" s="2" t="s">
        <v>62</v>
      </c>
      <c r="C149" s="3"/>
      <c r="D149" s="3"/>
      <c r="E149" s="2"/>
      <c r="F149" s="2"/>
      <c r="G149" s="5">
        <v>46531</v>
      </c>
      <c r="H149" s="5">
        <v>46337.1</v>
      </c>
      <c r="I149" s="4"/>
      <c r="J149" s="6">
        <f t="shared" si="7"/>
        <v>-193.90000000000146</v>
      </c>
      <c r="K149" s="4" t="str">
        <f t="shared" ca="1" si="8"/>
        <v/>
      </c>
      <c r="L149" s="7">
        <f>IF(I149="Completed","0",IF($H149="","",$H149-'[2]Read Me'!$B$4))</f>
        <v>150.09999999999854</v>
      </c>
      <c r="M149" s="4" t="str">
        <f>IF($I149="Complete","Green",IF($H149="","Amber",IF($H149&lt;'[2]Read Me'!$B$4,"Red",IF($H149-'[2]Read Me'!$B$4&lt;=21,"Amber","Green"))))</f>
        <v>Green</v>
      </c>
      <c r="N149" s="3"/>
      <c r="O149" t="str">
        <f>IF($I149&lt;&gt;"Complete",IF(COUNTIFS($A$4:$A148,$A149,$B$4:$B148,$B149,$I$4:$I148,"&lt;&gt;Complete")=0,$A149&amp;"|"&amp;$B149,""),"")</f>
        <v/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 t="s">
        <v>252</v>
      </c>
      <c r="B150" s="2" t="s">
        <v>62</v>
      </c>
      <c r="C150" s="3" t="s">
        <v>256</v>
      </c>
      <c r="D150" s="3" t="s">
        <v>14</v>
      </c>
      <c r="E150" s="2" t="s">
        <v>165</v>
      </c>
      <c r="F150" s="2" t="s">
        <v>166</v>
      </c>
      <c r="G150" s="5">
        <v>46447</v>
      </c>
      <c r="H150" s="5">
        <v>46264.7</v>
      </c>
      <c r="I150" s="4" t="s">
        <v>17</v>
      </c>
      <c r="J150" s="6">
        <f t="shared" si="7"/>
        <v>-182.30000000000291</v>
      </c>
      <c r="K150" s="4" t="str">
        <f t="shared" ca="1" si="8"/>
        <v>No</v>
      </c>
      <c r="L150" s="7">
        <f>IF(I150="Completed","0",IF($H150="","",$H150-'[2]Read Me'!$B$4))</f>
        <v>77.69999999999709</v>
      </c>
      <c r="M150" s="4" t="str">
        <f>IF($I150="Complete","Green",IF($H150="","Amber",IF($H150&lt;'[2]Read Me'!$B$4,"Red",IF($H150-'[2]Read Me'!$B$4&lt;=21,"Amber","Green"))))</f>
        <v>Green</v>
      </c>
      <c r="N150" s="3"/>
      <c r="O150" t="str">
        <f>IF($I150&lt;&gt;"Complete",IF(COUNTIFS($A$4:$A149,$A150,$B$4:$B149,$B150,$I$4:$I149,"&lt;&gt;Complete")=0,$A150&amp;"|"&amp;$B150,""),"")</f>
        <v/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 t="s">
        <v>252</v>
      </c>
      <c r="B151" s="2" t="s">
        <v>62</v>
      </c>
      <c r="C151" s="3" t="s">
        <v>256</v>
      </c>
      <c r="D151" s="3" t="s">
        <v>210</v>
      </c>
      <c r="E151" s="2" t="s">
        <v>165</v>
      </c>
      <c r="F151" s="2"/>
      <c r="G151" s="5">
        <v>46455</v>
      </c>
      <c r="H151" s="5">
        <v>46271.7</v>
      </c>
      <c r="I151" s="4" t="s">
        <v>17</v>
      </c>
      <c r="J151" s="6">
        <f t="shared" si="7"/>
        <v>-183.30000000000291</v>
      </c>
      <c r="K151" s="4" t="str">
        <f t="shared" ca="1" si="8"/>
        <v>No</v>
      </c>
      <c r="L151" s="7">
        <f>IF(I151="Completed","0",IF($H151="","",$H151-'[2]Read Me'!$B$4))</f>
        <v>84.69999999999709</v>
      </c>
      <c r="M151" s="4" t="str">
        <f>IF($I151="Complete","Green",IF($H151="","Amber",IF($H151&lt;'[2]Read Me'!$B$4,"Red",IF($H151-'[2]Read Me'!$B$4&lt;=21,"Amber","Green"))))</f>
        <v>Green</v>
      </c>
      <c r="N151" s="3"/>
      <c r="O151" t="str">
        <f>IF($I151&lt;&gt;"Complete",IF(COUNTIFS($A$4:$A150,$A151,$B$4:$B150,$B151,$I$4:$I150,"&lt;&gt;Complete")=0,$A151&amp;"|"&amp;$B151,""),"")</f>
        <v/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 t="s">
        <v>252</v>
      </c>
      <c r="B152" s="2" t="s">
        <v>62</v>
      </c>
      <c r="C152" s="3" t="s">
        <v>256</v>
      </c>
      <c r="D152" s="3" t="s">
        <v>257</v>
      </c>
      <c r="E152" s="2" t="s">
        <v>165</v>
      </c>
      <c r="F152" s="2" t="s">
        <v>166</v>
      </c>
      <c r="G152" s="5">
        <v>46484</v>
      </c>
      <c r="H152" s="5">
        <v>46299.7</v>
      </c>
      <c r="I152" s="4" t="s">
        <v>17</v>
      </c>
      <c r="J152" s="6">
        <f t="shared" si="7"/>
        <v>-184.30000000000291</v>
      </c>
      <c r="K152" s="4" t="str">
        <f t="shared" ca="1" si="8"/>
        <v>No</v>
      </c>
      <c r="L152" s="7">
        <f>IF(I152="Completed","0",IF($H152="","",$H152-'[2]Read Me'!$B$4))</f>
        <v>112.69999999999709</v>
      </c>
      <c r="M152" s="4" t="str">
        <f>IF($I152="Complete","Green",IF($H152="","Amber",IF($H152&lt;'[2]Read Me'!$B$4,"Red",IF($H152-'[2]Read Me'!$B$4&lt;=21,"Amber","Green"))))</f>
        <v>Green</v>
      </c>
      <c r="N152" s="3"/>
      <c r="O152" t="str">
        <f>IF($I152&lt;&gt;"Complete",IF(COUNTIFS($A$4:$A151,$A152,$B$4:$B151,$B152,$I$4:$I151,"&lt;&gt;Complete")=0,$A152&amp;"|"&amp;$B152,""),"")</f>
        <v/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 t="s">
        <v>252</v>
      </c>
      <c r="B153" s="2" t="s">
        <v>62</v>
      </c>
      <c r="C153" s="3" t="s">
        <v>256</v>
      </c>
      <c r="D153" s="3" t="s">
        <v>210</v>
      </c>
      <c r="E153" s="2" t="s">
        <v>165</v>
      </c>
      <c r="F153" s="2"/>
      <c r="G153" s="5">
        <v>46492</v>
      </c>
      <c r="H153" s="5">
        <v>46306.7</v>
      </c>
      <c r="I153" s="4" t="s">
        <v>17</v>
      </c>
      <c r="J153" s="6">
        <f t="shared" si="7"/>
        <v>-185.30000000000291</v>
      </c>
      <c r="K153" s="4" t="str">
        <f t="shared" ca="1" si="8"/>
        <v>No</v>
      </c>
      <c r="L153" s="7">
        <f>IF(I153="Completed","0",IF($H153="","",$H153-'[2]Read Me'!$B$4))</f>
        <v>119.69999999999709</v>
      </c>
      <c r="M153" s="4" t="str">
        <f>IF($I153="Complete","Green",IF($H153="","Amber",IF($H153&lt;'[2]Read Me'!$B$4,"Red",IF($H153-'[2]Read Me'!$B$4&lt;=21,"Amber","Green"))))</f>
        <v>Green</v>
      </c>
      <c r="N153" s="3"/>
      <c r="O153" t="str">
        <f>IF($I153&lt;&gt;"Complete",IF(COUNTIFS($A$4:$A152,$A153,$B$4:$B152,$B153,$I$4:$I152,"&lt;&gt;Complete")=0,$A153&amp;"|"&amp;$B153,""),"")</f>
        <v/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 t="s">
        <v>252</v>
      </c>
      <c r="B154" s="2" t="s">
        <v>62</v>
      </c>
      <c r="C154" s="3" t="s">
        <v>256</v>
      </c>
      <c r="D154" s="3" t="s">
        <v>183</v>
      </c>
      <c r="E154" s="2" t="s">
        <v>184</v>
      </c>
      <c r="F154" s="2"/>
      <c r="G154" s="5">
        <v>46499</v>
      </c>
      <c r="H154" s="5">
        <v>46314.7</v>
      </c>
      <c r="I154" s="4" t="s">
        <v>17</v>
      </c>
      <c r="J154" s="6">
        <f t="shared" si="7"/>
        <v>-184.30000000000291</v>
      </c>
      <c r="K154" s="4" t="str">
        <f t="shared" ca="1" si="8"/>
        <v>No</v>
      </c>
      <c r="L154" s="7">
        <f>IF(I154="Completed","0",IF($H154="","",$H154-'[2]Read Me'!$B$4))</f>
        <v>127.69999999999709</v>
      </c>
      <c r="M154" s="4" t="str">
        <f>IF($I154="Complete","Green",IF($H154="","Amber",IF($H154&lt;'[2]Read Me'!$B$4,"Red",IF($H154-'[2]Read Me'!$B$4&lt;=21,"Amber","Green"))))</f>
        <v>Green</v>
      </c>
      <c r="N154" s="3"/>
      <c r="O154" t="str">
        <f>IF($I154&lt;&gt;"Complete",IF(COUNTIFS($A$4:$A153,$A154,$B$4:$B153,$B154,$I$4:$I153,"&lt;&gt;Complete")=0,$A154&amp;"|"&amp;$B154,""),"")</f>
        <v/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 t="s">
        <v>252</v>
      </c>
      <c r="B155" s="2" t="s">
        <v>62</v>
      </c>
      <c r="C155" s="3" t="s">
        <v>256</v>
      </c>
      <c r="D155" s="3" t="s">
        <v>258</v>
      </c>
      <c r="E155" s="2" t="s">
        <v>165</v>
      </c>
      <c r="F155" s="2" t="s">
        <v>166</v>
      </c>
      <c r="G155" s="5">
        <v>46470</v>
      </c>
      <c r="H155" s="5">
        <v>46323.5</v>
      </c>
      <c r="I155" s="4" t="s">
        <v>17</v>
      </c>
      <c r="J155" s="6">
        <f t="shared" si="7"/>
        <v>-146.5</v>
      </c>
      <c r="K155" s="4" t="str">
        <f t="shared" ca="1" si="8"/>
        <v>No</v>
      </c>
      <c r="L155" s="7">
        <f>IF(I155="Completed","0",IF($H155="","",$H155-'[2]Read Me'!$B$4))</f>
        <v>136.5</v>
      </c>
      <c r="M155" s="4" t="str">
        <f>IF($I155="Complete","Green",IF($H155="","Amber",IF($H155&lt;'[2]Read Me'!$B$4,"Red",IF($H155-'[2]Read Me'!$B$4&lt;=21,"Amber","Green"))))</f>
        <v>Green</v>
      </c>
      <c r="N155" s="3"/>
      <c r="O155" t="str">
        <f>IF($I155&lt;&gt;"Complete",IF(COUNTIFS($A$4:$A154,$A155,$B$4:$B154,$B155,$I$4:$I154,"&lt;&gt;Complete")=0,$A155&amp;"|"&amp;$B155,""),"")</f>
        <v/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 t="s">
        <v>252</v>
      </c>
      <c r="B156" s="2" t="s">
        <v>62</v>
      </c>
      <c r="C156" s="3" t="s">
        <v>256</v>
      </c>
      <c r="D156" s="3" t="s">
        <v>259</v>
      </c>
      <c r="E156" s="2" t="s">
        <v>165</v>
      </c>
      <c r="F156" s="2" t="s">
        <v>166</v>
      </c>
      <c r="G156" s="5">
        <v>46522</v>
      </c>
      <c r="H156" s="5">
        <v>46330.1</v>
      </c>
      <c r="I156" s="4" t="s">
        <v>17</v>
      </c>
      <c r="J156" s="6">
        <f t="shared" si="7"/>
        <v>-191.90000000000146</v>
      </c>
      <c r="K156" s="4" t="str">
        <f t="shared" ca="1" si="8"/>
        <v>No</v>
      </c>
      <c r="L156" s="7">
        <f>IF(I156="Completed","0",IF($H156="","",$H156-'[2]Read Me'!$B$4))</f>
        <v>143.09999999999854</v>
      </c>
      <c r="M156" s="4" t="str">
        <f>IF($I156="Complete","Green",IF($H156="","Amber",IF($H156&lt;'[2]Read Me'!$B$4,"Red",IF($H156-'[2]Read Me'!$B$4&lt;=21,"Amber","Green"))))</f>
        <v>Green</v>
      </c>
      <c r="N156" s="3"/>
      <c r="O156" t="str">
        <f>IF($I156&lt;&gt;"Complete",IF(COUNTIFS($A$4:$A155,$A156,$B$4:$B155,$B156,$I$4:$I155,"&lt;&gt;Complete")=0,$A156&amp;"|"&amp;$B156,""),"")</f>
        <v/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 t="s">
        <v>252</v>
      </c>
      <c r="B157" s="2" t="s">
        <v>62</v>
      </c>
      <c r="C157" s="3" t="s">
        <v>256</v>
      </c>
      <c r="D157" s="3" t="s">
        <v>260</v>
      </c>
      <c r="E157" s="2" t="s">
        <v>165</v>
      </c>
      <c r="F157" s="2"/>
      <c r="G157" s="5">
        <v>46531</v>
      </c>
      <c r="H157" s="5">
        <v>46337.1</v>
      </c>
      <c r="I157" s="4" t="s">
        <v>17</v>
      </c>
      <c r="J157" s="6">
        <f t="shared" si="7"/>
        <v>-193.90000000000146</v>
      </c>
      <c r="K157" s="4" t="str">
        <f t="shared" ca="1" si="8"/>
        <v>No</v>
      </c>
      <c r="L157" s="7">
        <f>IF(I157="Completed","0",IF($H157="","",$H157-'[2]Read Me'!$B$4))</f>
        <v>150.09999999999854</v>
      </c>
      <c r="M157" s="4" t="str">
        <f>IF($I157="Complete","Green",IF($H157="","Amber",IF($H157&lt;'[2]Read Me'!$B$4,"Red",IF($H157-'[2]Read Me'!$B$4&lt;=21,"Amber","Green"))))</f>
        <v>Green</v>
      </c>
      <c r="N157" s="3"/>
      <c r="O157" t="str">
        <f>IF($I157&lt;&gt;"Complete",IF(COUNTIFS($A$4:$A156,$A157,$B$4:$B156,$B157,$I$4:$I156,"&lt;&gt;Complete")=0,$A157&amp;"|"&amp;$B157,""),"")</f>
        <v/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 t="s">
        <v>252</v>
      </c>
      <c r="B158" s="2" t="s">
        <v>62</v>
      </c>
      <c r="C158" s="3"/>
      <c r="D158" s="3"/>
      <c r="E158" s="2"/>
      <c r="F158" s="2"/>
      <c r="G158" s="5">
        <v>46410</v>
      </c>
      <c r="H158" s="5">
        <v>46229.3</v>
      </c>
      <c r="I158" s="4"/>
      <c r="J158" s="6">
        <f t="shared" si="7"/>
        <v>-180.69999999999709</v>
      </c>
      <c r="K158" s="4" t="str">
        <f t="shared" ca="1" si="8"/>
        <v/>
      </c>
      <c r="L158" s="7">
        <f>IF(I158="Completed","0",IF($H158="","",$H158-'[2]Read Me'!$B$4))</f>
        <v>42.30000000000291</v>
      </c>
      <c r="M158" s="4" t="str">
        <f>IF($I158="Complete","Green",IF($H158="","Amber",IF($H158&lt;'[2]Read Me'!$B$4,"Red",IF($H158-'[2]Read Me'!$B$4&lt;=21,"Amber","Green"))))</f>
        <v>Green</v>
      </c>
      <c r="N158" s="3"/>
      <c r="O158" t="str">
        <f>IF($I158&lt;&gt;"Complete",IF(COUNTIFS($A$4:$A157,$A158,$B$4:$B157,$B158,$I$4:$I157,"&lt;&gt;Complete")=0,$A158&amp;"|"&amp;$B158,""),"")</f>
        <v/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 t="s">
        <v>252</v>
      </c>
      <c r="B159" s="2" t="s">
        <v>62</v>
      </c>
      <c r="C159" s="3" t="s">
        <v>253</v>
      </c>
      <c r="D159" s="3" t="s">
        <v>261</v>
      </c>
      <c r="E159" s="2" t="s">
        <v>165</v>
      </c>
      <c r="F159" s="2" t="s">
        <v>166</v>
      </c>
      <c r="G159" s="5">
        <v>46394</v>
      </c>
      <c r="H159" s="5">
        <v>46212.5</v>
      </c>
      <c r="I159" s="4" t="s">
        <v>46</v>
      </c>
      <c r="J159" s="6">
        <f t="shared" si="7"/>
        <v>-181.5</v>
      </c>
      <c r="K159" s="4" t="str">
        <f t="shared" ca="1" si="8"/>
        <v>No</v>
      </c>
      <c r="L159" s="7">
        <f>IF(I159="Completed","0",IF($H159="","",$H159-'[2]Read Me'!$B$4))</f>
        <v>25.5</v>
      </c>
      <c r="M159" s="4" t="str">
        <f>IF($I159="Complete","Green",IF($H159="","Amber",IF($H159&lt;'[2]Read Me'!$B$4,"Red",IF($H159-'[2]Read Me'!$B$4&lt;=21,"Amber","Green"))))</f>
        <v>Green</v>
      </c>
      <c r="N159" s="3"/>
      <c r="O159" t="str">
        <f>IF($I159&lt;&gt;"Complete",IF(COUNTIFS($A$4:$A158,$A159,$B$4:$B158,$B159,$I$4:$I158,"&lt;&gt;Complete")=0,$A159&amp;"|"&amp;$B159,""),"")</f>
        <v/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 t="s">
        <v>252</v>
      </c>
      <c r="B160" s="2" t="s">
        <v>62</v>
      </c>
      <c r="C160" s="3" t="s">
        <v>253</v>
      </c>
      <c r="D160" s="3" t="s">
        <v>210</v>
      </c>
      <c r="E160" s="2" t="s">
        <v>165</v>
      </c>
      <c r="F160" s="2"/>
      <c r="G160" s="5">
        <v>46403</v>
      </c>
      <c r="H160" s="5">
        <v>46229.3</v>
      </c>
      <c r="I160" s="4" t="s">
        <v>17</v>
      </c>
      <c r="J160" s="6">
        <f t="shared" si="7"/>
        <v>-173.69999999999709</v>
      </c>
      <c r="K160" s="4" t="str">
        <f t="shared" ca="1" si="8"/>
        <v>No</v>
      </c>
      <c r="L160" s="7">
        <f>IF(I160="Completed","0",IF($H160="","",$H160-'[2]Read Me'!$B$4))</f>
        <v>42.30000000000291</v>
      </c>
      <c r="M160" s="4" t="str">
        <f>IF($I160="Complete","Green",IF($H160="","Amber",IF($H160&lt;'[2]Read Me'!$B$4,"Red",IF($H160-'[2]Read Me'!$B$4&lt;=21,"Amber","Green"))))</f>
        <v>Green</v>
      </c>
      <c r="N160" s="3"/>
      <c r="O160" t="str">
        <f>IF($I160&lt;&gt;"Complete",IF(COUNTIFS($A$4:$A159,$A160,$B$4:$B159,$B160,$I$4:$I159,"&lt;&gt;Complete")=0,$A160&amp;"|"&amp;$B160,""),"")</f>
        <v/>
      </c>
      <c r="P160" t="str">
        <f ca="1">IF($K160="Yes",COUNTIFS($K$4:$K160,"Yes"),"")</f>
        <v/>
      </c>
      <c r="Q160">
        <f t="shared" ca="1" si="9"/>
        <v>0</v>
      </c>
      <c r="R160" t="str">
        <f ca="1">IF($Q160=1,SUM($Q$4:$Q160),"")</f>
        <v/>
      </c>
    </row>
    <row r="161" spans="1:18" ht="33.75" customHeight="1" x14ac:dyDescent="0.3">
      <c r="A161" s="2" t="s">
        <v>262</v>
      </c>
      <c r="B161" s="2" t="s">
        <v>62</v>
      </c>
      <c r="C161" s="3" t="s">
        <v>253</v>
      </c>
      <c r="D161" s="3" t="s">
        <v>183</v>
      </c>
      <c r="E161" s="2" t="s">
        <v>184</v>
      </c>
      <c r="F161" s="2" t="s">
        <v>81</v>
      </c>
      <c r="G161" s="5">
        <v>46410</v>
      </c>
      <c r="H161" s="5">
        <v>46229.3</v>
      </c>
      <c r="I161" s="4" t="s">
        <v>17</v>
      </c>
      <c r="J161" s="6">
        <f t="shared" si="7"/>
        <v>-180.69999999999709</v>
      </c>
      <c r="K161" s="4" t="str">
        <f t="shared" ca="1" si="8"/>
        <v>No</v>
      </c>
      <c r="L161" s="7">
        <f>IF(I161="Completed","0",IF($H161="","",$H161-'[2]Read Me'!$B$4))</f>
        <v>42.30000000000291</v>
      </c>
      <c r="M161" s="4" t="str">
        <f>IF($I161="Complete","Green",IF($H161="","Amber",IF($H161&lt;'[2]Read Me'!$B$4,"Red",IF($H161-'[2]Read Me'!$B$4&lt;=21,"Amber","Green"))))</f>
        <v>Green</v>
      </c>
      <c r="N161" s="3"/>
      <c r="O161" t="str">
        <f>IF($I161&lt;&gt;"Complete",IF(COUNTIFS($A$4:$A160,$A161,$B$4:$B160,$B161,$I$4:$I160,"&lt;&gt;Complete")=0,$A161&amp;"|"&amp;$B161,""),"")</f>
        <v>IRIS 03 B.02|Buildings</v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 t="s">
        <v>262</v>
      </c>
      <c r="B162" s="2" t="s">
        <v>62</v>
      </c>
      <c r="C162" s="3"/>
      <c r="D162" s="3"/>
      <c r="E162" s="2"/>
      <c r="F162" s="2"/>
      <c r="G162" s="5">
        <v>46531</v>
      </c>
      <c r="H162" s="5">
        <v>46350.7</v>
      </c>
      <c r="I162" s="4"/>
      <c r="J162" s="6">
        <f t="shared" si="7"/>
        <v>-180.30000000000291</v>
      </c>
      <c r="K162" s="4" t="str">
        <f t="shared" ca="1" si="8"/>
        <v/>
      </c>
      <c r="L162" s="7">
        <f>IF(I162="Completed","0",IF($H162="","",$H162-'[2]Read Me'!$B$4))</f>
        <v>163.69999999999709</v>
      </c>
      <c r="M162" s="4" t="str">
        <f>IF($I162="Complete","Green",IF($H162="","Amber",IF($H162&lt;'[2]Read Me'!$B$4,"Red",IF($H162-'[2]Read Me'!$B$4&lt;=21,"Amber","Green"))))</f>
        <v>Green</v>
      </c>
      <c r="N162" s="3"/>
      <c r="O162" t="str">
        <f>IF($I162&lt;&gt;"Complete",IF(COUNTIFS($A$4:$A161,$A162,$B$4:$B161,$B162,$I$4:$I161,"&lt;&gt;Complete")=0,$A162&amp;"|"&amp;$B162,""),"")</f>
        <v/>
      </c>
      <c r="P162" t="str">
        <f ca="1">IF($K162="Yes",COUNTIFS($K$4:$K162,"Yes"),"")</f>
        <v/>
      </c>
      <c r="Q162">
        <f t="shared" ca="1" si="9"/>
        <v>0</v>
      </c>
      <c r="R162" t="str">
        <f ca="1">IF($Q162=1,SUM($Q$4:$Q162),"")</f>
        <v/>
      </c>
    </row>
    <row r="163" spans="1:18" ht="33.75" customHeight="1" x14ac:dyDescent="0.3">
      <c r="A163" s="2" t="s">
        <v>262</v>
      </c>
      <c r="B163" s="2" t="s">
        <v>62</v>
      </c>
      <c r="C163" s="3" t="s">
        <v>256</v>
      </c>
      <c r="D163" s="3" t="s">
        <v>14</v>
      </c>
      <c r="E163" s="2" t="s">
        <v>165</v>
      </c>
      <c r="F163" s="2" t="s">
        <v>166</v>
      </c>
      <c r="G163" s="5">
        <v>46447</v>
      </c>
      <c r="H163" s="5">
        <v>46279.7</v>
      </c>
      <c r="I163" s="4" t="s">
        <v>17</v>
      </c>
      <c r="J163" s="6">
        <f t="shared" si="7"/>
        <v>-167.30000000000291</v>
      </c>
      <c r="K163" s="4" t="str">
        <f t="shared" ca="1" si="8"/>
        <v>No</v>
      </c>
      <c r="L163" s="7">
        <f>IF(I163="Completed","0",IF($H163="","",$H163-'[2]Read Me'!$B$4))</f>
        <v>92.69999999999709</v>
      </c>
      <c r="M163" s="4" t="str">
        <f>IF($I163="Complete","Green",IF($H163="","Amber",IF($H163&lt;'[2]Read Me'!$B$4,"Red",IF($H163-'[2]Read Me'!$B$4&lt;=21,"Amber","Green"))))</f>
        <v>Green</v>
      </c>
      <c r="N163" s="3"/>
      <c r="O163" t="str">
        <f>IF($I163&lt;&gt;"Complete",IF(COUNTIFS($A$4:$A162,$A163,$B$4:$B162,$B163,$I$4:$I162,"&lt;&gt;Complete")=0,$A163&amp;"|"&amp;$B163,""),"")</f>
        <v/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 t="s">
        <v>262</v>
      </c>
      <c r="B164" s="2" t="s">
        <v>62</v>
      </c>
      <c r="C164" s="3" t="s">
        <v>256</v>
      </c>
      <c r="D164" s="3" t="s">
        <v>210</v>
      </c>
      <c r="E164" s="2" t="s">
        <v>165</v>
      </c>
      <c r="F164" s="2"/>
      <c r="G164" s="5">
        <v>46455</v>
      </c>
      <c r="H164" s="5">
        <v>46287.4</v>
      </c>
      <c r="I164" s="4" t="s">
        <v>17</v>
      </c>
      <c r="J164" s="6">
        <f t="shared" si="7"/>
        <v>-167.59999999999854</v>
      </c>
      <c r="K164" s="4" t="str">
        <f t="shared" ca="1" si="8"/>
        <v>No</v>
      </c>
      <c r="L164" s="7">
        <f>IF(I164="Completed","0",IF($H164="","",$H164-'[2]Read Me'!$B$4))</f>
        <v>100.40000000000146</v>
      </c>
      <c r="M164" s="4" t="str">
        <f>IF($I164="Complete","Green",IF($H164="","Amber",IF($H164&lt;'[2]Read Me'!$B$4,"Red",IF($H164-'[2]Read Me'!$B$4&lt;=21,"Amber","Green"))))</f>
        <v>Green</v>
      </c>
      <c r="N164" s="3"/>
      <c r="O164" t="str">
        <f>IF($I164&lt;&gt;"Complete",IF(COUNTIFS($A$4:$A163,$A164,$B$4:$B163,$B164,$I$4:$I163,"&lt;&gt;Complete")=0,$A164&amp;"|"&amp;$B164,""),"")</f>
        <v/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 t="s">
        <v>262</v>
      </c>
      <c r="B165" s="2" t="s">
        <v>62</v>
      </c>
      <c r="C165" s="3" t="s">
        <v>256</v>
      </c>
      <c r="D165" s="3" t="s">
        <v>257</v>
      </c>
      <c r="E165" s="2" t="s">
        <v>165</v>
      </c>
      <c r="F165" s="2" t="s">
        <v>166</v>
      </c>
      <c r="G165" s="5">
        <v>46484</v>
      </c>
      <c r="H165" s="5">
        <v>46315.7</v>
      </c>
      <c r="I165" s="4" t="s">
        <v>17</v>
      </c>
      <c r="J165" s="6">
        <f t="shared" si="7"/>
        <v>-168.30000000000291</v>
      </c>
      <c r="K165" s="4" t="str">
        <f t="shared" ca="1" si="8"/>
        <v>No</v>
      </c>
      <c r="L165" s="7">
        <f>IF(I165="Completed","0",IF($H165="","",$H165-'[2]Read Me'!$B$4))</f>
        <v>128.69999999999709</v>
      </c>
      <c r="M165" s="4" t="str">
        <f>IF($I165="Complete","Green",IF($H165="","Amber",IF($H165&lt;'[2]Read Me'!$B$4,"Red",IF($H165-'[2]Read Me'!$B$4&lt;=21,"Amber","Green"))))</f>
        <v>Green</v>
      </c>
      <c r="N165" s="3"/>
      <c r="O165" t="str">
        <f>IF($I165&lt;&gt;"Complete",IF(COUNTIFS($A$4:$A164,$A165,$B$4:$B164,$B165,$I$4:$I164,"&lt;&gt;Complete")=0,$A165&amp;"|"&amp;$B165,""),"")</f>
        <v/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 t="s">
        <v>262</v>
      </c>
      <c r="B166" s="2" t="s">
        <v>62</v>
      </c>
      <c r="C166" s="3" t="s">
        <v>256</v>
      </c>
      <c r="D166" s="3" t="s">
        <v>210</v>
      </c>
      <c r="E166" s="2" t="s">
        <v>165</v>
      </c>
      <c r="F166" s="2"/>
      <c r="G166" s="5">
        <v>46492</v>
      </c>
      <c r="H166" s="5">
        <v>46322.7</v>
      </c>
      <c r="I166" s="4" t="s">
        <v>17</v>
      </c>
      <c r="J166" s="6">
        <f t="shared" si="7"/>
        <v>-169.30000000000291</v>
      </c>
      <c r="K166" s="4" t="str">
        <f t="shared" ca="1" si="8"/>
        <v>No</v>
      </c>
      <c r="L166" s="7">
        <f>IF(I166="Completed","0",IF($H166="","",$H166-'[2]Read Me'!$B$4))</f>
        <v>135.69999999999709</v>
      </c>
      <c r="M166" s="4" t="str">
        <f>IF($I166="Complete","Green",IF($H166="","Amber",IF($H166&lt;'[2]Read Me'!$B$4,"Red",IF($H166-'[2]Read Me'!$B$4&lt;=21,"Amber","Green"))))</f>
        <v>Green</v>
      </c>
      <c r="N166" s="3"/>
      <c r="O166" t="str">
        <f>IF($I166&lt;&gt;"Complete",IF(COUNTIFS($A$4:$A165,$A166,$B$4:$B165,$B166,$I$4:$I165,"&lt;&gt;Complete")=0,$A166&amp;"|"&amp;$B166,""),"")</f>
        <v/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 t="s">
        <v>262</v>
      </c>
      <c r="B167" s="2" t="s">
        <v>62</v>
      </c>
      <c r="C167" s="3" t="s">
        <v>256</v>
      </c>
      <c r="D167" s="3" t="s">
        <v>183</v>
      </c>
      <c r="E167" s="2" t="s">
        <v>184</v>
      </c>
      <c r="F167" s="2"/>
      <c r="G167" s="5">
        <v>46499</v>
      </c>
      <c r="H167" s="5">
        <v>46329.7</v>
      </c>
      <c r="I167" s="4" t="s">
        <v>17</v>
      </c>
      <c r="J167" s="6">
        <f t="shared" si="7"/>
        <v>-169.30000000000291</v>
      </c>
      <c r="K167" s="4" t="str">
        <f t="shared" ca="1" si="8"/>
        <v>No</v>
      </c>
      <c r="L167" s="7">
        <f>IF(I167="Completed","0",IF($H167="","",$H167-'[2]Read Me'!$B$4))</f>
        <v>142.69999999999709</v>
      </c>
      <c r="M167" s="4" t="str">
        <f>IF($I167="Complete","Green",IF($H167="","Amber",IF($H167&lt;'[2]Read Me'!$B$4,"Red",IF($H167-'[2]Read Me'!$B$4&lt;=21,"Amber","Green"))))</f>
        <v>Green</v>
      </c>
      <c r="N167" s="3"/>
      <c r="O167" t="str">
        <f>IF($I167&lt;&gt;"Complete",IF(COUNTIFS($A$4:$A166,$A167,$B$4:$B166,$B167,$I$4:$I166,"&lt;&gt;Complete")=0,$A167&amp;"|"&amp;$B167,""),"")</f>
        <v/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 t="s">
        <v>262</v>
      </c>
      <c r="B168" s="2" t="s">
        <v>62</v>
      </c>
      <c r="C168" s="3" t="s">
        <v>256</v>
      </c>
      <c r="D168" s="3" t="s">
        <v>258</v>
      </c>
      <c r="E168" s="2" t="s">
        <v>165</v>
      </c>
      <c r="F168" s="2" t="s">
        <v>166</v>
      </c>
      <c r="G168" s="5">
        <v>46470</v>
      </c>
      <c r="H168" s="5">
        <v>46338.8</v>
      </c>
      <c r="I168" s="4" t="s">
        <v>17</v>
      </c>
      <c r="J168" s="6">
        <f t="shared" si="7"/>
        <v>-131.19999999999709</v>
      </c>
      <c r="K168" s="4" t="str">
        <f t="shared" ca="1" si="8"/>
        <v>No</v>
      </c>
      <c r="L168" s="7">
        <f>IF(I168="Completed","0",IF($H168="","",$H168-'[2]Read Me'!$B$4))</f>
        <v>151.80000000000291</v>
      </c>
      <c r="M168" s="4" t="str">
        <f>IF($I168="Complete","Green",IF($H168="","Amber",IF($H168&lt;'[2]Read Me'!$B$4,"Red",IF($H168-'[2]Read Me'!$B$4&lt;=21,"Amber","Green"))))</f>
        <v>Green</v>
      </c>
      <c r="N168" s="3"/>
      <c r="O168" t="str">
        <f>IF($I168&lt;&gt;"Complete",IF(COUNTIFS($A$4:$A167,$A168,$B$4:$B167,$B168,$I$4:$I167,"&lt;&gt;Complete")=0,$A168&amp;"|"&amp;$B168,""),"")</f>
        <v/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 t="s">
        <v>262</v>
      </c>
      <c r="B169" s="2" t="s">
        <v>62</v>
      </c>
      <c r="C169" s="3" t="s">
        <v>256</v>
      </c>
      <c r="D169" s="3" t="s">
        <v>259</v>
      </c>
      <c r="E169" s="2" t="s">
        <v>165</v>
      </c>
      <c r="F169" s="2" t="s">
        <v>166</v>
      </c>
      <c r="G169" s="5">
        <v>46522</v>
      </c>
      <c r="H169" s="5">
        <v>46343.7</v>
      </c>
      <c r="I169" s="4" t="s">
        <v>17</v>
      </c>
      <c r="J169" s="6">
        <f t="shared" si="7"/>
        <v>-178.30000000000291</v>
      </c>
      <c r="K169" s="4" t="str">
        <f t="shared" ca="1" si="8"/>
        <v>No</v>
      </c>
      <c r="L169" s="7">
        <f>IF(I169="Completed","0",IF($H169="","",$H169-'[2]Read Me'!$B$4))</f>
        <v>156.69999999999709</v>
      </c>
      <c r="M169" s="4" t="str">
        <f>IF($I169="Complete","Green",IF($H169="","Amber",IF($H169&lt;'[2]Read Me'!$B$4,"Red",IF($H169-'[2]Read Me'!$B$4&lt;=21,"Amber","Green"))))</f>
        <v>Green</v>
      </c>
      <c r="N169" s="3"/>
      <c r="O169" t="str">
        <f>IF($I169&lt;&gt;"Complete",IF(COUNTIFS($A$4:$A168,$A169,$B$4:$B168,$B169,$I$4:$I168,"&lt;&gt;Complete")=0,$A169&amp;"|"&amp;$B169,""),"")</f>
        <v/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 t="s">
        <v>262</v>
      </c>
      <c r="B170" s="2" t="s">
        <v>62</v>
      </c>
      <c r="C170" s="3" t="s">
        <v>256</v>
      </c>
      <c r="D170" s="3" t="s">
        <v>260</v>
      </c>
      <c r="E170" s="2" t="s">
        <v>165</v>
      </c>
      <c r="F170" s="2"/>
      <c r="G170" s="5">
        <v>46531</v>
      </c>
      <c r="H170" s="5">
        <v>46350.7</v>
      </c>
      <c r="I170" s="4" t="s">
        <v>17</v>
      </c>
      <c r="J170" s="6">
        <f t="shared" si="7"/>
        <v>-180.30000000000291</v>
      </c>
      <c r="K170" s="4" t="str">
        <f t="shared" ca="1" si="8"/>
        <v>No</v>
      </c>
      <c r="L170" s="7">
        <f>IF(I170="Completed","0",IF($H170="","",$H170-'[2]Read Me'!$B$4))</f>
        <v>163.69999999999709</v>
      </c>
      <c r="M170" s="4" t="str">
        <f>IF($I170="Complete","Green",IF($H170="","Amber",IF($H170&lt;'[2]Read Me'!$B$4,"Red",IF($H170-'[2]Read Me'!$B$4&lt;=21,"Amber","Green"))))</f>
        <v>Green</v>
      </c>
      <c r="N170" s="3"/>
      <c r="O170" t="str">
        <f>IF($I170&lt;&gt;"Complete",IF(COUNTIFS($A$4:$A169,$A170,$B$4:$B169,$B170,$I$4:$I169,"&lt;&gt;Complete")=0,$A170&amp;"|"&amp;$B170,""),"")</f>
        <v/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 t="s">
        <v>244</v>
      </c>
      <c r="B171" s="2" t="s">
        <v>62</v>
      </c>
      <c r="C171" s="3"/>
      <c r="D171" s="3"/>
      <c r="E171" s="2"/>
      <c r="F171" s="2"/>
      <c r="G171" s="5">
        <v>46296.3</v>
      </c>
      <c r="H171" s="5">
        <v>46264</v>
      </c>
      <c r="I171" s="4"/>
      <c r="J171" s="6">
        <f t="shared" si="7"/>
        <v>-32.30000000000291</v>
      </c>
      <c r="K171" s="4" t="str">
        <f t="shared" ca="1" si="8"/>
        <v/>
      </c>
      <c r="L171" s="7">
        <f>IF(I171="Completed","0",IF($H171="","",$H171-'[2]Read Me'!$B$4))</f>
        <v>77</v>
      </c>
      <c r="M171" s="4" t="str">
        <f>IF($I171="Complete","Green",IF($H171="","Amber",IF($H171&lt;'[2]Read Me'!$B$4,"Red",IF($H171-'[2]Read Me'!$B$4&lt;=21,"Amber","Green"))))</f>
        <v>Green</v>
      </c>
      <c r="N171" s="3"/>
      <c r="O171" t="str">
        <f>IF($I171&lt;&gt;"Complete",IF(COUNTIFS($A$4:$A170,$A171,$B$4:$B170,$B171,$I$4:$I170,"&lt;&gt;Complete")=0,$A171&amp;"|"&amp;$B171,""),"")</f>
        <v/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 t="s">
        <v>244</v>
      </c>
      <c r="B172" s="2" t="s">
        <v>62</v>
      </c>
      <c r="C172" s="3" t="s">
        <v>263</v>
      </c>
      <c r="D172" s="3" t="s">
        <v>15</v>
      </c>
      <c r="E172" s="2" t="s">
        <v>165</v>
      </c>
      <c r="F172" s="2" t="s">
        <v>166</v>
      </c>
      <c r="G172" s="5">
        <v>46236.3</v>
      </c>
      <c r="H172" s="5">
        <v>46204</v>
      </c>
      <c r="I172" s="4" t="s">
        <v>17</v>
      </c>
      <c r="J172" s="6">
        <f t="shared" si="7"/>
        <v>-32.30000000000291</v>
      </c>
      <c r="K172" s="4" t="str">
        <f t="shared" ca="1" si="8"/>
        <v>Yes</v>
      </c>
      <c r="L172" s="7">
        <f>IF(I172="Completed","0",IF($H172="","",$H172-'[2]Read Me'!$B$4))</f>
        <v>17</v>
      </c>
      <c r="M172" s="4" t="str">
        <f>IF($I172="Complete","Green",IF($H172="","Amber",IF($H172&lt;'[2]Read Me'!$B$4,"Red",IF($H172-'[2]Read Me'!$B$4&lt;=21,"Amber","Green"))))</f>
        <v>Amber</v>
      </c>
      <c r="N172" s="3"/>
      <c r="O172" t="str">
        <f>IF($I172&lt;&gt;"Complete",IF(COUNTIFS($A$4:$A171,$A172,$B$4:$B171,$B172,$I$4:$I171,"&lt;&gt;Complete")=0,$A172&amp;"|"&amp;$B172,""),"")</f>
        <v/>
      </c>
      <c r="P172">
        <f ca="1">IF($K172="Yes",COUNTIFS($K$4:$K172,"Yes"),"")</f>
        <v>16</v>
      </c>
      <c r="Q172">
        <f t="shared" ca="1" si="9"/>
        <v>1</v>
      </c>
      <c r="R172">
        <f ca="1">IF($Q172=1,SUM($Q$4:$Q172),"")</f>
        <v>16</v>
      </c>
    </row>
    <row r="173" spans="1:18" ht="33.75" customHeight="1" x14ac:dyDescent="0.3">
      <c r="A173" s="2" t="s">
        <v>244</v>
      </c>
      <c r="B173" s="2" t="s">
        <v>62</v>
      </c>
      <c r="C173" s="3" t="s">
        <v>263</v>
      </c>
      <c r="D173" s="3" t="s">
        <v>264</v>
      </c>
      <c r="E173" s="2" t="s">
        <v>165</v>
      </c>
      <c r="F173" s="2"/>
      <c r="G173" s="5">
        <v>46243.3</v>
      </c>
      <c r="H173" s="5">
        <v>46211</v>
      </c>
      <c r="I173" s="4" t="s">
        <v>17</v>
      </c>
      <c r="J173" s="6">
        <f t="shared" si="7"/>
        <v>-32.30000000000291</v>
      </c>
      <c r="K173" s="4" t="str">
        <f t="shared" ca="1" si="8"/>
        <v>No</v>
      </c>
      <c r="L173" s="7">
        <f>IF(I173="Completed","0",IF($H173="","",$H173-'[2]Read Me'!$B$4))</f>
        <v>24</v>
      </c>
      <c r="M173" s="4" t="str">
        <f>IF($I173="Complete","Green",IF($H173="","Amber",IF($H173&lt;'[2]Read Me'!$B$4,"Red",IF($H173-'[2]Read Me'!$B$4&lt;=21,"Amber","Green"))))</f>
        <v>Green</v>
      </c>
      <c r="N173" s="3"/>
      <c r="O173" t="str">
        <f>IF($I173&lt;&gt;"Complete",IF(COUNTIFS($A$4:$A172,$A173,$B$4:$B172,$B173,$I$4:$I172,"&lt;&gt;Complete")=0,$A173&amp;"|"&amp;$B173,""),"")</f>
        <v/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 t="s">
        <v>244</v>
      </c>
      <c r="B174" s="2" t="s">
        <v>62</v>
      </c>
      <c r="C174" s="3" t="s">
        <v>263</v>
      </c>
      <c r="D174" s="3" t="s">
        <v>58</v>
      </c>
      <c r="E174" s="2" t="s">
        <v>165</v>
      </c>
      <c r="F174" s="2" t="s">
        <v>265</v>
      </c>
      <c r="G174" s="5">
        <v>46243.3</v>
      </c>
      <c r="H174" s="5">
        <v>46211</v>
      </c>
      <c r="I174" s="4" t="s">
        <v>17</v>
      </c>
      <c r="J174" s="6">
        <f t="shared" si="7"/>
        <v>-32.30000000000291</v>
      </c>
      <c r="K174" s="4" t="str">
        <f t="shared" ca="1" si="8"/>
        <v>No</v>
      </c>
      <c r="L174" s="7">
        <f>IF(I174="Completed","0",IF($H174="","",$H174-'[2]Read Me'!$B$4))</f>
        <v>24</v>
      </c>
      <c r="M174" s="4" t="str">
        <f>IF($I174="Complete","Green",IF($H174="","Amber",IF($H174&lt;'[2]Read Me'!$B$4,"Red",IF($H174-'[2]Read Me'!$B$4&lt;=21,"Amber","Green"))))</f>
        <v>Green</v>
      </c>
      <c r="N174" s="3"/>
      <c r="O174" t="str">
        <f>IF($I174&lt;&gt;"Complete",IF(COUNTIFS($A$4:$A173,$A174,$B$4:$B173,$B174,$I$4:$I173,"&lt;&gt;Complete")=0,$A174&amp;"|"&amp;$B174,""),"")</f>
        <v/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 t="s">
        <v>244</v>
      </c>
      <c r="B175" s="2" t="s">
        <v>62</v>
      </c>
      <c r="C175" s="3" t="s">
        <v>263</v>
      </c>
      <c r="D175" s="3" t="s">
        <v>266</v>
      </c>
      <c r="E175" s="2" t="s">
        <v>165</v>
      </c>
      <c r="F175" s="2" t="s">
        <v>166</v>
      </c>
      <c r="G175" s="5">
        <v>46271.3</v>
      </c>
      <c r="H175" s="5">
        <v>46239</v>
      </c>
      <c r="I175" s="4" t="s">
        <v>17</v>
      </c>
      <c r="J175" s="6">
        <f t="shared" si="7"/>
        <v>-32.30000000000291</v>
      </c>
      <c r="K175" s="4" t="str">
        <f t="shared" ca="1" si="8"/>
        <v>No</v>
      </c>
      <c r="L175" s="7">
        <f>IF(I175="Completed","0",IF($H175="","",$H175-'[2]Read Me'!$B$4))</f>
        <v>52</v>
      </c>
      <c r="M175" s="4" t="str">
        <f>IF($I175="Complete","Green",IF($H175="","Amber",IF($H175&lt;'[2]Read Me'!$B$4,"Red",IF($H175-'[2]Read Me'!$B$4&lt;=21,"Amber","Green"))))</f>
        <v>Green</v>
      </c>
      <c r="N175" s="3"/>
      <c r="O175" t="str">
        <f>IF($I175&lt;&gt;"Complete",IF(COUNTIFS($A$4:$A174,$A175,$B$4:$B174,$B175,$I$4:$I174,"&lt;&gt;Complete")=0,$A175&amp;"|"&amp;$B175,""),"")</f>
        <v/>
      </c>
      <c r="P175" t="str">
        <f ca="1">IF($K175="Yes",COUNTIFS($K$4:$K175,"Yes"),"")</f>
        <v/>
      </c>
      <c r="Q175">
        <f t="shared" ca="1" si="9"/>
        <v>0</v>
      </c>
      <c r="R175" t="str">
        <f ca="1">IF($Q175=1,SUM($Q$4:$Q175),"")</f>
        <v/>
      </c>
    </row>
    <row r="176" spans="1:18" ht="22.5" customHeight="1" x14ac:dyDescent="0.3">
      <c r="A176" s="2" t="s">
        <v>244</v>
      </c>
      <c r="B176" s="2" t="s">
        <v>62</v>
      </c>
      <c r="C176" s="3" t="s">
        <v>263</v>
      </c>
      <c r="D176" s="3" t="s">
        <v>267</v>
      </c>
      <c r="E176" s="2" t="s">
        <v>165</v>
      </c>
      <c r="F176" s="2"/>
      <c r="G176" s="5">
        <v>46278.3</v>
      </c>
      <c r="H176" s="5">
        <v>46246</v>
      </c>
      <c r="I176" s="4" t="s">
        <v>17</v>
      </c>
      <c r="J176" s="6">
        <f t="shared" si="7"/>
        <v>-32.30000000000291</v>
      </c>
      <c r="K176" s="4" t="str">
        <f t="shared" ca="1" si="8"/>
        <v>No</v>
      </c>
      <c r="L176" s="7">
        <f>IF(I176="Completed","0",IF($H176="","",$H176-'[2]Read Me'!$B$4))</f>
        <v>59</v>
      </c>
      <c r="M176" s="4" t="str">
        <f>IF($I176="Complete","Green",IF($H176="","Amber",IF($H176&lt;'[2]Read Me'!$B$4,"Red",IF($H176-'[2]Read Me'!$B$4&lt;=21,"Amber","Green"))))</f>
        <v>Green</v>
      </c>
      <c r="N176" s="3"/>
      <c r="O176" t="str">
        <f>IF($I176&lt;&gt;"Complete",IF(COUNTIFS($A$4:$A175,$A176,$B$4:$B175,$B176,$I$4:$I175,"&lt;&gt;Complete")=0,$A176&amp;"|"&amp;$B176,""),"")</f>
        <v/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 t="s">
        <v>244</v>
      </c>
      <c r="B177" s="2" t="s">
        <v>62</v>
      </c>
      <c r="C177" s="3" t="s">
        <v>263</v>
      </c>
      <c r="D177" s="3" t="s">
        <v>58</v>
      </c>
      <c r="E177" s="2" t="s">
        <v>165</v>
      </c>
      <c r="F177" s="2" t="s">
        <v>265</v>
      </c>
      <c r="G177" s="5">
        <v>46282.3</v>
      </c>
      <c r="H177" s="5">
        <v>46250</v>
      </c>
      <c r="I177" s="4" t="s">
        <v>17</v>
      </c>
      <c r="J177" s="6">
        <f t="shared" si="7"/>
        <v>-32.30000000000291</v>
      </c>
      <c r="K177" s="4" t="str">
        <f t="shared" ca="1" si="8"/>
        <v>No</v>
      </c>
      <c r="L177" s="7">
        <f>IF(I177="Completed","0",IF($H177="","",$H177-'[2]Read Me'!$B$4))</f>
        <v>63</v>
      </c>
      <c r="M177" s="4" t="str">
        <f>IF($I177="Complete","Green",IF($H177="","Amber",IF($H177&lt;'[2]Read Me'!$B$4,"Red",IF($H177-'[2]Read Me'!$B$4&lt;=21,"Amber","Green"))))</f>
        <v>Green</v>
      </c>
      <c r="N177" s="3"/>
      <c r="O177" t="str">
        <f>IF($I177&lt;&gt;"Complete",IF(COUNTIFS($A$4:$A176,$A177,$B$4:$B176,$B177,$I$4:$I176,"&lt;&gt;Complete")=0,$A177&amp;"|"&amp;$B177,""),"")</f>
        <v/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 t="s">
        <v>244</v>
      </c>
      <c r="B178" s="2" t="s">
        <v>62</v>
      </c>
      <c r="C178" s="3" t="s">
        <v>263</v>
      </c>
      <c r="D178" s="3" t="s">
        <v>268</v>
      </c>
      <c r="E178" s="2" t="s">
        <v>165</v>
      </c>
      <c r="F178" s="2" t="s">
        <v>166</v>
      </c>
      <c r="G178" s="5">
        <v>46296.3</v>
      </c>
      <c r="H178" s="5">
        <v>46264</v>
      </c>
      <c r="I178" s="4" t="s">
        <v>17</v>
      </c>
      <c r="J178" s="6">
        <f t="shared" si="7"/>
        <v>-32.30000000000291</v>
      </c>
      <c r="K178" s="4" t="str">
        <f t="shared" ca="1" si="8"/>
        <v>No</v>
      </c>
      <c r="L178" s="7">
        <f>IF(I178="Completed","0",IF($H178="","",$H178-'[2]Read Me'!$B$4))</f>
        <v>77</v>
      </c>
      <c r="M178" s="4" t="str">
        <f>IF($I178="Complete","Green",IF($H178="","Amber",IF($H178&lt;'[2]Read Me'!$B$4,"Red",IF($H178-'[2]Read Me'!$B$4&lt;=21,"Amber","Green"))))</f>
        <v>Green</v>
      </c>
      <c r="N178" s="3"/>
      <c r="O178" t="str">
        <f>IF($I178&lt;&gt;"Complete",IF(COUNTIFS($A$4:$A177,$A178,$B$4:$B177,$B178,$I$4:$I177,"&lt;&gt;Complete")=0,$A178&amp;"|"&amp;$B178,""),"")</f>
        <v/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 t="s">
        <v>244</v>
      </c>
      <c r="B179" s="2" t="s">
        <v>140</v>
      </c>
      <c r="C179" s="3"/>
      <c r="D179" s="3"/>
      <c r="E179" s="2"/>
      <c r="F179" s="2"/>
      <c r="G179" s="5">
        <v>46019</v>
      </c>
      <c r="H179" s="5">
        <v>46090</v>
      </c>
      <c r="I179" s="4"/>
      <c r="J179" s="6">
        <f t="shared" si="7"/>
        <v>71</v>
      </c>
      <c r="K179" s="4" t="str">
        <f t="shared" ca="1" si="8"/>
        <v/>
      </c>
      <c r="L179" s="7">
        <f>IF(I179="Completed","0",IF($H179="","",$H179-'[2]Read Me'!$B$4))</f>
        <v>-97</v>
      </c>
      <c r="M179" s="4" t="str">
        <f>IF($I179="Complete","Green",IF($H179="","Amber",IF($H179&lt;'[2]Read Me'!$B$4,"Red",IF($H179-'[2]Read Me'!$B$4&lt;=21,"Amber","Green"))))</f>
        <v>Red</v>
      </c>
      <c r="N179" s="3"/>
      <c r="O179" t="str">
        <f>IF($I179&lt;&gt;"Complete",IF(COUNTIFS($A$4:$A178,$A179,$B$4:$B178,$B179,$I$4:$I178,"&lt;&gt;Complete")=0,$A179&amp;"|"&amp;$B179,""),"")</f>
        <v>IRIS 03|Masterplan</v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 t="s">
        <v>244</v>
      </c>
      <c r="B180" s="2" t="s">
        <v>140</v>
      </c>
      <c r="C180" s="3" t="s">
        <v>269</v>
      </c>
      <c r="D180" s="3" t="s">
        <v>15</v>
      </c>
      <c r="E180" s="2" t="s">
        <v>165</v>
      </c>
      <c r="F180" s="2" t="s">
        <v>270</v>
      </c>
      <c r="G180" s="5">
        <v>45959</v>
      </c>
      <c r="H180" s="5"/>
      <c r="I180" s="4" t="s">
        <v>17</v>
      </c>
      <c r="J180" s="6" t="str">
        <f t="shared" si="7"/>
        <v/>
      </c>
      <c r="K180" s="4" t="str">
        <f t="shared" ca="1" si="8"/>
        <v/>
      </c>
      <c r="L180" s="7" t="str">
        <f>IF(I180="Completed","0",IF($H180="","",$H180-'[2]Read Me'!$B$4))</f>
        <v/>
      </c>
      <c r="M180" s="4" t="str">
        <f>IF($I180="Complete","Green",IF($H180="","Amber",IF($H180&lt;'[2]Read Me'!$B$4,"Red",IF($H180-'[2]Read Me'!$B$4&lt;=21,"Amber","Green"))))</f>
        <v>Amber</v>
      </c>
      <c r="N180" s="3"/>
      <c r="O180" t="str">
        <f>IF($I180&lt;&gt;"Complete",IF(COUNTIFS($A$4:$A179,$A180,$B$4:$B179,$B180,$I$4:$I179,"&lt;&gt;Complete")=0,$A180&amp;"|"&amp;$B180,""),"")</f>
        <v/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 t="s">
        <v>244</v>
      </c>
      <c r="B181" s="2" t="s">
        <v>140</v>
      </c>
      <c r="C181" s="3" t="s">
        <v>269</v>
      </c>
      <c r="D181" s="3" t="s">
        <v>210</v>
      </c>
      <c r="E181" s="2" t="s">
        <v>165</v>
      </c>
      <c r="F181" s="2"/>
      <c r="G181" s="5">
        <v>45974</v>
      </c>
      <c r="H181" s="5"/>
      <c r="I181" s="4" t="s">
        <v>17</v>
      </c>
      <c r="J181" s="6" t="str">
        <f t="shared" si="7"/>
        <v/>
      </c>
      <c r="K181" s="4" t="str">
        <f t="shared" ca="1" si="8"/>
        <v/>
      </c>
      <c r="L181" s="7" t="str">
        <f>IF(I181="Completed","0",IF($H181="","",$H181-'[2]Read Me'!$B$4))</f>
        <v/>
      </c>
      <c r="M181" s="4" t="str">
        <f>IF($I181="Complete","Green",IF($H181="","Amber",IF($H181&lt;'[2]Read Me'!$B$4,"Red",IF($H181-'[2]Read Me'!$B$4&lt;=21,"Amber","Green"))))</f>
        <v>Amber</v>
      </c>
      <c r="N181" s="3"/>
      <c r="O181" t="str">
        <f>IF($I181&lt;&gt;"Complete",IF(COUNTIFS($A$4:$A180,$A181,$B$4:$B180,$B181,$I$4:$I180,"&lt;&gt;Complete")=0,$A181&amp;"|"&amp;$B181,""),"")</f>
        <v/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 t="s">
        <v>244</v>
      </c>
      <c r="B182" s="2" t="s">
        <v>140</v>
      </c>
      <c r="C182" s="3" t="s">
        <v>269</v>
      </c>
      <c r="D182" s="3" t="s">
        <v>271</v>
      </c>
      <c r="E182" s="2" t="s">
        <v>165</v>
      </c>
      <c r="F182" s="2" t="s">
        <v>270</v>
      </c>
      <c r="G182" s="5">
        <v>45959</v>
      </c>
      <c r="H182" s="5"/>
      <c r="I182" s="4" t="s">
        <v>17</v>
      </c>
      <c r="J182" s="6" t="str">
        <f t="shared" si="7"/>
        <v/>
      </c>
      <c r="K182" s="4" t="str">
        <f t="shared" ca="1" si="8"/>
        <v/>
      </c>
      <c r="L182" s="7" t="str">
        <f>IF(I182="Completed","0",IF($H182="","",$H182-'[2]Read Me'!$B$4))</f>
        <v/>
      </c>
      <c r="M182" s="4" t="str">
        <f>IF($I182="Complete","Green",IF($H182="","Amber",IF($H182&lt;'[2]Read Me'!$B$4,"Red",IF($H182-'[2]Read Me'!$B$4&lt;=21,"Amber","Green"))))</f>
        <v>Amber</v>
      </c>
      <c r="N182" s="3"/>
      <c r="O182" t="str">
        <f>IF($I182&lt;&gt;"Complete",IF(COUNTIFS($A$4:$A181,$A182,$B$4:$B181,$B182,$I$4:$I181,"&lt;&gt;Complete")=0,$A182&amp;"|"&amp;$B182,""),"")</f>
        <v/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 t="s">
        <v>244</v>
      </c>
      <c r="B183" s="2" t="s">
        <v>140</v>
      </c>
      <c r="C183" s="3" t="s">
        <v>269</v>
      </c>
      <c r="D183" s="3" t="s">
        <v>259</v>
      </c>
      <c r="E183" s="2" t="s">
        <v>165</v>
      </c>
      <c r="F183" s="2" t="s">
        <v>270</v>
      </c>
      <c r="G183" s="5">
        <v>46004</v>
      </c>
      <c r="H183" s="5">
        <v>46083</v>
      </c>
      <c r="I183" s="4" t="s">
        <v>31</v>
      </c>
      <c r="J183" s="6">
        <f t="shared" si="7"/>
        <v>79</v>
      </c>
      <c r="K183" s="4" t="str">
        <f t="shared" ca="1" si="8"/>
        <v>-</v>
      </c>
      <c r="L183" s="7" t="str">
        <f>IF(I183="Completed","0",IF($H183="","",$H183-'[2]Read Me'!$B$4))</f>
        <v>0</v>
      </c>
      <c r="M183" s="4" t="str">
        <f>IF($I183="Complete","Green",IF($H183="","Amber",IF($H183&lt;'[2]Read Me'!$B$4,"Red",IF($H183-'[2]Read Me'!$B$4&lt;=21,"Amber","Green"))))</f>
        <v>Red</v>
      </c>
      <c r="N183" s="3"/>
      <c r="O183" t="str">
        <f>IF($I183&lt;&gt;"Complete",IF(COUNTIFS($A$4:$A182,$A183,$B$4:$B182,$B183,$I$4:$I182,"&lt;&gt;Complete")=0,$A183&amp;"|"&amp;$B183,""),"")</f>
        <v/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 t="s">
        <v>244</v>
      </c>
      <c r="B184" s="2" t="s">
        <v>140</v>
      </c>
      <c r="C184" s="3" t="s">
        <v>269</v>
      </c>
      <c r="D184" s="3" t="s">
        <v>260</v>
      </c>
      <c r="E184" s="2" t="s">
        <v>165</v>
      </c>
      <c r="F184" s="2"/>
      <c r="G184" s="5">
        <v>46019</v>
      </c>
      <c r="H184" s="5">
        <v>46090</v>
      </c>
      <c r="I184" s="4" t="s">
        <v>31</v>
      </c>
      <c r="J184" s="6">
        <f t="shared" si="7"/>
        <v>71</v>
      </c>
      <c r="K184" s="4" t="str">
        <f t="shared" ca="1" si="8"/>
        <v>-</v>
      </c>
      <c r="L184" s="7" t="str">
        <f>IF(I184="Completed","0",IF($H184="","",$H184-'[2]Read Me'!$B$4))</f>
        <v>0</v>
      </c>
      <c r="M184" s="4" t="str">
        <f>IF($I184="Complete","Green",IF($H184="","Amber",IF($H184&lt;'[2]Read Me'!$B$4,"Red",IF($H184-'[2]Read Me'!$B$4&lt;=21,"Amber","Green"))))</f>
        <v>Red</v>
      </c>
      <c r="N184" s="3"/>
      <c r="O184" t="str">
        <f>IF($I184&lt;&gt;"Complete",IF(COUNTIFS($A$4:$A183,$A184,$B$4:$B183,$B184,$I$4:$I183,"&lt;&gt;Complete")=0,$A184&amp;"|"&amp;$B184,""),"")</f>
        <v/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 t="s">
        <v>244</v>
      </c>
      <c r="B185" s="2" t="s">
        <v>171</v>
      </c>
      <c r="C185" s="3"/>
      <c r="D185" s="3"/>
      <c r="E185" s="2"/>
      <c r="F185" s="2"/>
      <c r="G185" s="5">
        <v>46576</v>
      </c>
      <c r="H185" s="5">
        <v>46393.7</v>
      </c>
      <c r="I185" s="4"/>
      <c r="J185" s="6">
        <f t="shared" si="7"/>
        <v>-182.30000000000291</v>
      </c>
      <c r="K185" s="4" t="str">
        <f t="shared" ca="1" si="8"/>
        <v/>
      </c>
      <c r="L185" s="7">
        <f>IF(I185="Completed","0",IF($H185="","",$H185-'[2]Read Me'!$B$4))</f>
        <v>206.69999999999709</v>
      </c>
      <c r="M185" s="4" t="str">
        <f>IF($I185="Complete","Green",IF($H185="","Amber",IF($H185&lt;'[2]Read Me'!$B$4,"Red",IF($H185-'[2]Read Me'!$B$4&lt;=21,"Amber","Green"))))</f>
        <v>Green</v>
      </c>
      <c r="N185" s="3"/>
      <c r="O185" t="str">
        <f>IF($I185&lt;&gt;"Complete",IF(COUNTIFS($A$4:$A184,$A185,$B$4:$B184,$B185,$I$4:$I184,"&lt;&gt;Complete")=0,$A185&amp;"|"&amp;$B185,""),"")</f>
        <v>IRIS 03|Infrastructure</v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 t="s">
        <v>244</v>
      </c>
      <c r="B186" s="2" t="s">
        <v>171</v>
      </c>
      <c r="C186" s="3" t="s">
        <v>272</v>
      </c>
      <c r="D186" s="3" t="s">
        <v>273</v>
      </c>
      <c r="E186" s="2" t="s">
        <v>165</v>
      </c>
      <c r="F186" s="2" t="s">
        <v>176</v>
      </c>
      <c r="G186" s="5">
        <v>46476</v>
      </c>
      <c r="H186" s="5">
        <v>46293.7</v>
      </c>
      <c r="I186" s="4" t="s">
        <v>17</v>
      </c>
      <c r="J186" s="6">
        <f t="shared" si="7"/>
        <v>-182.30000000000291</v>
      </c>
      <c r="K186" s="4" t="str">
        <f t="shared" ca="1" si="8"/>
        <v>No</v>
      </c>
      <c r="L186" s="7">
        <f>IF(I186="Completed","0",IF($H186="","",$H186-'[2]Read Me'!$B$4))</f>
        <v>106.69999999999709</v>
      </c>
      <c r="M186" s="4" t="str">
        <f>IF($I186="Complete","Green",IF($H186="","Amber",IF($H186&lt;'[2]Read Me'!$B$4,"Red",IF($H186-'[2]Read Me'!$B$4&lt;=21,"Amber","Green"))))</f>
        <v>Green</v>
      </c>
      <c r="N186" s="3"/>
      <c r="O186" t="str">
        <f>IF($I186&lt;&gt;"Complete",IF(COUNTIFS($A$4:$A185,$A186,$B$4:$B185,$B186,$I$4:$I185,"&lt;&gt;Complete")=0,$A186&amp;"|"&amp;$B186,""),"")</f>
        <v/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 t="s">
        <v>244</v>
      </c>
      <c r="B187" s="2" t="s">
        <v>171</v>
      </c>
      <c r="C187" s="3" t="s">
        <v>272</v>
      </c>
      <c r="D187" s="3" t="s">
        <v>274</v>
      </c>
      <c r="E187" s="2" t="s">
        <v>165</v>
      </c>
      <c r="F187" s="2"/>
      <c r="G187" s="5">
        <v>46491</v>
      </c>
      <c r="H187" s="5">
        <v>46308.7</v>
      </c>
      <c r="I187" s="4" t="s">
        <v>17</v>
      </c>
      <c r="J187" s="6">
        <f t="shared" si="7"/>
        <v>-182.30000000000291</v>
      </c>
      <c r="K187" s="4" t="str">
        <f t="shared" ca="1" si="8"/>
        <v>No</v>
      </c>
      <c r="L187" s="7">
        <f>IF(I187="Completed","0",IF($H187="","",$H187-'[2]Read Me'!$B$4))</f>
        <v>121.69999999999709</v>
      </c>
      <c r="M187" s="4" t="str">
        <f>IF($I187="Complete","Green",IF($H187="","Amber",IF($H187&lt;'[2]Read Me'!$B$4,"Red",IF($H187-'[2]Read Me'!$B$4&lt;=21,"Amber","Green"))))</f>
        <v>Green</v>
      </c>
      <c r="N187" s="3"/>
      <c r="O187" t="str">
        <f>IF($I187&lt;&gt;"Complete",IF(COUNTIFS($A$4:$A186,$A187,$B$4:$B186,$B187,$I$4:$I186,"&lt;&gt;Complete")=0,$A187&amp;"|"&amp;$B187,""),"")</f>
        <v/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 t="s">
        <v>244</v>
      </c>
      <c r="B188" s="2" t="s">
        <v>171</v>
      </c>
      <c r="C188" s="3" t="s">
        <v>272</v>
      </c>
      <c r="D188" s="3" t="s">
        <v>144</v>
      </c>
      <c r="E188" s="2"/>
      <c r="F188" s="2"/>
      <c r="G188" s="5">
        <v>46576</v>
      </c>
      <c r="H188" s="5">
        <v>46393.7</v>
      </c>
      <c r="I188" s="4" t="s">
        <v>17</v>
      </c>
      <c r="J188" s="6">
        <f t="shared" si="7"/>
        <v>-182.30000000000291</v>
      </c>
      <c r="K188" s="4" t="str">
        <f t="shared" ca="1" si="8"/>
        <v>No</v>
      </c>
      <c r="L188" s="7">
        <f>IF(I188="Completed","0",IF($H188="","",$H188-'[2]Read Me'!$B$4))</f>
        <v>206.69999999999709</v>
      </c>
      <c r="M188" s="4" t="str">
        <f>IF($I188="Complete","Green",IF($H188="","Amber",IF($H188&lt;'[2]Read Me'!$B$4,"Red",IF($H188-'[2]Read Me'!$B$4&lt;=21,"Amber","Green"))))</f>
        <v>Green</v>
      </c>
      <c r="N188" s="3"/>
      <c r="O188" t="str">
        <f>IF($I188&lt;&gt;"Complete",IF(COUNTIFS($A$4:$A187,$A188,$B$4:$B187,$B188,$I$4:$I187,"&lt;&gt;Complete")=0,$A188&amp;"|"&amp;$B188,""),"")</f>
        <v/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 t="s">
        <v>244</v>
      </c>
      <c r="B189" s="2" t="s">
        <v>21</v>
      </c>
      <c r="C189" s="3"/>
      <c r="D189" s="3"/>
      <c r="E189" s="2"/>
      <c r="F189" s="2"/>
      <c r="G189" s="5">
        <v>46680</v>
      </c>
      <c r="H189" s="5">
        <v>46343</v>
      </c>
      <c r="I189" s="4"/>
      <c r="J189" s="6">
        <f t="shared" si="7"/>
        <v>-337</v>
      </c>
      <c r="K189" s="4" t="str">
        <f t="shared" ca="1" si="8"/>
        <v/>
      </c>
      <c r="L189" s="7">
        <f>IF($H189="","",$H189-'[2]Read Me'!$B$4)</f>
        <v>156</v>
      </c>
      <c r="M189" s="4" t="str">
        <f>IF($I189="Complete","Green",IF($H189="","Amber",IF($H189&lt;'[2]Read Me'!$B$4,"Red",IF($H189-'[2]Read Me'!$B$4&lt;=21,"Amber","Green"))))</f>
        <v>Green</v>
      </c>
      <c r="N189" s="3"/>
      <c r="O189" t="str">
        <f>IF($I189&lt;&gt;"Complete",IF(COUNTIFS($A$4:$A188,$A189,$B$4:$B188,$B189,$I$4:$I188,"&lt;&gt;Complete")=0,$A189&amp;"|"&amp;$B189,""),"")</f>
        <v>IRIS 03|Landscape</v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 t="s">
        <v>244</v>
      </c>
      <c r="B190" s="2" t="s">
        <v>21</v>
      </c>
      <c r="C190" s="3" t="s">
        <v>275</v>
      </c>
      <c r="D190" s="3" t="s">
        <v>276</v>
      </c>
      <c r="E190" s="2" t="s">
        <v>181</v>
      </c>
      <c r="F190" s="2" t="s">
        <v>277</v>
      </c>
      <c r="G190" s="5">
        <v>45943</v>
      </c>
      <c r="H190" s="5">
        <v>45943</v>
      </c>
      <c r="I190" s="4" t="s">
        <v>31</v>
      </c>
      <c r="J190" s="6">
        <f t="shared" si="7"/>
        <v>0</v>
      </c>
      <c r="K190" s="4" t="str">
        <f t="shared" ca="1" si="8"/>
        <v>-</v>
      </c>
      <c r="L190" s="7">
        <f>IF($H190="","",$H190-'[2]Read Me'!$B$4)</f>
        <v>-244</v>
      </c>
      <c r="M190" s="4" t="str">
        <f>IF($I190="Complete","Green",IF($H190="","Amber",IF($H190&lt;'[2]Read Me'!$B$4,"Red",IF($H190-'[2]Read Me'!$B$4&lt;=21,"Amber","Green"))))</f>
        <v>Red</v>
      </c>
      <c r="N190" s="3"/>
      <c r="O190" t="str">
        <f>IF($I190&lt;&gt;"Complete",IF(COUNTIFS($A$4:$A189,$A190,$B$4:$B189,$B190,$I$4:$I189,"&lt;&gt;Complete")=0,$A190&amp;"|"&amp;$B190,""),"")</f>
        <v/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 t="s">
        <v>244</v>
      </c>
      <c r="B191" s="2" t="s">
        <v>21</v>
      </c>
      <c r="C191" s="3" t="s">
        <v>275</v>
      </c>
      <c r="D191" s="3" t="s">
        <v>210</v>
      </c>
      <c r="E191" s="2" t="s">
        <v>181</v>
      </c>
      <c r="F191" s="2"/>
      <c r="G191" s="5">
        <v>45958</v>
      </c>
      <c r="H191" s="5">
        <v>45958</v>
      </c>
      <c r="I191" s="4" t="s">
        <v>31</v>
      </c>
      <c r="J191" s="6">
        <f t="shared" si="7"/>
        <v>0</v>
      </c>
      <c r="K191" s="4" t="str">
        <f t="shared" ca="1" si="8"/>
        <v>-</v>
      </c>
      <c r="L191" s="7">
        <f>IF($H191="","",$H191-'[2]Read Me'!$B$4)</f>
        <v>-229</v>
      </c>
      <c r="M191" s="4" t="str">
        <f>IF($I191="Complete","Green",IF($H191="","Amber",IF($H191&lt;'[2]Read Me'!$B$4,"Red",IF($H191-'[2]Read Me'!$B$4&lt;=21,"Amber","Green"))))</f>
        <v>Red</v>
      </c>
      <c r="N191" s="3"/>
      <c r="O191" t="str">
        <f>IF($I191&lt;&gt;"Complete",IF(COUNTIFS($A$4:$A190,$A191,$B$4:$B190,$B191,$I$4:$I190,"&lt;&gt;Complete")=0,$A191&amp;"|"&amp;$B191,""),"")</f>
        <v/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 t="s">
        <v>244</v>
      </c>
      <c r="B192" s="2" t="s">
        <v>21</v>
      </c>
      <c r="C192" s="3" t="s">
        <v>275</v>
      </c>
      <c r="D192" s="3" t="s">
        <v>278</v>
      </c>
      <c r="E192" s="2" t="s">
        <v>181</v>
      </c>
      <c r="F192" s="2" t="s">
        <v>277</v>
      </c>
      <c r="G192" s="5">
        <v>46438</v>
      </c>
      <c r="H192" s="5">
        <v>46174</v>
      </c>
      <c r="I192" s="4" t="s">
        <v>31</v>
      </c>
      <c r="J192" s="6">
        <f t="shared" si="7"/>
        <v>-264</v>
      </c>
      <c r="K192" s="4" t="str">
        <f t="shared" ca="1" si="8"/>
        <v>-</v>
      </c>
      <c r="L192" s="7">
        <f>IF($H192="","",$H192-'[2]Read Me'!$B$4)</f>
        <v>-13</v>
      </c>
      <c r="M192" s="4" t="str">
        <f>IF($I192="Complete","Green",IF($H192="","Amber",IF($H192&lt;'[2]Read Me'!$B$4,"Red",IF($H192-'[2]Read Me'!$B$4&lt;=21,"Amber","Green"))))</f>
        <v>Red</v>
      </c>
      <c r="N192" s="3"/>
      <c r="O192" t="str">
        <f>IF($I192&lt;&gt;"Complete",IF(COUNTIFS($A$4:$A191,$A192,$B$4:$B191,$B192,$I$4:$I191,"&lt;&gt;Complete")=0,$A192&amp;"|"&amp;$B192,""),"")</f>
        <v/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 t="s">
        <v>244</v>
      </c>
      <c r="B193" s="2" t="s">
        <v>21</v>
      </c>
      <c r="C193" s="3" t="s">
        <v>275</v>
      </c>
      <c r="D193" s="3" t="s">
        <v>210</v>
      </c>
      <c r="E193" s="2" t="s">
        <v>181</v>
      </c>
      <c r="F193" s="2"/>
      <c r="G193" s="5">
        <v>46453</v>
      </c>
      <c r="H193" s="5">
        <v>46198</v>
      </c>
      <c r="I193" s="4" t="s">
        <v>46</v>
      </c>
      <c r="J193" s="6">
        <f t="shared" si="7"/>
        <v>-255</v>
      </c>
      <c r="K193" s="4" t="str">
        <f t="shared" ca="1" si="8"/>
        <v>Yes</v>
      </c>
      <c r="L193" s="7">
        <f>IF($H193="","",$H193-'[2]Read Me'!$B$4)</f>
        <v>11</v>
      </c>
      <c r="M193" s="4" t="str">
        <f>IF($I193="Complete","Green",IF($H193="","Amber",IF($H193&lt;'[2]Read Me'!$B$4,"Red",IF($H193-'[2]Read Me'!$B$4&lt;=21,"Amber","Green"))))</f>
        <v>Amber</v>
      </c>
      <c r="N193" s="3"/>
      <c r="O193" t="str">
        <f>IF($I193&lt;&gt;"Complete",IF(COUNTIFS($A$4:$A192,$A193,$B$4:$B192,$B193,$I$4:$I192,"&lt;&gt;Complete")=0,$A193&amp;"|"&amp;$B193,""),"")</f>
        <v/>
      </c>
      <c r="P193">
        <f ca="1">IF($K193="Yes",COUNTIFS($K$4:$K193,"Yes"),"")</f>
        <v>17</v>
      </c>
      <c r="Q193">
        <f t="shared" ca="1" si="9"/>
        <v>1</v>
      </c>
      <c r="R193">
        <f ca="1">IF($Q193=1,SUM($Q$4:$Q193),"")</f>
        <v>17</v>
      </c>
    </row>
    <row r="194" spans="1:18" ht="33.75" customHeight="1" x14ac:dyDescent="0.3">
      <c r="A194" s="2" t="s">
        <v>244</v>
      </c>
      <c r="B194" s="2" t="s">
        <v>21</v>
      </c>
      <c r="C194" s="3" t="s">
        <v>275</v>
      </c>
      <c r="D194" s="3" t="s">
        <v>183</v>
      </c>
      <c r="E194" s="2" t="s">
        <v>279</v>
      </c>
      <c r="F194" s="2" t="s">
        <v>81</v>
      </c>
      <c r="G194" s="5">
        <v>46460</v>
      </c>
      <c r="H194" s="5">
        <v>46197</v>
      </c>
      <c r="I194" s="4" t="s">
        <v>17</v>
      </c>
      <c r="J194" s="6">
        <f t="shared" si="7"/>
        <v>-263</v>
      </c>
      <c r="K194" s="4" t="str">
        <f t="shared" ca="1" si="8"/>
        <v>Yes</v>
      </c>
      <c r="L194" s="7">
        <f>IF($H194="","",$H194-'[2]Read Me'!$B$4)</f>
        <v>10</v>
      </c>
      <c r="M194" s="4" t="str">
        <f>IF($I194="Complete","Green",IF($H194="","Amber",IF($H194&lt;'[2]Read Me'!$B$4,"Red",IF($H194-'[2]Read Me'!$B$4&lt;=21,"Amber","Green"))))</f>
        <v>Amber</v>
      </c>
      <c r="N194" s="3"/>
      <c r="O194" t="str">
        <f>IF($I194&lt;&gt;"Complete",IF(COUNTIFS($A$4:$A193,$A194,$B$4:$B193,$B194,$I$4:$I193,"&lt;&gt;Complete")=0,$A194&amp;"|"&amp;$B194,""),"")</f>
        <v/>
      </c>
      <c r="P194">
        <f ca="1">IF($K194="Yes",COUNTIFS($K$4:$K194,"Yes"),"")</f>
        <v>18</v>
      </c>
      <c r="Q194">
        <f t="shared" ca="1" si="9"/>
        <v>1</v>
      </c>
      <c r="R194">
        <f ca="1">IF($Q194=1,SUM($Q$4:$Q194),"")</f>
        <v>18</v>
      </c>
    </row>
    <row r="195" spans="1:18" ht="33.75" customHeight="1" x14ac:dyDescent="0.3">
      <c r="A195" s="2" t="s">
        <v>244</v>
      </c>
      <c r="B195" s="2" t="s">
        <v>21</v>
      </c>
      <c r="C195" s="3" t="s">
        <v>275</v>
      </c>
      <c r="D195" s="3" t="s">
        <v>280</v>
      </c>
      <c r="E195" s="2" t="s">
        <v>181</v>
      </c>
      <c r="F195" s="2" t="s">
        <v>277</v>
      </c>
      <c r="G195" s="5">
        <v>46482</v>
      </c>
      <c r="H195" s="5">
        <v>46224</v>
      </c>
      <c r="I195" s="4" t="s">
        <v>17</v>
      </c>
      <c r="J195" s="6">
        <f t="shared" si="7"/>
        <v>-258</v>
      </c>
      <c r="K195" s="4" t="str">
        <f t="shared" ca="1" si="8"/>
        <v>No</v>
      </c>
      <c r="L195" s="7">
        <f>IF($H195="","",$H195-'[2]Read Me'!$B$4)</f>
        <v>37</v>
      </c>
      <c r="M195" s="4" t="str">
        <f>IF($I195="Complete","Green",IF($H195="","Amber",IF($H195&lt;'[2]Read Me'!$B$4,"Red",IF($H195-'[2]Read Me'!$B$4&lt;=21,"Amber","Green"))))</f>
        <v>Green</v>
      </c>
      <c r="N195" s="3"/>
      <c r="O195" t="str">
        <f>IF($I195&lt;&gt;"Complete",IF(COUNTIFS($A$4:$A194,$A195,$B$4:$B194,$B195,$I$4:$I194,"&lt;&gt;Complete")=0,$A195&amp;"|"&amp;$B195,""),"")</f>
        <v/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 t="s">
        <v>244</v>
      </c>
      <c r="B196" s="2" t="s">
        <v>21</v>
      </c>
      <c r="C196" s="3" t="s">
        <v>275</v>
      </c>
      <c r="D196" s="3" t="s">
        <v>210</v>
      </c>
      <c r="E196" s="2" t="s">
        <v>181</v>
      </c>
      <c r="F196" s="2"/>
      <c r="G196" s="5">
        <v>46498</v>
      </c>
      <c r="H196" s="5">
        <v>46240</v>
      </c>
      <c r="I196" s="4" t="s">
        <v>17</v>
      </c>
      <c r="J196" s="6">
        <f t="shared" ref="J196:J259" si="10">IF(OR($G196="",$H196=""),"",$H196-$G196)</f>
        <v>-258</v>
      </c>
      <c r="K196" s="4" t="str">
        <f t="shared" ref="K196:K243" ca="1" si="11">IF(C196="","",IF(H196="","",IF($I196="completed","-",IF($H196&gt;TODAY(),"No","Yes"))))</f>
        <v>No</v>
      </c>
      <c r="L196" s="7">
        <f>IF($H196="","",$H196-'[2]Read Me'!$B$4)</f>
        <v>53</v>
      </c>
      <c r="M196" s="4" t="str">
        <f>IF($I196="Complete","Green",IF($H196="","Amber",IF($H196&lt;'[2]Read Me'!$B$4,"Red",IF($H196-'[2]Read Me'!$B$4&lt;=21,"Amber","Green"))))</f>
        <v>Green</v>
      </c>
      <c r="N196" s="3"/>
      <c r="O196" t="str">
        <f>IF($I196&lt;&gt;"Complete",IF(COUNTIFS($A$4:$A195,$A196,$B$4:$B195,$B196,$I$4:$I195,"&lt;&gt;Complete")=0,$A196&amp;"|"&amp;$B196,""),"")</f>
        <v/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 t="s">
        <v>244</v>
      </c>
      <c r="B197" s="2" t="s">
        <v>21</v>
      </c>
      <c r="C197" s="3" t="s">
        <v>275</v>
      </c>
      <c r="D197" s="3" t="s">
        <v>281</v>
      </c>
      <c r="E197" s="2" t="s">
        <v>181</v>
      </c>
      <c r="F197" s="2" t="s">
        <v>189</v>
      </c>
      <c r="G197" s="5">
        <v>46512</v>
      </c>
      <c r="H197" s="5">
        <v>46238</v>
      </c>
      <c r="I197" s="4" t="s">
        <v>17</v>
      </c>
      <c r="J197" s="6">
        <f t="shared" si="10"/>
        <v>-274</v>
      </c>
      <c r="K197" s="4" t="str">
        <f t="shared" ca="1" si="11"/>
        <v>No</v>
      </c>
      <c r="L197" s="7">
        <f>IF($H197="","",$H197-'[2]Read Me'!$B$4)</f>
        <v>51</v>
      </c>
      <c r="M197" s="4" t="str">
        <f>IF($I197="Complete","Green",IF($H197="","Amber",IF($H197&lt;'[2]Read Me'!$B$4,"Red",IF($H197-'[2]Read Me'!$B$4&lt;=21,"Amber","Green"))))</f>
        <v>Green</v>
      </c>
      <c r="N197" s="3"/>
      <c r="O197" t="str">
        <f>IF($I197&lt;&gt;"Complete",IF(COUNTIFS($A$4:$A196,$A197,$B$4:$B196,$B197,$I$4:$I196,"&lt;&gt;Complete")=0,$A197&amp;"|"&amp;$B197,""),"")</f>
        <v/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/>
      <c r="B198" s="2"/>
      <c r="C198" s="3" t="s">
        <v>275</v>
      </c>
      <c r="D198" s="3" t="s">
        <v>58</v>
      </c>
      <c r="E198" s="2" t="s">
        <v>181</v>
      </c>
      <c r="F198" s="2"/>
      <c r="G198" s="5">
        <v>46526</v>
      </c>
      <c r="H198" s="5">
        <v>46238</v>
      </c>
      <c r="I198" s="4" t="s">
        <v>17</v>
      </c>
      <c r="J198" s="6">
        <f t="shared" si="10"/>
        <v>-288</v>
      </c>
      <c r="K198" s="4" t="str">
        <f t="shared" ca="1" si="11"/>
        <v>No</v>
      </c>
      <c r="L198" s="7">
        <f>IF($H198="","",$H198-'[2]Read Me'!$B$4)</f>
        <v>51</v>
      </c>
      <c r="M198" s="4" t="str">
        <f>IF($I198="Complete","Green",IF($H198="","Amber",IF($H198&lt;'[2]Read Me'!$B$4,"Red",IF($H198-'[2]Read Me'!$B$4&lt;=21,"Amber","Green"))))</f>
        <v>Green</v>
      </c>
      <c r="N198" s="3"/>
      <c r="O198" t="str">
        <f>IF($I198&lt;&gt;"Complete",IF(COUNTIFS($A$4:$A197,$A198,$B$4:$B197,$B198,$I$4:$I197,"&lt;&gt;Complete")=0,$A198&amp;"|"&amp;$B198,""),"")</f>
        <v>|</v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 t="s">
        <v>244</v>
      </c>
      <c r="B199" s="2" t="s">
        <v>21</v>
      </c>
      <c r="C199" s="3" t="s">
        <v>275</v>
      </c>
      <c r="D199" s="3" t="s">
        <v>282</v>
      </c>
      <c r="E199" s="2" t="s">
        <v>279</v>
      </c>
      <c r="F199" s="2" t="s">
        <v>81</v>
      </c>
      <c r="G199" s="5">
        <v>46526</v>
      </c>
      <c r="H199" s="5">
        <v>46252</v>
      </c>
      <c r="I199" s="4" t="s">
        <v>17</v>
      </c>
      <c r="J199" s="6">
        <f t="shared" si="10"/>
        <v>-274</v>
      </c>
      <c r="K199" s="4" t="str">
        <f t="shared" ca="1" si="11"/>
        <v>No</v>
      </c>
      <c r="L199" s="7">
        <f>IF($H199="","",$H199-'[2]Read Me'!$B$4)</f>
        <v>65</v>
      </c>
      <c r="M199" s="4" t="str">
        <f>IF($I199="Complete","Green",IF($H199="","Amber",IF($H199&lt;'[2]Read Me'!$B$4,"Red",IF($H199-'[2]Read Me'!$B$4&lt;=21,"Amber","Green"))))</f>
        <v>Green</v>
      </c>
      <c r="N199" s="3"/>
      <c r="O199" t="str">
        <f>IF($I199&lt;&gt;"Complete",IF(COUNTIFS($A$4:$A198,$A199,$B$4:$B198,$B199,$I$4:$I198,"&lt;&gt;Complete")=0,$A199&amp;"|"&amp;$B199,""),"")</f>
        <v/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/>
      <c r="B200" s="2"/>
      <c r="C200" s="3" t="s">
        <v>275</v>
      </c>
      <c r="D200" s="3" t="s">
        <v>283</v>
      </c>
      <c r="E200" s="2" t="s">
        <v>181</v>
      </c>
      <c r="F200" s="2" t="s">
        <v>189</v>
      </c>
      <c r="G200" s="5">
        <v>46568</v>
      </c>
      <c r="H200" s="5">
        <v>46238</v>
      </c>
      <c r="I200" s="4" t="s">
        <v>17</v>
      </c>
      <c r="J200" s="6">
        <f t="shared" si="10"/>
        <v>-330</v>
      </c>
      <c r="K200" s="4" t="str">
        <f t="shared" ca="1" si="11"/>
        <v>No</v>
      </c>
      <c r="L200" s="7">
        <f>IF($H200="","",$H200-'[2]Read Me'!$B$4)</f>
        <v>51</v>
      </c>
      <c r="M200" s="4" t="str">
        <f>IF($I200="Complete","Green",IF($H200="","Amber",IF($H200&lt;'[2]Read Me'!$B$4,"Red",IF($H200-'[2]Read Me'!$B$4&lt;=21,"Amber","Green"))))</f>
        <v>Green</v>
      </c>
      <c r="N200" s="3"/>
      <c r="O200" t="str">
        <f>IF($I200&lt;&gt;"Complete",IF(COUNTIFS($A$4:$A199,$A200,$B$4:$B199,$B200,$I$4:$I199,"&lt;&gt;Complete")=0,$A200&amp;"|"&amp;$B200,""),"")</f>
        <v>|</v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/>
      <c r="B201" s="2"/>
      <c r="C201" s="3" t="s">
        <v>275</v>
      </c>
      <c r="D201" s="3" t="s">
        <v>58</v>
      </c>
      <c r="E201" s="2" t="s">
        <v>181</v>
      </c>
      <c r="F201" s="2"/>
      <c r="G201" s="5">
        <v>46582</v>
      </c>
      <c r="H201" s="5">
        <v>46238</v>
      </c>
      <c r="I201" s="4" t="s">
        <v>17</v>
      </c>
      <c r="J201" s="6">
        <f t="shared" si="10"/>
        <v>-344</v>
      </c>
      <c r="K201" s="4" t="str">
        <f t="shared" ca="1" si="11"/>
        <v>No</v>
      </c>
      <c r="L201" s="7">
        <f>IF($H201="","",$H201-'[2]Read Me'!$B$4)</f>
        <v>51</v>
      </c>
      <c r="M201" s="4" t="str">
        <f>IF($I201="Complete","Green",IF($H201="","Amber",IF($H201&lt;'[2]Read Me'!$B$4,"Red",IF($H201-'[2]Read Me'!$B$4&lt;=21,"Amber","Green"))))</f>
        <v>Green</v>
      </c>
      <c r="N201" s="3"/>
      <c r="O201" t="str">
        <f>IF($I201&lt;&gt;"Complete",IF(COUNTIFS($A$4:$A200,$A201,$B$4:$B200,$B201,$I$4:$I200,"&lt;&gt;Complete")=0,$A201&amp;"|"&amp;$B201,""),"")</f>
        <v>|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 t="s">
        <v>244</v>
      </c>
      <c r="B202" s="2" t="s">
        <v>21</v>
      </c>
      <c r="C202" s="3" t="s">
        <v>275</v>
      </c>
      <c r="D202" s="3" t="s">
        <v>284</v>
      </c>
      <c r="E202" s="2" t="s">
        <v>181</v>
      </c>
      <c r="F202" s="2" t="s">
        <v>189</v>
      </c>
      <c r="G202" s="5">
        <v>46624</v>
      </c>
      <c r="H202" s="5">
        <v>46273</v>
      </c>
      <c r="I202" s="4" t="s">
        <v>17</v>
      </c>
      <c r="J202" s="6">
        <f t="shared" si="10"/>
        <v>-351</v>
      </c>
      <c r="K202" s="4" t="str">
        <f t="shared" ca="1" si="11"/>
        <v>No</v>
      </c>
      <c r="L202" s="7">
        <f>IF($H202="","",$H202-'[2]Read Me'!$B$4)</f>
        <v>86</v>
      </c>
      <c r="M202" s="4" t="str">
        <f>IF($I202="Complete","Green",IF($H202="","Amber",IF($H202&lt;'[2]Read Me'!$B$4,"Red",IF($H202-'[2]Read Me'!$B$4&lt;=21,"Amber","Green"))))</f>
        <v>Green</v>
      </c>
      <c r="N202" s="3"/>
      <c r="O202" t="str">
        <f>IF($I202&lt;&gt;"Complete",IF(COUNTIFS($A$4:$A201,$A202,$B$4:$B201,$B202,$I$4:$I201,"&lt;&gt;Complete")=0,$A202&amp;"|"&amp;$B202,""),"")</f>
        <v/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 t="s">
        <v>244</v>
      </c>
      <c r="B203" s="2" t="s">
        <v>21</v>
      </c>
      <c r="C203" s="3" t="s">
        <v>275</v>
      </c>
      <c r="D203" s="3" t="s">
        <v>58</v>
      </c>
      <c r="E203" s="2" t="s">
        <v>181</v>
      </c>
      <c r="F203" s="2"/>
      <c r="G203" s="5">
        <v>46638</v>
      </c>
      <c r="H203" s="5">
        <v>46287</v>
      </c>
      <c r="I203" s="4" t="s">
        <v>17</v>
      </c>
      <c r="J203" s="6">
        <f t="shared" si="10"/>
        <v>-351</v>
      </c>
      <c r="K203" s="4" t="str">
        <f t="shared" ca="1" si="11"/>
        <v>No</v>
      </c>
      <c r="L203" s="7">
        <f>IF($H203="","",$H203-'[2]Read Me'!$B$4)</f>
        <v>100</v>
      </c>
      <c r="M203" s="4" t="str">
        <f>IF($I203="Complete","Green",IF($H203="","Amber",IF($H203&lt;'[2]Read Me'!$B$4,"Red",IF($H203-'[2]Read Me'!$B$4&lt;=21,"Amber","Green"))))</f>
        <v>Green</v>
      </c>
      <c r="N203" s="3"/>
      <c r="O203" t="str">
        <f>IF($I203&lt;&gt;"Complete",IF(COUNTIFS($A$4:$A202,$A203,$B$4:$B202,$B203,$I$4:$I202,"&lt;&gt;Complete")=0,$A203&amp;"|"&amp;$B203,""),"")</f>
        <v/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 t="s">
        <v>244</v>
      </c>
      <c r="B204" s="2" t="s">
        <v>21</v>
      </c>
      <c r="C204" s="3" t="s">
        <v>275</v>
      </c>
      <c r="D204" s="3" t="s">
        <v>282</v>
      </c>
      <c r="E204" s="2" t="s">
        <v>279</v>
      </c>
      <c r="F204" s="2" t="s">
        <v>81</v>
      </c>
      <c r="G204" s="5">
        <v>46645</v>
      </c>
      <c r="H204" s="5">
        <v>46294</v>
      </c>
      <c r="I204" s="4" t="s">
        <v>17</v>
      </c>
      <c r="J204" s="6">
        <f t="shared" si="10"/>
        <v>-351</v>
      </c>
      <c r="K204" s="4" t="str">
        <f t="shared" ca="1" si="11"/>
        <v>No</v>
      </c>
      <c r="L204" s="7">
        <f>IF($H204="","",$H204-'[2]Read Me'!$B$4)</f>
        <v>107</v>
      </c>
      <c r="M204" s="4" t="str">
        <f>IF($I204="Complete","Green",IF($H204="","Amber",IF($H204&lt;'[2]Read Me'!$B$4,"Red",IF($H204-'[2]Read Me'!$B$4&lt;=21,"Amber","Green"))))</f>
        <v>Green</v>
      </c>
      <c r="N204" s="3"/>
      <c r="O204" t="str">
        <f>IF($I204&lt;&gt;"Complete",IF(COUNTIFS($A$4:$A203,$A204,$B$4:$B203,$B204,$I$4:$I203,"&lt;&gt;Complete")=0,$A204&amp;"|"&amp;$B204,""),"")</f>
        <v/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 t="s">
        <v>244</v>
      </c>
      <c r="B205" s="2" t="s">
        <v>21</v>
      </c>
      <c r="C205" s="3" t="s">
        <v>275</v>
      </c>
      <c r="D205" s="3" t="s">
        <v>285</v>
      </c>
      <c r="E205" s="2" t="s">
        <v>181</v>
      </c>
      <c r="F205" s="2" t="s">
        <v>189</v>
      </c>
      <c r="G205" s="5">
        <v>46666</v>
      </c>
      <c r="H205" s="5">
        <v>46329</v>
      </c>
      <c r="I205" s="4" t="s">
        <v>17</v>
      </c>
      <c r="J205" s="6">
        <f t="shared" si="10"/>
        <v>-337</v>
      </c>
      <c r="K205" s="4" t="str">
        <f t="shared" ca="1" si="11"/>
        <v>No</v>
      </c>
      <c r="L205" s="7">
        <f>IF($H205="","",$H205-'[2]Read Me'!$B$4)</f>
        <v>142</v>
      </c>
      <c r="M205" s="4" t="str">
        <f>IF($I205="Complete","Green",IF($H205="","Amber",IF($H205&lt;'[2]Read Me'!$B$4,"Red",IF($H205-'[2]Read Me'!$B$4&lt;=21,"Amber","Green"))))</f>
        <v>Green</v>
      </c>
      <c r="N205" s="3"/>
      <c r="O205" t="str">
        <f>IF($I205&lt;&gt;"Complete",IF(COUNTIFS($A$4:$A204,$A205,$B$4:$B204,$B205,$I$4:$I204,"&lt;&gt;Complete")=0,$A205&amp;"|"&amp;$B205,""),"")</f>
        <v/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 t="s">
        <v>244</v>
      </c>
      <c r="B206" s="2" t="s">
        <v>21</v>
      </c>
      <c r="C206" s="3" t="s">
        <v>275</v>
      </c>
      <c r="D206" s="3" t="s">
        <v>58</v>
      </c>
      <c r="E206" s="2" t="s">
        <v>181</v>
      </c>
      <c r="F206" s="2"/>
      <c r="G206" s="5">
        <v>46680</v>
      </c>
      <c r="H206" s="5">
        <v>46343</v>
      </c>
      <c r="I206" s="4" t="s">
        <v>17</v>
      </c>
      <c r="J206" s="6">
        <f t="shared" si="10"/>
        <v>-337</v>
      </c>
      <c r="K206" s="4" t="str">
        <f t="shared" ca="1" si="11"/>
        <v>No</v>
      </c>
      <c r="L206" s="7">
        <f>IF($H206="","",$H206-'[2]Read Me'!$B$4)</f>
        <v>156</v>
      </c>
      <c r="M206" s="4" t="str">
        <f>IF($I206="Complete","Green",IF($H206="","Amber",IF($H206&lt;'[2]Read Me'!$B$4,"Red",IF($H206-'[2]Read Me'!$B$4&lt;=21,"Amber","Green"))))</f>
        <v>Green</v>
      </c>
      <c r="N206" s="3"/>
      <c r="O206" t="str">
        <f>IF($I206&lt;&gt;"Complete",IF(COUNTIFS($A$4:$A205,$A206,$B$4:$B205,$B206,$I$4:$I205,"&lt;&gt;Complete")=0,$A206&amp;"|"&amp;$B206,""),"")</f>
        <v/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 t="s">
        <v>244</v>
      </c>
      <c r="B207" s="2" t="s">
        <v>49</v>
      </c>
      <c r="C207" s="3"/>
      <c r="D207" s="3"/>
      <c r="E207" s="2"/>
      <c r="F207" s="2"/>
      <c r="G207" s="5">
        <v>46554</v>
      </c>
      <c r="H207" s="5">
        <v>46414</v>
      </c>
      <c r="I207" s="4"/>
      <c r="J207" s="6">
        <f t="shared" si="10"/>
        <v>-140</v>
      </c>
      <c r="K207" s="4" t="str">
        <f t="shared" ca="1" si="11"/>
        <v/>
      </c>
      <c r="L207" s="7">
        <f>IF($H207="","",$H207-'[2]Read Me'!$B$4)</f>
        <v>227</v>
      </c>
      <c r="M207" s="4" t="str">
        <f>IF($I207="Complete","Green",IF($H207="","Amber",IF($H207&lt;'[2]Read Me'!$B$4,"Red",IF($H207-'[2]Read Me'!$B$4&lt;=21,"Amber","Green"))))</f>
        <v>Green</v>
      </c>
      <c r="N207" s="3"/>
      <c r="O207" t="str">
        <f>IF($I207&lt;&gt;"Complete",IF(COUNTIFS($A$4:$A206,$A207,$B$4:$B206,$B207,$I$4:$I206,"&lt;&gt;Complete")=0,$A207&amp;"|"&amp;$B207,""),"")</f>
        <v>IRIS 03|Authorities</v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 t="s">
        <v>244</v>
      </c>
      <c r="B208" s="2" t="s">
        <v>49</v>
      </c>
      <c r="C208" s="3" t="s">
        <v>286</v>
      </c>
      <c r="D208" s="3" t="s">
        <v>287</v>
      </c>
      <c r="E208" s="2" t="s">
        <v>104</v>
      </c>
      <c r="F208" s="2"/>
      <c r="G208" s="5">
        <v>46071</v>
      </c>
      <c r="H208" s="5">
        <v>46330</v>
      </c>
      <c r="I208" s="4" t="s">
        <v>17</v>
      </c>
      <c r="J208" s="6">
        <f t="shared" si="10"/>
        <v>259</v>
      </c>
      <c r="K208" s="4" t="str">
        <f t="shared" ca="1" si="11"/>
        <v>No</v>
      </c>
      <c r="L208" s="7">
        <f>IF($H208="","",$H208-'[2]Read Me'!$B$4)</f>
        <v>143</v>
      </c>
      <c r="M208" s="4" t="str">
        <f>IF($I208="Complete","Green",IF($H208="","Amber",IF($H208&lt;'[2]Read Me'!$B$4,"Red",IF($H208-'[2]Read Me'!$B$4&lt;=21,"Amber","Green"))))</f>
        <v>Green</v>
      </c>
      <c r="N208" s="3"/>
      <c r="O208" t="str">
        <f>IF($I208&lt;&gt;"Complete",IF(COUNTIFS($A$4:$A207,$A208,$B$4:$B207,$B208,$I$4:$I207,"&lt;&gt;Complete")=0,$A208&amp;"|"&amp;$B208,""),"")</f>
        <v/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 t="s">
        <v>244</v>
      </c>
      <c r="B209" s="2" t="s">
        <v>49</v>
      </c>
      <c r="C209" s="3" t="s">
        <v>286</v>
      </c>
      <c r="D209" s="3" t="s">
        <v>288</v>
      </c>
      <c r="E209" s="2" t="s">
        <v>104</v>
      </c>
      <c r="F209" s="2"/>
      <c r="G209" s="5">
        <v>46512</v>
      </c>
      <c r="H209" s="5">
        <v>46372</v>
      </c>
      <c r="I209" s="4" t="s">
        <v>17</v>
      </c>
      <c r="J209" s="6">
        <f t="shared" si="10"/>
        <v>-140</v>
      </c>
      <c r="K209" s="4" t="str">
        <f t="shared" ca="1" si="11"/>
        <v>No</v>
      </c>
      <c r="L209" s="7">
        <f>IF($H209="","",$H209-'[2]Read Me'!$B$4)</f>
        <v>185</v>
      </c>
      <c r="M209" s="4" t="str">
        <f>IF($I209="Complete","Green",IF($H209="","Amber",IF($H209&lt;'[2]Read Me'!$B$4,"Red",IF($H209-'[2]Read Me'!$B$4&lt;=21,"Amber","Green"))))</f>
        <v>Green</v>
      </c>
      <c r="N209" s="3"/>
      <c r="O209" t="str">
        <f>IF($I209&lt;&gt;"Complete",IF(COUNTIFS($A$4:$A208,$A209,$B$4:$B208,$B209,$I$4:$I208,"&lt;&gt;Complete")=0,$A209&amp;"|"&amp;$B209,""),"")</f>
        <v/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 t="s">
        <v>244</v>
      </c>
      <c r="B210" s="2" t="s">
        <v>49</v>
      </c>
      <c r="C210" s="3" t="s">
        <v>286</v>
      </c>
      <c r="D210" s="3" t="s">
        <v>289</v>
      </c>
      <c r="E210" s="2" t="s">
        <v>104</v>
      </c>
      <c r="F210" s="2"/>
      <c r="G210" s="5">
        <v>46554</v>
      </c>
      <c r="H210" s="5">
        <v>46414</v>
      </c>
      <c r="I210" s="4" t="s">
        <v>17</v>
      </c>
      <c r="J210" s="6">
        <f t="shared" si="10"/>
        <v>-140</v>
      </c>
      <c r="K210" s="4" t="str">
        <f t="shared" ca="1" si="11"/>
        <v>No</v>
      </c>
      <c r="L210" s="7">
        <f>IF($H210="","",$H210-'[2]Read Me'!$B$4)</f>
        <v>227</v>
      </c>
      <c r="M210" s="4" t="str">
        <f>IF($I210="Complete","Green",IF($H210="","Amber",IF($H210&lt;'[2]Read Me'!$B$4,"Red",IF($H210-'[2]Read Me'!$B$4&lt;=21,"Amber","Green"))))</f>
        <v>Green</v>
      </c>
      <c r="N210" s="3"/>
      <c r="O210" t="str">
        <f>IF($I210&lt;&gt;"Complete",IF(COUNTIFS($A$4:$A209,$A210,$B$4:$B209,$B210,$I$4:$I209,"&lt;&gt;Complete")=0,$A210&amp;"|"&amp;$B210,""),"")</f>
        <v/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 t="s">
        <v>244</v>
      </c>
      <c r="B211" s="2" t="s">
        <v>186</v>
      </c>
      <c r="C211" s="3"/>
      <c r="D211" s="3"/>
      <c r="E211" s="2"/>
      <c r="F211" s="2"/>
      <c r="G211" s="5"/>
      <c r="H211" s="5">
        <v>46219</v>
      </c>
      <c r="I211" s="4"/>
      <c r="J211" s="6" t="str">
        <f t="shared" si="10"/>
        <v/>
      </c>
      <c r="K211" s="4" t="str">
        <f t="shared" ca="1" si="11"/>
        <v/>
      </c>
      <c r="L211" s="7">
        <f>IF($H211="","",$H211-'[2]Read Me'!$B$4)</f>
        <v>32</v>
      </c>
      <c r="M211" s="4" t="str">
        <f>IF($I211="Complete","Green",IF($H211="","Amber",IF($H211&lt;'[2]Read Me'!$B$4,"Red",IF($H211-'[2]Read Me'!$B$4&lt;=21,"Amber","Green"))))</f>
        <v>Green</v>
      </c>
      <c r="N211" s="3"/>
      <c r="O211" t="str">
        <f>IF($I211&lt;&gt;"Complete",IF(COUNTIFS($A$4:$A210,$A211,$B$4:$B210,$B211,$I$4:$I210,"&lt;&gt;Complete")=0,$A211&amp;"|"&amp;$B211,""),"")</f>
        <v>IRIS 03|Plot Fences</v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 t="s">
        <v>244</v>
      </c>
      <c r="B212" s="2" t="s">
        <v>186</v>
      </c>
      <c r="C212" s="3" t="s">
        <v>290</v>
      </c>
      <c r="D212" s="3" t="s">
        <v>16</v>
      </c>
      <c r="E212" s="2" t="s">
        <v>291</v>
      </c>
      <c r="F212" s="2"/>
      <c r="G212" s="5"/>
      <c r="H212" s="5">
        <v>46212</v>
      </c>
      <c r="I212" s="4" t="s">
        <v>17</v>
      </c>
      <c r="J212" s="6" t="str">
        <f t="shared" si="10"/>
        <v/>
      </c>
      <c r="K212" s="4" t="str">
        <f t="shared" ca="1" si="11"/>
        <v>No</v>
      </c>
      <c r="L212" s="7">
        <f>IF($H212="","",$H212-'[2]Read Me'!$B$4)</f>
        <v>25</v>
      </c>
      <c r="M212" s="4" t="str">
        <f>IF($I212="Complete","Green",IF($H212="","Amber",IF($H212&lt;'[2]Read Me'!$B$4,"Red",IF($H212-'[2]Read Me'!$B$4&lt;=21,"Amber","Green"))))</f>
        <v>Green</v>
      </c>
      <c r="N212" s="3"/>
      <c r="O212" t="str">
        <f>IF($I212&lt;&gt;"Complete",IF(COUNTIFS($A$4:$A211,$A212,$B$4:$B211,$B212,$I$4:$I211,"&lt;&gt;Complete")=0,$A212&amp;"|"&amp;$B212,""),"")</f>
        <v/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 t="s">
        <v>244</v>
      </c>
      <c r="B213" s="2" t="s">
        <v>186</v>
      </c>
      <c r="C213" s="3" t="s">
        <v>290</v>
      </c>
      <c r="D213" s="3" t="s">
        <v>58</v>
      </c>
      <c r="E213" s="2"/>
      <c r="F213" s="2"/>
      <c r="G213" s="5"/>
      <c r="H213" s="5">
        <v>46219</v>
      </c>
      <c r="I213" s="4" t="s">
        <v>17</v>
      </c>
      <c r="J213" s="6" t="str">
        <f t="shared" si="10"/>
        <v/>
      </c>
      <c r="K213" s="4" t="str">
        <f t="shared" ca="1" si="11"/>
        <v>No</v>
      </c>
      <c r="L213" s="7">
        <f>IF($H213="","",$H213-'[2]Read Me'!$B$4)</f>
        <v>32</v>
      </c>
      <c r="M213" s="4" t="str">
        <f>IF($I213="Complete","Green",IF($H213="","Amber",IF($H213&lt;'[2]Read Me'!$B$4,"Red",IF($H213-'[2]Read Me'!$B$4&lt;=21,"Amber","Green"))))</f>
        <v>Green</v>
      </c>
      <c r="N213" s="3"/>
      <c r="O213" t="str">
        <f>IF($I213&lt;&gt;"Complete",IF(COUNTIFS($A$4:$A212,$A213,$B$4:$B212,$B213,$I$4:$I212,"&lt;&gt;Complete")=0,$A213&amp;"|"&amp;$B213,""),"")</f>
        <v/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 t="s">
        <v>244</v>
      </c>
      <c r="B214" s="2" t="s">
        <v>192</v>
      </c>
      <c r="C214" s="3"/>
      <c r="D214" s="3"/>
      <c r="E214" s="2"/>
      <c r="F214" s="2"/>
      <c r="G214" s="5"/>
      <c r="H214" s="5">
        <v>45938</v>
      </c>
      <c r="I214" s="4"/>
      <c r="J214" s="6" t="str">
        <f t="shared" si="10"/>
        <v/>
      </c>
      <c r="K214" s="4" t="str">
        <f t="shared" ca="1" si="11"/>
        <v/>
      </c>
      <c r="L214" s="7">
        <f>IF($H214="","",$H214-'[2]Read Me'!$B$4)</f>
        <v>-249</v>
      </c>
      <c r="M214" s="4" t="str">
        <f>IF($I214="Complete","Green",IF($H214="","Amber",IF($H214&lt;'[2]Read Me'!$B$4,"Red",IF($H214-'[2]Read Me'!$B$4&lt;=21,"Amber","Green"))))</f>
        <v>Red</v>
      </c>
      <c r="N214" s="3"/>
      <c r="O214" t="str">
        <f>IF($I214&lt;&gt;"Complete",IF(COUNTIFS($A$4:$A213,$A214,$B$4:$B213,$B214,$I$4:$I213,"&lt;&gt;Complete")=0,$A214&amp;"|"&amp;$B214,""),"")</f>
        <v>IRIS 03|Parcel Fence</v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 t="s">
        <v>244</v>
      </c>
      <c r="B215" s="2" t="s">
        <v>192</v>
      </c>
      <c r="C215" s="3" t="s">
        <v>292</v>
      </c>
      <c r="D215" s="3" t="s">
        <v>293</v>
      </c>
      <c r="E215" s="2"/>
      <c r="F215" s="2"/>
      <c r="G215" s="5"/>
      <c r="H215" s="5">
        <v>45938</v>
      </c>
      <c r="I215" s="4" t="s">
        <v>31</v>
      </c>
      <c r="J215" s="6" t="str">
        <f t="shared" si="10"/>
        <v/>
      </c>
      <c r="K215" s="4" t="str">
        <f t="shared" ca="1" si="11"/>
        <v>-</v>
      </c>
      <c r="L215" s="7">
        <f>IF($H215="","",$H215-'[2]Read Me'!$B$4)</f>
        <v>-249</v>
      </c>
      <c r="M215" s="4" t="str">
        <f>IF($I215="Complete","Green",IF($H215="","Amber",IF($H215&lt;'[2]Read Me'!$B$4,"Red",IF($H215-'[2]Read Me'!$B$4&lt;=21,"Amber","Green"))))</f>
        <v>Red</v>
      </c>
      <c r="N215" s="3"/>
      <c r="O215" t="str">
        <f>IF($I215&lt;&gt;"Complete",IF(COUNTIFS($A$4:$A214,$A215,$B$4:$B214,$B215,$I$4:$I214,"&lt;&gt;Complete")=0,$A215&amp;"|"&amp;$B215,""),"")</f>
        <v/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 t="s">
        <v>294</v>
      </c>
      <c r="B216" s="2" t="s">
        <v>171</v>
      </c>
      <c r="C216" s="3"/>
      <c r="D216" s="3"/>
      <c r="E216" s="2"/>
      <c r="F216" s="2"/>
      <c r="G216" s="5">
        <v>45690</v>
      </c>
      <c r="H216" s="5">
        <v>45690</v>
      </c>
      <c r="I216" s="4"/>
      <c r="J216" s="6">
        <f t="shared" si="10"/>
        <v>0</v>
      </c>
      <c r="K216" s="4" t="str">
        <f t="shared" ca="1" si="11"/>
        <v/>
      </c>
      <c r="L216" s="7">
        <f>IF($H216="","",$H216-'[2]Read Me'!$B$4)</f>
        <v>-497</v>
      </c>
      <c r="M216" s="4" t="str">
        <f>IF($I216="Complete","Green",IF($H216="","Amber",IF($H216&lt;'[2]Read Me'!$B$4,"Red",IF($H216-'[2]Read Me'!$B$4&lt;=21,"Amber","Green"))))</f>
        <v>Red</v>
      </c>
      <c r="N216" s="3"/>
      <c r="O216" t="str">
        <f>IF($I216&lt;&gt;"Complete",IF(COUNTIFS($A$4:$A215,$A216,$B$4:$B215,$B216,$I$4:$I215,"&lt;&gt;Complete")=0,$A216&amp;"|"&amp;$B216,""),"")</f>
        <v>Parcel 07|Infrastructure</v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 t="s">
        <v>294</v>
      </c>
      <c r="B217" s="2" t="s">
        <v>171</v>
      </c>
      <c r="C217" s="3" t="s">
        <v>295</v>
      </c>
      <c r="D217" s="3" t="s">
        <v>173</v>
      </c>
      <c r="E217" s="2"/>
      <c r="F217" s="2"/>
      <c r="G217" s="5">
        <v>45603</v>
      </c>
      <c r="H217" s="5">
        <v>45603</v>
      </c>
      <c r="I217" s="4" t="s">
        <v>17</v>
      </c>
      <c r="J217" s="6">
        <f t="shared" si="10"/>
        <v>0</v>
      </c>
      <c r="K217" s="4" t="str">
        <f t="shared" ca="1" si="11"/>
        <v>Yes</v>
      </c>
      <c r="L217" s="7">
        <f>IF($H217="","",$H217-'[2]Read Me'!$B$4)</f>
        <v>-584</v>
      </c>
      <c r="M217" s="4" t="str">
        <f>IF($I217="Complete","Green",IF($H217="","Amber",IF($H217&lt;'[2]Read Me'!$B$4,"Red",IF($H217-'[2]Read Me'!$B$4&lt;=21,"Amber","Green"))))</f>
        <v>Red</v>
      </c>
      <c r="N217" s="3"/>
      <c r="O217" t="str">
        <f>IF($I217&lt;&gt;"Complete",IF(COUNTIFS($A$4:$A216,$A217,$B$4:$B216,$B217,$I$4:$I216,"&lt;&gt;Complete")=0,$A217&amp;"|"&amp;$B217,""),"")</f>
        <v/>
      </c>
      <c r="P217">
        <f ca="1">IF($K217="Yes",COUNTIFS($K$4:$K217,"Yes"),"")</f>
        <v>19</v>
      </c>
      <c r="Q217">
        <f t="shared" ca="1" si="12"/>
        <v>1</v>
      </c>
      <c r="R217">
        <f ca="1">IF($Q217=1,SUM($Q$4:$Q217),"")</f>
        <v>19</v>
      </c>
    </row>
    <row r="218" spans="1:18" ht="22.5" customHeight="1" x14ac:dyDescent="0.3">
      <c r="A218" s="2" t="s">
        <v>294</v>
      </c>
      <c r="B218" s="2" t="s">
        <v>171</v>
      </c>
      <c r="C218" s="3" t="s">
        <v>295</v>
      </c>
      <c r="D218" s="3" t="s">
        <v>296</v>
      </c>
      <c r="E218" s="2"/>
      <c r="F218" s="2"/>
      <c r="G218" s="5">
        <v>45631</v>
      </c>
      <c r="H218" s="5">
        <v>45631</v>
      </c>
      <c r="I218" s="4" t="s">
        <v>31</v>
      </c>
      <c r="J218" s="6">
        <f t="shared" si="10"/>
        <v>0</v>
      </c>
      <c r="K218" s="4" t="str">
        <f t="shared" ca="1" si="11"/>
        <v>-</v>
      </c>
      <c r="L218" s="7">
        <f>IF($H218="","",$H218-'[2]Read Me'!$B$4)</f>
        <v>-556</v>
      </c>
      <c r="M218" s="4" t="str">
        <f>IF($I218="Complete","Green",IF($H218="","Amber",IF($H218&lt;'[2]Read Me'!$B$4,"Red",IF($H218-'[2]Read Me'!$B$4&lt;=21,"Amber","Green"))))</f>
        <v>Red</v>
      </c>
      <c r="N218" s="3"/>
      <c r="O218" t="str">
        <f>IF($I218&lt;&gt;"Complete",IF(COUNTIFS($A$4:$A217,$A218,$B$4:$B217,$B218,$I$4:$I217,"&lt;&gt;Complete")=0,$A218&amp;"|"&amp;$B218,""),"")</f>
        <v/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 t="s">
        <v>294</v>
      </c>
      <c r="B219" s="2" t="s">
        <v>171</v>
      </c>
      <c r="C219" s="3" t="s">
        <v>295</v>
      </c>
      <c r="D219" s="3" t="s">
        <v>297</v>
      </c>
      <c r="E219" s="2"/>
      <c r="F219" s="2"/>
      <c r="G219" s="5">
        <v>45690</v>
      </c>
      <c r="H219" s="5">
        <v>45690</v>
      </c>
      <c r="I219" s="4" t="s">
        <v>31</v>
      </c>
      <c r="J219" s="6">
        <f t="shared" si="10"/>
        <v>0</v>
      </c>
      <c r="K219" s="4" t="str">
        <f t="shared" ca="1" si="11"/>
        <v>-</v>
      </c>
      <c r="L219" s="7">
        <f>IF($H219="","",$H219-'[2]Read Me'!$B$4)</f>
        <v>-497</v>
      </c>
      <c r="M219" s="4" t="str">
        <f>IF($I219="Complete","Green",IF($H219="","Amber",IF($H219&lt;'[2]Read Me'!$B$4,"Red",IF($H219-'[2]Read Me'!$B$4&lt;=21,"Amber","Green"))))</f>
        <v>Red</v>
      </c>
      <c r="N219" s="3"/>
      <c r="O219" t="str">
        <f>IF($I219&lt;&gt;"Complete",IF(COUNTIFS($A$4:$A218,$A219,$B$4:$B218,$B219,$I$4:$I218,"&lt;&gt;Complete")=0,$A219&amp;"|"&amp;$B219,""),"")</f>
        <v/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 t="s">
        <v>294</v>
      </c>
      <c r="B220" s="2" t="s">
        <v>41</v>
      </c>
      <c r="C220" s="3"/>
      <c r="D220" s="3"/>
      <c r="E220" s="2"/>
      <c r="F220" s="2"/>
      <c r="G220" s="5">
        <v>45991</v>
      </c>
      <c r="H220" s="5">
        <v>46154</v>
      </c>
      <c r="I220" s="4"/>
      <c r="J220" s="6">
        <f t="shared" si="10"/>
        <v>163</v>
      </c>
      <c r="K220" s="4" t="str">
        <f t="shared" ca="1" si="11"/>
        <v/>
      </c>
      <c r="L220" s="7">
        <f>IF($H220="","",$H220-'[2]Read Me'!$B$4)</f>
        <v>-33</v>
      </c>
      <c r="M220" s="4" t="str">
        <f>IF($I220="Complete","Green",IF($H220="","Amber",IF($H220&lt;'[2]Read Me'!$B$4,"Red",IF($H220-'[2]Read Me'!$B$4&lt;=21,"Amber","Green"))))</f>
        <v>Red</v>
      </c>
      <c r="N220" s="3"/>
      <c r="O220" t="str">
        <f>IF($I220&lt;&gt;"Complete",IF(COUNTIFS($A$4:$A219,$A220,$B$4:$B219,$B220,$I$4:$I219,"&lt;&gt;Complete")=0,$A220&amp;"|"&amp;$B220,""),"")</f>
        <v>Parcel 07|Fit-out</v>
      </c>
      <c r="P220" t="str">
        <f ca="1">IF($K220="Yes",COUNTIFS($K$4:$K220,"Yes"),"")</f>
        <v/>
      </c>
      <c r="Q220">
        <f t="shared" ca="1" si="12"/>
        <v>0</v>
      </c>
      <c r="R220" t="str">
        <f ca="1">IF($Q220=1,SUM($Q$4:$Q220),"")</f>
        <v/>
      </c>
    </row>
    <row r="221" spans="1:18" ht="22.5" customHeight="1" x14ac:dyDescent="0.3">
      <c r="A221" s="2" t="s">
        <v>294</v>
      </c>
      <c r="B221" s="2" t="s">
        <v>41</v>
      </c>
      <c r="C221" s="3" t="s">
        <v>298</v>
      </c>
      <c r="D221" s="3" t="s">
        <v>299</v>
      </c>
      <c r="E221" s="2"/>
      <c r="F221" s="2"/>
      <c r="G221" s="5">
        <v>45826</v>
      </c>
      <c r="H221" s="5">
        <v>45826</v>
      </c>
      <c r="I221" s="4" t="s">
        <v>31</v>
      </c>
      <c r="J221" s="6">
        <f t="shared" si="10"/>
        <v>0</v>
      </c>
      <c r="K221" s="4" t="str">
        <f t="shared" ca="1" si="11"/>
        <v>-</v>
      </c>
      <c r="L221" s="7">
        <f>IF($H221="","",$H221-'[2]Read Me'!$B$4)</f>
        <v>-361</v>
      </c>
      <c r="M221" s="4" t="str">
        <f>IF($I221="Complete","Green",IF($H221="","Amber",IF($H221&lt;'[2]Read Me'!$B$4,"Red",IF($H221-'[2]Read Me'!$B$4&lt;=21,"Amber","Green"))))</f>
        <v>Red</v>
      </c>
      <c r="N221" s="3"/>
      <c r="O221" t="str">
        <f>IF($I221&lt;&gt;"Complete",IF(COUNTIFS($A$4:$A220,$A221,$B$4:$B220,$B221,$I$4:$I220,"&lt;&gt;Complete")=0,$A221&amp;"|"&amp;$B221,""),"")</f>
        <v/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 t="s">
        <v>294</v>
      </c>
      <c r="B222" s="2" t="s">
        <v>41</v>
      </c>
      <c r="C222" s="3" t="s">
        <v>298</v>
      </c>
      <c r="D222" s="3" t="s">
        <v>58</v>
      </c>
      <c r="E222" s="2"/>
      <c r="F222" s="2"/>
      <c r="G222" s="5">
        <v>45827</v>
      </c>
      <c r="H222" s="5">
        <v>45827</v>
      </c>
      <c r="I222" s="4" t="s">
        <v>31</v>
      </c>
      <c r="J222" s="6">
        <f t="shared" si="10"/>
        <v>0</v>
      </c>
      <c r="K222" s="4" t="str">
        <f t="shared" ca="1" si="11"/>
        <v>-</v>
      </c>
      <c r="L222" s="7">
        <f>IF($H222="","",$H222-'[2]Read Me'!$B$4)</f>
        <v>-360</v>
      </c>
      <c r="M222" s="4" t="str">
        <f>IF($I222="Complete","Green",IF($H222="","Amber",IF($H222&lt;'[2]Read Me'!$B$4,"Red",IF($H222-'[2]Read Me'!$B$4&lt;=21,"Amber","Green"))))</f>
        <v>Red</v>
      </c>
      <c r="N222" s="3"/>
      <c r="O222" t="str">
        <f>IF($I222&lt;&gt;"Complete",IF(COUNTIFS($A$4:$A221,$A222,$B$4:$B221,$B222,$I$4:$I221,"&lt;&gt;Complete")=0,$A222&amp;"|"&amp;$B222,""),"")</f>
        <v/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 t="s">
        <v>294</v>
      </c>
      <c r="B223" s="2" t="s">
        <v>41</v>
      </c>
      <c r="C223" s="3" t="s">
        <v>298</v>
      </c>
      <c r="D223" s="3" t="s">
        <v>300</v>
      </c>
      <c r="E223" s="2"/>
      <c r="F223" s="2"/>
      <c r="G223" s="5">
        <v>45833</v>
      </c>
      <c r="H223" s="5">
        <v>45833</v>
      </c>
      <c r="I223" s="4" t="s">
        <v>31</v>
      </c>
      <c r="J223" s="6">
        <f t="shared" si="10"/>
        <v>0</v>
      </c>
      <c r="K223" s="4" t="str">
        <f t="shared" ca="1" si="11"/>
        <v>-</v>
      </c>
      <c r="L223" s="7">
        <f>IF($H223="","",$H223-'[2]Read Me'!$B$4)</f>
        <v>-354</v>
      </c>
      <c r="M223" s="4" t="str">
        <f>IF($I223="Complete","Green",IF($H223="","Amber",IF($H223&lt;'[2]Read Me'!$B$4,"Red",IF($H223-'[2]Read Me'!$B$4&lt;=21,"Amber","Green"))))</f>
        <v>Red</v>
      </c>
      <c r="N223" s="3"/>
      <c r="O223" t="str">
        <f>IF($I223&lt;&gt;"Complete",IF(COUNTIFS($A$4:$A222,$A223,$B$4:$B222,$B223,$I$4:$I222,"&lt;&gt;Complete")=0,$A223&amp;"|"&amp;$B223,""),"")</f>
        <v/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 t="s">
        <v>294</v>
      </c>
      <c r="B224" s="2" t="s">
        <v>41</v>
      </c>
      <c r="C224" s="3" t="s">
        <v>298</v>
      </c>
      <c r="D224" s="3" t="s">
        <v>58</v>
      </c>
      <c r="E224" s="2"/>
      <c r="F224" s="2"/>
      <c r="G224" s="5">
        <v>45834</v>
      </c>
      <c r="H224" s="5">
        <v>45834</v>
      </c>
      <c r="I224" s="4" t="s">
        <v>31</v>
      </c>
      <c r="J224" s="6">
        <f t="shared" si="10"/>
        <v>0</v>
      </c>
      <c r="K224" s="4" t="str">
        <f t="shared" ca="1" si="11"/>
        <v>-</v>
      </c>
      <c r="L224" s="7">
        <f>IF($H224="","",$H224-'[2]Read Me'!$B$4)</f>
        <v>-353</v>
      </c>
      <c r="M224" s="4" t="str">
        <f>IF($I224="Complete","Green",IF($H224="","Amber",IF($H224&lt;'[2]Read Me'!$B$4,"Red",IF($H224-'[2]Read Me'!$B$4&lt;=21,"Amber","Green"))))</f>
        <v>Red</v>
      </c>
      <c r="N224" s="3"/>
      <c r="O224" t="str">
        <f>IF($I224&lt;&gt;"Complete",IF(COUNTIFS($A$4:$A223,$A224,$B$4:$B223,$B224,$I$4:$I223,"&lt;&gt;Complete")=0,$A224&amp;"|"&amp;$B224,""),"")</f>
        <v/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 t="s">
        <v>294</v>
      </c>
      <c r="B225" s="2" t="s">
        <v>41</v>
      </c>
      <c r="C225" s="3" t="s">
        <v>298</v>
      </c>
      <c r="D225" s="3" t="s">
        <v>301</v>
      </c>
      <c r="E225" s="2"/>
      <c r="F225" s="2"/>
      <c r="G225" s="5">
        <v>45976</v>
      </c>
      <c r="H225" s="5">
        <v>45974</v>
      </c>
      <c r="I225" s="4" t="s">
        <v>31</v>
      </c>
      <c r="J225" s="6">
        <f t="shared" si="10"/>
        <v>-2</v>
      </c>
      <c r="K225" s="4" t="str">
        <f t="shared" ca="1" si="11"/>
        <v>-</v>
      </c>
      <c r="L225" s="7">
        <f>IF($H225="","",$H225-'[2]Read Me'!$B$4)</f>
        <v>-213</v>
      </c>
      <c r="M225" s="4" t="str">
        <f>IF($I225="Complete","Green",IF($H225="","Amber",IF($H225&lt;'[2]Read Me'!$B$4,"Red",IF($H225-'[2]Read Me'!$B$4&lt;=21,"Amber","Green"))))</f>
        <v>Red</v>
      </c>
      <c r="N225" s="3"/>
      <c r="O225" t="str">
        <f>IF($I225&lt;&gt;"Complete",IF(COUNTIFS($A$4:$A224,$A225,$B$4:$B224,$B225,$I$4:$I224,"&lt;&gt;Complete")=0,$A225&amp;"|"&amp;$B225,""),"")</f>
        <v/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 t="s">
        <v>294</v>
      </c>
      <c r="B226" s="2" t="s">
        <v>41</v>
      </c>
      <c r="C226" s="3" t="s">
        <v>298</v>
      </c>
      <c r="D226" s="3" t="s">
        <v>58</v>
      </c>
      <c r="E226" s="2"/>
      <c r="F226" s="2"/>
      <c r="G226" s="5">
        <v>45991</v>
      </c>
      <c r="H226" s="5">
        <v>45991</v>
      </c>
      <c r="I226" s="4" t="s">
        <v>31</v>
      </c>
      <c r="J226" s="6">
        <f t="shared" si="10"/>
        <v>0</v>
      </c>
      <c r="K226" s="4" t="str">
        <f t="shared" ca="1" si="11"/>
        <v>-</v>
      </c>
      <c r="L226" s="7">
        <f>IF($H226="","",$H226-'[2]Read Me'!$B$4)</f>
        <v>-196</v>
      </c>
      <c r="M226" s="4" t="str">
        <f>IF($I226="Complete","Green",IF($H226="","Amber",IF($H226&lt;'[2]Read Me'!$B$4,"Red",IF($H226-'[2]Read Me'!$B$4&lt;=21,"Amber","Green"))))</f>
        <v>Red</v>
      </c>
      <c r="N226" s="3"/>
      <c r="O226" t="str">
        <f>IF($I226&lt;&gt;"Complete",IF(COUNTIFS($A$4:$A225,$A226,$B$4:$B225,$B226,$I$4:$I225,"&lt;&gt;Complete")=0,$A226&amp;"|"&amp;$B226,""),"")</f>
        <v/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 t="s">
        <v>294</v>
      </c>
      <c r="B227" s="2" t="s">
        <v>41</v>
      </c>
      <c r="C227" s="3" t="s">
        <v>298</v>
      </c>
      <c r="D227" s="3" t="s">
        <v>302</v>
      </c>
      <c r="E227" s="2"/>
      <c r="F227" s="2"/>
      <c r="G227" s="5">
        <v>45962</v>
      </c>
      <c r="H227" s="5">
        <v>45974</v>
      </c>
      <c r="I227" s="4" t="s">
        <v>31</v>
      </c>
      <c r="J227" s="6">
        <f t="shared" si="10"/>
        <v>12</v>
      </c>
      <c r="K227" s="4" t="str">
        <f t="shared" ca="1" si="11"/>
        <v>-</v>
      </c>
      <c r="L227" s="7">
        <f>IF($H227="","",$H227-'[2]Read Me'!$B$4)</f>
        <v>-213</v>
      </c>
      <c r="M227" s="4" t="str">
        <f>IF($I227="Complete","Green",IF($H227="","Amber",IF($H227&lt;'[2]Read Me'!$B$4,"Red",IF($H227-'[2]Read Me'!$B$4&lt;=21,"Amber","Green"))))</f>
        <v>Red</v>
      </c>
      <c r="N227" s="3"/>
      <c r="O227" t="str">
        <f>IF($I227&lt;&gt;"Complete",IF(COUNTIFS($A$4:$A226,$A227,$B$4:$B226,$B227,$I$4:$I226,"&lt;&gt;Complete")=0,$A227&amp;"|"&amp;$B227,""),"")</f>
        <v/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 t="s">
        <v>294</v>
      </c>
      <c r="B228" s="2" t="s">
        <v>41</v>
      </c>
      <c r="C228" s="3" t="s">
        <v>298</v>
      </c>
      <c r="D228" s="3" t="s">
        <v>58</v>
      </c>
      <c r="E228" s="2"/>
      <c r="F228" s="2"/>
      <c r="G228" s="5">
        <v>45977</v>
      </c>
      <c r="H228" s="5">
        <v>45986</v>
      </c>
      <c r="I228" s="4" t="s">
        <v>31</v>
      </c>
      <c r="J228" s="6">
        <f t="shared" si="10"/>
        <v>9</v>
      </c>
      <c r="K228" s="4" t="str">
        <f t="shared" ca="1" si="11"/>
        <v>-</v>
      </c>
      <c r="L228" s="7">
        <f>IF($H228="","",$H228-'[2]Read Me'!$B$4)</f>
        <v>-201</v>
      </c>
      <c r="M228" s="4" t="str">
        <f>IF($I228="Complete","Green",IF($H228="","Amber",IF($H228&lt;'[2]Read Me'!$B$4,"Red",IF($H228-'[2]Read Me'!$B$4&lt;=21,"Amber","Green"))))</f>
        <v>Red</v>
      </c>
      <c r="N228" s="3"/>
      <c r="O228" t="str">
        <f>IF($I228&lt;&gt;"Complete",IF(COUNTIFS($A$4:$A227,$A228,$B$4:$B227,$B228,$I$4:$I227,"&lt;&gt;Complete")=0,$A228&amp;"|"&amp;$B228,""),"")</f>
        <v/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 t="s">
        <v>294</v>
      </c>
      <c r="B229" s="2" t="s">
        <v>303</v>
      </c>
      <c r="C229" s="3"/>
      <c r="D229" s="3"/>
      <c r="E229" s="2"/>
      <c r="F229" s="2"/>
      <c r="G229" s="5">
        <v>46156</v>
      </c>
      <c r="H229" s="5">
        <v>46202</v>
      </c>
      <c r="I229" s="4"/>
      <c r="J229" s="6">
        <f t="shared" si="10"/>
        <v>46</v>
      </c>
      <c r="K229" s="4" t="str">
        <f t="shared" ca="1" si="11"/>
        <v/>
      </c>
      <c r="L229" s="7">
        <f>IF($H229="","",$H229-'[2]Read Me'!$B$4)</f>
        <v>15</v>
      </c>
      <c r="M229" s="4" t="str">
        <f>IF($I229="Complete","Green",IF($H229="","Amber",IF($H229&lt;'[2]Read Me'!$B$4,"Red",IF($H229-'[2]Read Me'!$B$4&lt;=21,"Amber","Green"))))</f>
        <v>Amber</v>
      </c>
      <c r="N229" s="3"/>
      <c r="O229" t="str">
        <f>IF($I229&lt;&gt;"Complete",IF(COUNTIFS($A$4:$A228,$A229,$B$4:$B228,$B229,$I$4:$I228,"&lt;&gt;Complete")=0,$A229&amp;"|"&amp;$B229,""),"")</f>
        <v>Parcel 07|Tenant manual</v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 t="s">
        <v>294</v>
      </c>
      <c r="B230" s="2" t="s">
        <v>303</v>
      </c>
      <c r="C230" s="3" t="s">
        <v>304</v>
      </c>
      <c r="D230" s="3" t="s">
        <v>305</v>
      </c>
      <c r="E230" s="2" t="s">
        <v>165</v>
      </c>
      <c r="F230" s="2" t="s">
        <v>306</v>
      </c>
      <c r="G230" s="5">
        <v>46142</v>
      </c>
      <c r="H230" s="5">
        <v>46174</v>
      </c>
      <c r="I230" s="4" t="s">
        <v>31</v>
      </c>
      <c r="J230" s="6">
        <f t="shared" si="10"/>
        <v>32</v>
      </c>
      <c r="K230" s="4" t="str">
        <f t="shared" ca="1" si="11"/>
        <v>-</v>
      </c>
      <c r="L230" s="7">
        <f>IF($H230="","",$H230-'[2]Read Me'!$B$4)</f>
        <v>-13</v>
      </c>
      <c r="M230" s="4" t="str">
        <f>IF($I230="Complete","Green",IF($H230="","Amber",IF($H230&lt;'[2]Read Me'!$B$4,"Red",IF($H230-'[2]Read Me'!$B$4&lt;=21,"Amber","Green"))))</f>
        <v>Red</v>
      </c>
      <c r="N230" s="3"/>
      <c r="O230" t="str">
        <f>IF($I230&lt;&gt;"Complete",IF(COUNTIFS($A$4:$A229,$A230,$B$4:$B229,$B230,$I$4:$I229,"&lt;&gt;Complete")=0,$A230&amp;"|"&amp;$B230,""),"")</f>
        <v/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 t="s">
        <v>294</v>
      </c>
      <c r="B231" s="2" t="s">
        <v>303</v>
      </c>
      <c r="C231" s="3" t="s">
        <v>304</v>
      </c>
      <c r="D231" s="3" t="s">
        <v>58</v>
      </c>
      <c r="E231" s="2" t="s">
        <v>165</v>
      </c>
      <c r="F231" s="2"/>
      <c r="G231" s="5">
        <v>46149</v>
      </c>
      <c r="H231" s="5">
        <v>46202</v>
      </c>
      <c r="I231" s="4" t="s">
        <v>46</v>
      </c>
      <c r="J231" s="6">
        <f t="shared" si="10"/>
        <v>53</v>
      </c>
      <c r="K231" s="4" t="str">
        <f t="shared" ca="1" si="11"/>
        <v>Yes</v>
      </c>
      <c r="L231" s="7">
        <f>IF($H231="","",$H231-'[2]Read Me'!$B$4)</f>
        <v>15</v>
      </c>
      <c r="M231" s="4" t="str">
        <f>IF($I231="Complete","Green",IF($H231="","Amber",IF($H231&lt;'[2]Read Me'!$B$4,"Red",IF($H231-'[2]Read Me'!$B$4&lt;=21,"Amber","Green"))))</f>
        <v>Amber</v>
      </c>
      <c r="N231" s="3"/>
      <c r="O231" t="str">
        <f>IF($I231&lt;&gt;"Complete",IF(COUNTIFS($A$4:$A230,$A231,$B$4:$B230,$B231,$I$4:$I230,"&lt;&gt;Complete")=0,$A231&amp;"|"&amp;$B231,""),"")</f>
        <v/>
      </c>
      <c r="P231">
        <f ca="1">IF($K231="Yes",COUNTIFS($K$4:$K231,"Yes"),"")</f>
        <v>20</v>
      </c>
      <c r="Q231">
        <f t="shared" ca="1" si="12"/>
        <v>1</v>
      </c>
      <c r="R231">
        <f ca="1">IF($Q231=1,SUM($Q$4:$Q231),"")</f>
        <v>20</v>
      </c>
    </row>
    <row r="232" spans="1:18" ht="22.5" customHeight="1" x14ac:dyDescent="0.3">
      <c r="A232" s="2" t="s">
        <v>294</v>
      </c>
      <c r="B232" s="2" t="s">
        <v>303</v>
      </c>
      <c r="C232" s="3" t="s">
        <v>304</v>
      </c>
      <c r="D232" s="3" t="s">
        <v>307</v>
      </c>
      <c r="E232" s="2" t="s">
        <v>165</v>
      </c>
      <c r="F232" s="2" t="s">
        <v>306</v>
      </c>
      <c r="G232" s="5">
        <v>46149</v>
      </c>
      <c r="H232" s="5">
        <v>46174</v>
      </c>
      <c r="I232" s="4" t="s">
        <v>31</v>
      </c>
      <c r="J232" s="6">
        <f t="shared" si="10"/>
        <v>25</v>
      </c>
      <c r="K232" s="4" t="str">
        <f t="shared" ca="1" si="11"/>
        <v>-</v>
      </c>
      <c r="L232" s="7">
        <f>IF($H232="","",$H232-'[2]Read Me'!$B$4)</f>
        <v>-13</v>
      </c>
      <c r="M232" s="4" t="str">
        <f>IF($I232="Complete","Green",IF($H232="","Amber",IF($H232&lt;'[2]Read Me'!$B$4,"Red",IF($H232-'[2]Read Me'!$B$4&lt;=21,"Amber","Green"))))</f>
        <v>Red</v>
      </c>
      <c r="N232" s="3"/>
      <c r="O232" t="str">
        <f>IF($I232&lt;&gt;"Complete",IF(COUNTIFS($A$4:$A231,$A232,$B$4:$B231,$B232,$I$4:$I231,"&lt;&gt;Complete")=0,$A232&amp;"|"&amp;$B232,""),"")</f>
        <v/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 t="s">
        <v>294</v>
      </c>
      <c r="B233" s="2" t="s">
        <v>303</v>
      </c>
      <c r="C233" s="3" t="s">
        <v>304</v>
      </c>
      <c r="D233" s="3" t="s">
        <v>58</v>
      </c>
      <c r="E233" s="2" t="s">
        <v>165</v>
      </c>
      <c r="F233" s="2"/>
      <c r="G233" s="5">
        <v>46156</v>
      </c>
      <c r="H233" s="5">
        <v>46202</v>
      </c>
      <c r="I233" s="4" t="s">
        <v>46</v>
      </c>
      <c r="J233" s="6">
        <f t="shared" si="10"/>
        <v>46</v>
      </c>
      <c r="K233" s="4" t="str">
        <f t="shared" ca="1" si="11"/>
        <v>Yes</v>
      </c>
      <c r="L233" s="7">
        <f>IF($H233="","",$H233-'[2]Read Me'!$B$4)</f>
        <v>15</v>
      </c>
      <c r="M233" s="4" t="str">
        <f>IF($I233="Complete","Green",IF($H233="","Amber",IF($H233&lt;'[2]Read Me'!$B$4,"Red",IF($H233-'[2]Read Me'!$B$4&lt;=21,"Amber","Green"))))</f>
        <v>Amber</v>
      </c>
      <c r="N233" s="3"/>
      <c r="O233" t="str">
        <f>IF($I233&lt;&gt;"Complete",IF(COUNTIFS($A$4:$A232,$A233,$B$4:$B232,$B233,$I$4:$I232,"&lt;&gt;Complete")=0,$A233&amp;"|"&amp;$B233,""),"")</f>
        <v/>
      </c>
      <c r="P233">
        <f ca="1">IF($K233="Yes",COUNTIFS($K$4:$K233,"Yes"),"")</f>
        <v>21</v>
      </c>
      <c r="Q233">
        <f t="shared" ca="1" si="12"/>
        <v>1</v>
      </c>
      <c r="R233">
        <f ca="1">IF($Q233=1,SUM($Q$4:$Q233),"")</f>
        <v>21</v>
      </c>
    </row>
    <row r="234" spans="1:18" ht="22.5" customHeight="1" x14ac:dyDescent="0.3">
      <c r="A234" s="2" t="s">
        <v>294</v>
      </c>
      <c r="B234" s="2" t="s">
        <v>49</v>
      </c>
      <c r="C234" s="3"/>
      <c r="D234" s="3"/>
      <c r="E234" s="2"/>
      <c r="F234" s="2"/>
      <c r="G234" s="5"/>
      <c r="H234" s="5">
        <v>46306</v>
      </c>
      <c r="I234" s="4"/>
      <c r="J234" s="6" t="str">
        <f t="shared" si="10"/>
        <v/>
      </c>
      <c r="K234" s="4" t="str">
        <f t="shared" ca="1" si="11"/>
        <v/>
      </c>
      <c r="L234" s="7">
        <f>IF($H234="","",$H234-'[2]Read Me'!$B$4)</f>
        <v>119</v>
      </c>
      <c r="M234" s="4" t="str">
        <f>IF($I234="Complete","Green",IF($H234="","Amber",IF($H234&lt;'[2]Read Me'!$B$4,"Red",IF($H234-'[2]Read Me'!$B$4&lt;=21,"Amber","Green"))))</f>
        <v>Green</v>
      </c>
      <c r="N234" s="3"/>
      <c r="O234" t="str">
        <f>IF($I234&lt;&gt;"Complete",IF(COUNTIFS($A$4:$A233,$A234,$B$4:$B233,$B234,$I$4:$I233,"&lt;&gt;Complete")=0,$A234&amp;"|"&amp;$B234,""),"")</f>
        <v>Parcel 07|Authorities</v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 t="s">
        <v>294</v>
      </c>
      <c r="B235" s="2" t="s">
        <v>49</v>
      </c>
      <c r="C235" s="3" t="s">
        <v>308</v>
      </c>
      <c r="D235" s="3" t="s">
        <v>309</v>
      </c>
      <c r="E235" s="2" t="s">
        <v>104</v>
      </c>
      <c r="F235" s="2"/>
      <c r="G235" s="5"/>
      <c r="H235" s="5">
        <v>46218</v>
      </c>
      <c r="I235" s="4" t="s">
        <v>46</v>
      </c>
      <c r="J235" s="6" t="str">
        <f t="shared" si="10"/>
        <v/>
      </c>
      <c r="K235" s="4" t="str">
        <f t="shared" ca="1" si="11"/>
        <v>No</v>
      </c>
      <c r="L235" s="7">
        <f>IF($H235="","",$H235-'[2]Read Me'!$B$4)</f>
        <v>31</v>
      </c>
      <c r="M235" s="4" t="str">
        <f>IF($I235="Complete","Green",IF($H235="","Amber",IF($H235&lt;'[2]Read Me'!$B$4,"Red",IF($H235-'[2]Read Me'!$B$4&lt;=21,"Amber","Green"))))</f>
        <v>Green</v>
      </c>
      <c r="N235" s="3"/>
      <c r="O235" t="str">
        <f>IF($I235&lt;&gt;"Complete",IF(COUNTIFS($A$4:$A234,$A235,$B$4:$B234,$B235,$I$4:$I234,"&lt;&gt;Complete")=0,$A235&amp;"|"&amp;$B235,""),"")</f>
        <v/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 t="s">
        <v>294</v>
      </c>
      <c r="B236" s="2" t="s">
        <v>49</v>
      </c>
      <c r="C236" s="3" t="s">
        <v>308</v>
      </c>
      <c r="D236" s="3" t="s">
        <v>288</v>
      </c>
      <c r="E236" s="2" t="s">
        <v>104</v>
      </c>
      <c r="F236" s="2"/>
      <c r="G236" s="5"/>
      <c r="H236" s="5">
        <v>46260</v>
      </c>
      <c r="I236" s="4" t="s">
        <v>17</v>
      </c>
      <c r="J236" s="6" t="str">
        <f t="shared" si="10"/>
        <v/>
      </c>
      <c r="K236" s="4" t="str">
        <f t="shared" ca="1" si="11"/>
        <v>No</v>
      </c>
      <c r="L236" s="7">
        <f>IF($H236="","",$H236-'[2]Read Me'!$B$4)</f>
        <v>73</v>
      </c>
      <c r="M236" s="4" t="str">
        <f>IF($I236="Complete","Green",IF($H236="","Amber",IF($H236&lt;'[2]Read Me'!$B$4,"Red",IF($H236-'[2]Read Me'!$B$4&lt;=21,"Amber","Green"))))</f>
        <v>Green</v>
      </c>
      <c r="N236" s="3"/>
      <c r="O236" t="str">
        <f>IF($I236&lt;&gt;"Complete",IF(COUNTIFS($A$4:$A235,$A236,$B$4:$B235,$B236,$I$4:$I235,"&lt;&gt;Complete")=0,$A236&amp;"|"&amp;$B236,""),"")</f>
        <v/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 t="s">
        <v>294</v>
      </c>
      <c r="B237" s="2" t="s">
        <v>49</v>
      </c>
      <c r="C237" s="3" t="s">
        <v>308</v>
      </c>
      <c r="D237" s="3" t="s">
        <v>289</v>
      </c>
      <c r="E237" s="2" t="s">
        <v>104</v>
      </c>
      <c r="F237" s="2"/>
      <c r="G237" s="5"/>
      <c r="H237" s="5">
        <v>46306</v>
      </c>
      <c r="I237" s="4" t="s">
        <v>17</v>
      </c>
      <c r="J237" s="6" t="str">
        <f t="shared" si="10"/>
        <v/>
      </c>
      <c r="K237" s="4" t="str">
        <f t="shared" ca="1" si="11"/>
        <v>No</v>
      </c>
      <c r="L237" s="7">
        <f>IF($H237="","",$H237-'[2]Read Me'!$B$4)</f>
        <v>119</v>
      </c>
      <c r="M237" s="4" t="str">
        <f>IF($I237="Complete","Green",IF($H237="","Amber",IF($H237&lt;'[2]Read Me'!$B$4,"Red",IF($H237-'[2]Read Me'!$B$4&lt;=21,"Amber","Green"))))</f>
        <v>Green</v>
      </c>
      <c r="N237" s="3"/>
      <c r="O237" t="str">
        <f>IF($I237&lt;&gt;"Complete",IF(COUNTIFS($A$4:$A236,$A237,$B$4:$B236,$B237,$I$4:$I236,"&lt;&gt;Complete")=0,$A237&amp;"|"&amp;$B237,""),"")</f>
        <v/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 t="s">
        <v>294</v>
      </c>
      <c r="B238" s="2" t="s">
        <v>21</v>
      </c>
      <c r="C238" s="3"/>
      <c r="D238" s="3"/>
      <c r="E238" s="2"/>
      <c r="F238" s="2"/>
      <c r="G238" s="5">
        <v>46055</v>
      </c>
      <c r="H238" s="5">
        <v>46055</v>
      </c>
      <c r="I238" s="4"/>
      <c r="J238" s="6">
        <f t="shared" si="10"/>
        <v>0</v>
      </c>
      <c r="K238" s="4" t="str">
        <f t="shared" ca="1" si="11"/>
        <v/>
      </c>
      <c r="L238" s="7">
        <f>IF($H238="","",$H238-'[2]Read Me'!$B$4)</f>
        <v>-132</v>
      </c>
      <c r="M238" s="4" t="str">
        <f>IF($I238="Complete","Green",IF($H238="","Amber",IF($H238&lt;'[2]Read Me'!$B$4,"Red",IF($H238-'[2]Read Me'!$B$4&lt;=21,"Amber","Green"))))</f>
        <v>Red</v>
      </c>
      <c r="N238" s="3"/>
      <c r="O238" t="str">
        <f>IF($I238&lt;&gt;"Complete",IF(COUNTIFS($A$4:$A237,$A238,$B$4:$B237,$B238,$I$4:$I237,"&lt;&gt;Complete")=0,$A238&amp;"|"&amp;$B238,""),"")</f>
        <v>Parcel 07|Landscape</v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 t="s">
        <v>294</v>
      </c>
      <c r="B239" s="2" t="s">
        <v>21</v>
      </c>
      <c r="C239" s="3" t="s">
        <v>21</v>
      </c>
      <c r="D239" s="3" t="s">
        <v>191</v>
      </c>
      <c r="E239" s="2"/>
      <c r="F239" s="2"/>
      <c r="G239" s="5">
        <v>46054</v>
      </c>
      <c r="H239" s="5">
        <v>46054</v>
      </c>
      <c r="I239" s="4" t="s">
        <v>31</v>
      </c>
      <c r="J239" s="6">
        <f t="shared" si="10"/>
        <v>0</v>
      </c>
      <c r="K239" s="4" t="str">
        <f t="shared" ca="1" si="11"/>
        <v>-</v>
      </c>
      <c r="L239" s="7">
        <f>IF($H239="","",$H239-'[2]Read Me'!$B$4)</f>
        <v>-133</v>
      </c>
      <c r="M239" s="4" t="str">
        <f>IF($I239="Complete","Green",IF($H239="","Amber",IF($H239&lt;'[2]Read Me'!$B$4,"Red",IF($H239-'[2]Read Me'!$B$4&lt;=21,"Amber","Green"))))</f>
        <v>Red</v>
      </c>
      <c r="N239" s="3"/>
      <c r="O239" t="str">
        <f>IF($I239&lt;&gt;"Complete",IF(COUNTIFS($A$4:$A238,$A239,$B$4:$B238,$B239,$I$4:$I238,"&lt;&gt;Complete")=0,$A239&amp;"|"&amp;$B239,""),"")</f>
        <v/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 t="s">
        <v>294</v>
      </c>
      <c r="B240" s="2" t="s">
        <v>21</v>
      </c>
      <c r="C240" s="3" t="s">
        <v>21</v>
      </c>
      <c r="D240" s="3" t="s">
        <v>58</v>
      </c>
      <c r="E240" s="2"/>
      <c r="F240" s="2"/>
      <c r="G240" s="5">
        <v>46055</v>
      </c>
      <c r="H240" s="5">
        <v>46055</v>
      </c>
      <c r="I240" s="4" t="s">
        <v>31</v>
      </c>
      <c r="J240" s="6">
        <f t="shared" si="10"/>
        <v>0</v>
      </c>
      <c r="K240" s="4" t="str">
        <f t="shared" ca="1" si="11"/>
        <v>-</v>
      </c>
      <c r="L240" s="7">
        <f>IF($H240="","",$H240-'[2]Read Me'!$B$4)</f>
        <v>-132</v>
      </c>
      <c r="M240" s="4" t="str">
        <f>IF($I240="Complete","Green",IF($H240="","Amber",IF($H240&lt;'[2]Read Me'!$B$4,"Red",IF($H240-'[2]Read Me'!$B$4&lt;=21,"Amber","Green"))))</f>
        <v>Red</v>
      </c>
      <c r="N240" s="3"/>
      <c r="O240" t="str">
        <f>IF($I240&lt;&gt;"Complete",IF(COUNTIFS($A$4:$A239,$A240,$B$4:$B239,$B240,$I$4:$I239,"&lt;&gt;Complete")=0,$A240&amp;"|"&amp;$B240,""),"")</f>
        <v/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 t="s">
        <v>294</v>
      </c>
      <c r="B241" s="2" t="s">
        <v>310</v>
      </c>
      <c r="C241" s="3"/>
      <c r="D241" s="3"/>
      <c r="E241" s="2"/>
      <c r="F241" s="2"/>
      <c r="G241" s="5">
        <v>46296</v>
      </c>
      <c r="H241" s="5">
        <v>46301</v>
      </c>
      <c r="I241" s="4"/>
      <c r="J241" s="6">
        <f t="shared" si="10"/>
        <v>5</v>
      </c>
      <c r="K241" s="4" t="str">
        <f t="shared" ca="1" si="11"/>
        <v/>
      </c>
      <c r="L241" s="7">
        <f>IF($H241="","",$H241-'[2]Read Me'!$B$4)</f>
        <v>114</v>
      </c>
      <c r="M241" s="4" t="str">
        <f>IF($I241="Complete","Green",IF($H241="","Amber",IF($H241&lt;'[2]Read Me'!$B$4,"Red",IF($H241-'[2]Read Me'!$B$4&lt;=21,"Amber","Green"))))</f>
        <v>Green</v>
      </c>
      <c r="N241" s="3"/>
      <c r="O241" t="str">
        <f>IF($I241&lt;&gt;"Complete",IF(COUNTIFS($A$4:$A240,$A241,$B$4:$B240,$B241,$I$4:$I240,"&lt;&gt;Complete")=0,$A241&amp;"|"&amp;$B241,""),"")</f>
        <v>Parcel 07|LEED Certificate</v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 t="s">
        <v>294</v>
      </c>
      <c r="B242" s="2" t="s">
        <v>310</v>
      </c>
      <c r="C242" s="3" t="s">
        <v>311</v>
      </c>
      <c r="D242" s="3" t="s">
        <v>312</v>
      </c>
      <c r="E242" s="2" t="s">
        <v>165</v>
      </c>
      <c r="F242" s="2" t="s">
        <v>313</v>
      </c>
      <c r="G242" s="5">
        <v>46197</v>
      </c>
      <c r="H242" s="5">
        <v>46187</v>
      </c>
      <c r="I242" s="4" t="s">
        <v>31</v>
      </c>
      <c r="J242" s="6">
        <f t="shared" si="10"/>
        <v>-10</v>
      </c>
      <c r="K242" s="4" t="str">
        <f t="shared" ca="1" si="11"/>
        <v>-</v>
      </c>
      <c r="L242" s="7">
        <f>IF($H242="","",$H242-'[2]Read Me'!$B$4)</f>
        <v>0</v>
      </c>
      <c r="M242" s="4" t="str">
        <f>IF($I242="Complete","Green",IF($H242="","Amber",IF($H242&lt;'[2]Read Me'!$B$4,"Red",IF($H242-'[2]Read Me'!$B$4&lt;=21,"Amber","Green"))))</f>
        <v>Amber</v>
      </c>
      <c r="N242" s="3"/>
      <c r="O242" t="str">
        <f>IF($I242&lt;&gt;"Complete",IF(COUNTIFS($A$4:$A241,$A242,$B$4:$B241,$B242,$I$4:$I241,"&lt;&gt;Complete")=0,$A242&amp;"|"&amp;$B242,""),"")</f>
        <v/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 t="s">
        <v>294</v>
      </c>
      <c r="B243" s="2" t="s">
        <v>310</v>
      </c>
      <c r="C243" s="3" t="s">
        <v>311</v>
      </c>
      <c r="D243" s="3" t="s">
        <v>314</v>
      </c>
      <c r="E243" s="2" t="s">
        <v>165</v>
      </c>
      <c r="F243" s="2" t="s">
        <v>265</v>
      </c>
      <c r="G243" s="5">
        <v>46198</v>
      </c>
      <c r="H243" s="5">
        <v>46203</v>
      </c>
      <c r="I243" s="4" t="s">
        <v>46</v>
      </c>
      <c r="J243" s="6">
        <f t="shared" si="10"/>
        <v>5</v>
      </c>
      <c r="K243" s="4" t="str">
        <f t="shared" ca="1" si="11"/>
        <v>Yes</v>
      </c>
      <c r="L243" s="7">
        <f>IF($H243="","",$H243-'[2]Read Me'!$B$4)</f>
        <v>16</v>
      </c>
      <c r="M243" s="4" t="str">
        <f>IF($I243="Complete","Green",IF($H243="","Amber",IF($H243&lt;'[2]Read Me'!$B$4,"Red",IF($H243-'[2]Read Me'!$B$4&lt;=21,"Amber","Green"))))</f>
        <v>Amber</v>
      </c>
      <c r="N243" s="3"/>
      <c r="O243" t="str">
        <f>IF($I243&lt;&gt;"Complete",IF(COUNTIFS($A$4:$A242,$A243,$B$4:$B242,$B243,$I$4:$I242,"&lt;&gt;Complete")=0,$A243&amp;"|"&amp;$B243,""),"")</f>
        <v/>
      </c>
      <c r="P243">
        <f ca="1">IF($K243="Yes",COUNTIFS($K$4:$K243,"Yes"),"")</f>
        <v>22</v>
      </c>
      <c r="Q243">
        <f t="shared" ca="1" si="12"/>
        <v>1</v>
      </c>
      <c r="R243">
        <f ca="1">IF($Q243=1,SUM($Q$4:$Q243),"")</f>
        <v>22</v>
      </c>
    </row>
    <row r="244" spans="1:18" ht="22.5" customHeight="1" x14ac:dyDescent="0.3">
      <c r="A244" s="2" t="s">
        <v>294</v>
      </c>
      <c r="B244" s="2" t="s">
        <v>310</v>
      </c>
      <c r="C244" s="3" t="s">
        <v>311</v>
      </c>
      <c r="D244" s="3" t="s">
        <v>315</v>
      </c>
      <c r="E244" s="2" t="s">
        <v>165</v>
      </c>
      <c r="F244" s="2" t="s">
        <v>316</v>
      </c>
      <c r="G244" s="5">
        <v>46233</v>
      </c>
      <c r="H244" s="5">
        <v>46238</v>
      </c>
      <c r="I244" s="4" t="s">
        <v>17</v>
      </c>
      <c r="J244" s="6">
        <f t="shared" si="10"/>
        <v>5</v>
      </c>
      <c r="K244" s="4" t="str">
        <f t="shared" ref="K244:K264" ca="1" si="13">IF($H244="","",IF($H244&gt;TODAY(),"No","Yes"))</f>
        <v>No</v>
      </c>
      <c r="L244" s="7">
        <f>IF($H244="","",$H244-'[2]Read Me'!$B$4)</f>
        <v>51</v>
      </c>
      <c r="M244" s="4" t="str">
        <f>IF($I244="Complete","Green",IF($H244="","Amber",IF($H244&lt;'[2]Read Me'!$B$4,"Red",IF($H244-'[2]Read Me'!$B$4&lt;=21,"Amber","Green"))))</f>
        <v>Green</v>
      </c>
      <c r="N244" s="3"/>
      <c r="O244" t="str">
        <f>IF($I244&lt;&gt;"Complete",IF(COUNTIFS($A$4:$A243,$A244,$B$4:$B243,$B244,$I$4:$I243,"&lt;&gt;Complete")=0,$A244&amp;"|"&amp;$B244,""),"")</f>
        <v/>
      </c>
      <c r="P244" t="str">
        <f ca="1">IF($K244="Yes",COUNTIFS($K$4:$K244,"Yes"),"")</f>
        <v/>
      </c>
      <c r="Q244">
        <f t="shared" ca="1" si="12"/>
        <v>0</v>
      </c>
      <c r="R244" t="str">
        <f ca="1">IF($Q244=1,SUM($Q$4:$Q244),"")</f>
        <v/>
      </c>
    </row>
    <row r="245" spans="1:18" ht="22.5" customHeight="1" x14ac:dyDescent="0.3">
      <c r="A245" s="2" t="s">
        <v>294</v>
      </c>
      <c r="B245" s="2" t="s">
        <v>310</v>
      </c>
      <c r="C245" s="3" t="s">
        <v>311</v>
      </c>
      <c r="D245" s="3" t="s">
        <v>317</v>
      </c>
      <c r="E245" s="2" t="s">
        <v>165</v>
      </c>
      <c r="F245" s="2" t="s">
        <v>313</v>
      </c>
      <c r="G245" s="5">
        <v>46261</v>
      </c>
      <c r="H245" s="5">
        <v>46266</v>
      </c>
      <c r="I245" s="4" t="s">
        <v>17</v>
      </c>
      <c r="J245" s="6">
        <f t="shared" si="10"/>
        <v>5</v>
      </c>
      <c r="K245" s="4" t="str">
        <f t="shared" ca="1" si="13"/>
        <v>No</v>
      </c>
      <c r="L245" s="7">
        <f>IF($H245="","",$H245-'[2]Read Me'!$B$4)</f>
        <v>79</v>
      </c>
      <c r="M245" s="4" t="str">
        <f>IF($I245="Complete","Green",IF($H245="","Amber",IF($H245&lt;'[2]Read Me'!$B$4,"Red",IF($H245-'[2]Read Me'!$B$4&lt;=21,"Amber","Green"))))</f>
        <v>Green</v>
      </c>
      <c r="N245" s="3"/>
      <c r="O245" t="str">
        <f>IF($I245&lt;&gt;"Complete",IF(COUNTIFS($A$4:$A244,$A245,$B$4:$B244,$B245,$I$4:$I244,"&lt;&gt;Complete")=0,$A245&amp;"|"&amp;$B245,""),"")</f>
        <v/>
      </c>
      <c r="P245" t="str">
        <f ca="1">IF($K245="Yes",COUNTIFS($K$4:$K245,"Yes"),"")</f>
        <v/>
      </c>
      <c r="Q245">
        <f t="shared" ca="1" si="12"/>
        <v>0</v>
      </c>
      <c r="R245" t="str">
        <f ca="1">IF($Q245=1,SUM($Q$4:$Q245),"")</f>
        <v/>
      </c>
    </row>
    <row r="246" spans="1:18" ht="22.5" customHeight="1" x14ac:dyDescent="0.3">
      <c r="A246" s="2" t="s">
        <v>294</v>
      </c>
      <c r="B246" s="2" t="s">
        <v>310</v>
      </c>
      <c r="C246" s="3" t="s">
        <v>311</v>
      </c>
      <c r="D246" s="3" t="s">
        <v>318</v>
      </c>
      <c r="E246" s="2" t="s">
        <v>165</v>
      </c>
      <c r="F246" s="2" t="s">
        <v>316</v>
      </c>
      <c r="G246" s="5">
        <v>46296</v>
      </c>
      <c r="H246" s="5">
        <v>46301</v>
      </c>
      <c r="I246" s="4" t="s">
        <v>17</v>
      </c>
      <c r="J246" s="6">
        <f t="shared" si="10"/>
        <v>5</v>
      </c>
      <c r="K246" s="4" t="str">
        <f t="shared" ca="1" si="13"/>
        <v>No</v>
      </c>
      <c r="L246" s="7">
        <f>IF($H246="","",$H246-'[2]Read Me'!$B$4)</f>
        <v>114</v>
      </c>
      <c r="M246" s="4" t="str">
        <f>IF($I246="Complete","Green",IF($H246="","Amber",IF($H246&lt;'[2]Read Me'!$B$4,"Red",IF($H246-'[2]Read Me'!$B$4&lt;=21,"Amber","Green"))))</f>
        <v>Green</v>
      </c>
      <c r="N246" s="3"/>
      <c r="O246" t="str">
        <f>IF($I246&lt;&gt;"Complete",IF(COUNTIFS($A$4:$A245,$A246,$B$4:$B245,$B246,$I$4:$I245,"&lt;&gt;Complete")=0,$A246&amp;"|"&amp;$B246,""),"")</f>
        <v/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 t="s">
        <v>294</v>
      </c>
      <c r="B247" s="2" t="s">
        <v>310</v>
      </c>
      <c r="C247" s="3" t="s">
        <v>311</v>
      </c>
      <c r="D247" s="3" t="s">
        <v>319</v>
      </c>
      <c r="E247" s="2" t="s">
        <v>165</v>
      </c>
      <c r="F247" s="2" t="s">
        <v>265</v>
      </c>
      <c r="G247" s="5"/>
      <c r="H247" s="5"/>
      <c r="I247" s="4" t="s">
        <v>17</v>
      </c>
      <c r="J247" s="6" t="str">
        <f t="shared" si="10"/>
        <v/>
      </c>
      <c r="K247" s="4" t="str">
        <f t="shared" ca="1" si="13"/>
        <v/>
      </c>
      <c r="L247" s="7" t="str">
        <f>IF($H247="","",$H247-'[2]Read Me'!$B$4)</f>
        <v/>
      </c>
      <c r="M247" s="4" t="str">
        <f>IF($I247="Complete","Green",IF($H247="","Amber",IF($H247&lt;'[2]Read Me'!$B$4,"Red",IF($H247-'[2]Read Me'!$B$4&lt;=21,"Amber","Green"))))</f>
        <v>Amber</v>
      </c>
      <c r="N247" s="3"/>
      <c r="O247" t="str">
        <f>IF($I247&lt;&gt;"Complete",IF(COUNTIFS($A$4:$A246,$A247,$B$4:$B246,$B247,$I$4:$I246,"&lt;&gt;Complete")=0,$A247&amp;"|"&amp;$B247,""),"")</f>
        <v/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 t="s">
        <v>320</v>
      </c>
      <c r="B248" s="2"/>
      <c r="C248" s="3" t="s">
        <v>311</v>
      </c>
      <c r="D248" s="3" t="s">
        <v>137</v>
      </c>
      <c r="E248" s="2"/>
      <c r="F248" s="2"/>
      <c r="G248" s="5">
        <v>46274</v>
      </c>
      <c r="H248" s="5">
        <v>46392</v>
      </c>
      <c r="I248" s="4" t="s">
        <v>17</v>
      </c>
      <c r="J248" s="6">
        <f t="shared" si="10"/>
        <v>118</v>
      </c>
      <c r="K248" s="4" t="str">
        <f t="shared" ca="1" si="13"/>
        <v>No</v>
      </c>
      <c r="L248" s="7">
        <f>IF($H248="","",$H248-'[2]Read Me'!$B$4)</f>
        <v>205</v>
      </c>
      <c r="M248" s="4" t="str">
        <f>IF($I248="Complete","Green",IF($H248="","Amber",IF($H248&lt;'[2]Read Me'!$B$4,"Red",IF($H248-'[2]Read Me'!$B$4&lt;=21,"Amber","Green"))))</f>
        <v>Green</v>
      </c>
      <c r="N248" s="3"/>
      <c r="O248" t="str">
        <f>IF($I248&lt;&gt;"Complete",IF(COUNTIFS($A$4:$A247,$A248,$B$4:$B247,$B248,$I$4:$I247,"&lt;&gt;Complete")=0,$A248&amp;"|"&amp;$B248,""),"")</f>
        <v>Hotel|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 t="s">
        <v>320</v>
      </c>
      <c r="B249" s="2" t="s">
        <v>62</v>
      </c>
      <c r="C249" s="3" t="s">
        <v>311</v>
      </c>
      <c r="D249" s="3" t="s">
        <v>321</v>
      </c>
      <c r="E249" s="2"/>
      <c r="F249" s="2"/>
      <c r="G249" s="5">
        <v>46343</v>
      </c>
      <c r="H249" s="5">
        <v>46393</v>
      </c>
      <c r="I249" s="4" t="s">
        <v>17</v>
      </c>
      <c r="J249" s="6">
        <f t="shared" si="10"/>
        <v>50</v>
      </c>
      <c r="K249" s="4" t="str">
        <f t="shared" ca="1" si="13"/>
        <v>No</v>
      </c>
      <c r="L249" s="7">
        <f>IF($H249="","",$H249-'[2]Read Me'!$B$4)</f>
        <v>206</v>
      </c>
      <c r="M249" s="4" t="str">
        <f>IF($I249="Complete","Green",IF($H249="","Amber",IF($H249&lt;'[2]Read Me'!$B$4,"Red",IF($H249-'[2]Read Me'!$B$4&lt;=21,"Amber","Green"))))</f>
        <v>Green</v>
      </c>
      <c r="N249" s="3"/>
      <c r="O249" t="str">
        <f>IF($I249&lt;&gt;"Complete",IF(COUNTIFS($A$4:$A248,$A249,$B$4:$B248,$B249,$I$4:$I248,"&lt;&gt;Complete")=0,$A249&amp;"|"&amp;$B249,""),"")</f>
        <v>Hotel|Buildings</v>
      </c>
      <c r="P249" t="str">
        <f ca="1">IF($K249="Yes",COUNTIFS($K$4:$K249,"Yes"),"")</f>
        <v/>
      </c>
      <c r="Q249">
        <f t="shared" ca="1" si="12"/>
        <v>0</v>
      </c>
      <c r="R249" t="str">
        <f ca="1">IF($Q249=1,SUM($Q$4:$Q249),"")</f>
        <v/>
      </c>
    </row>
    <row r="250" spans="1:18" ht="22.5" customHeight="1" x14ac:dyDescent="0.3">
      <c r="A250" s="2" t="s">
        <v>320</v>
      </c>
      <c r="B250" s="2" t="s">
        <v>62</v>
      </c>
      <c r="C250" s="3" t="s">
        <v>311</v>
      </c>
      <c r="D250" s="3" t="s">
        <v>322</v>
      </c>
      <c r="E250" s="2"/>
      <c r="F250" s="2"/>
      <c r="G250" s="5">
        <v>45991</v>
      </c>
      <c r="H250" s="5">
        <v>45991</v>
      </c>
      <c r="I250" s="4" t="s">
        <v>31</v>
      </c>
      <c r="J250" s="6">
        <f t="shared" si="10"/>
        <v>0</v>
      </c>
      <c r="K250" s="4" t="str">
        <f t="shared" ca="1" si="13"/>
        <v>Yes</v>
      </c>
      <c r="L250" s="7">
        <f>IF($H250="","",$H250-'[2]Read Me'!$B$4)</f>
        <v>-196</v>
      </c>
      <c r="M250" s="4" t="str">
        <f>IF($I250="Complete","Green",IF($H250="","Amber",IF($H250&lt;'[2]Read Me'!$B$4,"Red",IF($H250-'[2]Read Me'!$B$4&lt;=21,"Amber","Green"))))</f>
        <v>Red</v>
      </c>
      <c r="N250" s="8"/>
      <c r="O250" t="str">
        <f>IF($I250&lt;&gt;"Complete",IF(COUNTIFS($A$4:$A249,$A250,$B$4:$B249,$B250,$I$4:$I249,"&lt;&gt;Complete")=0,$A250&amp;"|"&amp;$B250,""),"")</f>
        <v/>
      </c>
      <c r="P250">
        <f ca="1">IF($K250="Yes",COUNTIFS($K$4:$K250,"Yes"),"")</f>
        <v>23</v>
      </c>
      <c r="Q250">
        <f t="shared" ca="1" si="12"/>
        <v>1</v>
      </c>
      <c r="R250">
        <f ca="1">IF($Q250=1,SUM($Q$4:$Q250),"")</f>
        <v>23</v>
      </c>
    </row>
    <row r="251" spans="1:18" ht="22.5" customHeight="1" x14ac:dyDescent="0.3">
      <c r="A251" s="2" t="s">
        <v>320</v>
      </c>
      <c r="B251" s="2" t="s">
        <v>62</v>
      </c>
      <c r="C251" s="3" t="s">
        <v>311</v>
      </c>
      <c r="D251" s="3" t="s">
        <v>323</v>
      </c>
      <c r="E251" s="2"/>
      <c r="F251" s="2"/>
      <c r="G251" s="5">
        <v>46054</v>
      </c>
      <c r="H251" s="5">
        <v>46054</v>
      </c>
      <c r="I251" s="4" t="s">
        <v>31</v>
      </c>
      <c r="J251" s="6">
        <f t="shared" si="10"/>
        <v>0</v>
      </c>
      <c r="K251" s="4" t="str">
        <f t="shared" ca="1" si="13"/>
        <v>Yes</v>
      </c>
      <c r="L251" s="7">
        <f>IF($H251="","",$H251-'[2]Read Me'!$B$4)</f>
        <v>-133</v>
      </c>
      <c r="M251" s="4" t="str">
        <f>IF($I251="Complete","Green",IF($H251="","Amber",IF($H251&lt;'[2]Read Me'!$B$4,"Red",IF($H251-'[2]Read Me'!$B$4&lt;=21,"Amber","Green"))))</f>
        <v>Red</v>
      </c>
      <c r="N251" s="3"/>
      <c r="O251" t="str">
        <f>IF($I251&lt;&gt;"Complete",IF(COUNTIFS($A$4:$A250,$A251,$B$4:$B250,$B251,$I$4:$I250,"&lt;&gt;Complete")=0,$A251&amp;"|"&amp;$B251,""),"")</f>
        <v/>
      </c>
      <c r="P251">
        <f ca="1">IF($K251="Yes",COUNTIFS($K$4:$K251,"Yes"),"")</f>
        <v>24</v>
      </c>
      <c r="Q251">
        <f t="shared" ca="1" si="12"/>
        <v>1</v>
      </c>
      <c r="R251">
        <f ca="1">IF($Q251=1,SUM($Q$4:$Q251),"")</f>
        <v>24</v>
      </c>
    </row>
    <row r="252" spans="1:18" ht="22.5" customHeight="1" x14ac:dyDescent="0.3">
      <c r="A252" s="2" t="s">
        <v>320</v>
      </c>
      <c r="B252" s="2" t="s">
        <v>62</v>
      </c>
      <c r="C252" s="3" t="s">
        <v>311</v>
      </c>
      <c r="D252" s="3" t="s">
        <v>58</v>
      </c>
      <c r="E252" s="2"/>
      <c r="F252" s="2"/>
      <c r="G252" s="5">
        <v>46062</v>
      </c>
      <c r="H252" s="5">
        <v>46062</v>
      </c>
      <c r="I252" s="4" t="s">
        <v>31</v>
      </c>
      <c r="J252" s="6">
        <f t="shared" si="10"/>
        <v>0</v>
      </c>
      <c r="K252" s="4" t="str">
        <f t="shared" ca="1" si="13"/>
        <v>Yes</v>
      </c>
      <c r="L252" s="7">
        <f>IF($H252="","",$H252-'[2]Read Me'!$B$4)</f>
        <v>-125</v>
      </c>
      <c r="M252" s="4" t="str">
        <f>IF($I252="Complete","Green",IF($H252="","Amber",IF($H252&lt;'[2]Read Me'!$B$4,"Red",IF($H252-'[2]Read Me'!$B$4&lt;=21,"Amber","Green"))))</f>
        <v>Red</v>
      </c>
      <c r="N252" s="3"/>
      <c r="O252" t="str">
        <f>IF($I252&lt;&gt;"Complete",IF(COUNTIFS($A$4:$A251,$A252,$B$4:$B251,$B252,$I$4:$I251,"&lt;&gt;Complete")=0,$A252&amp;"|"&amp;$B252,""),"")</f>
        <v/>
      </c>
      <c r="P252">
        <f ca="1">IF($K252="Yes",COUNTIFS($K$4:$K252,"Yes"),"")</f>
        <v>25</v>
      </c>
      <c r="Q252">
        <f t="shared" ca="1" si="12"/>
        <v>1</v>
      </c>
      <c r="R252">
        <f ca="1">IF($Q252=1,SUM($Q$4:$Q252),"")</f>
        <v>25</v>
      </c>
    </row>
    <row r="253" spans="1:18" ht="22.5" customHeight="1" x14ac:dyDescent="0.3">
      <c r="A253" s="2" t="s">
        <v>320</v>
      </c>
      <c r="B253" s="2" t="s">
        <v>62</v>
      </c>
      <c r="C253" s="3" t="s">
        <v>311</v>
      </c>
      <c r="D253" s="3" t="s">
        <v>324</v>
      </c>
      <c r="E253" s="2"/>
      <c r="F253" s="2"/>
      <c r="G253" s="5">
        <v>46111</v>
      </c>
      <c r="H253" s="5">
        <v>46111</v>
      </c>
      <c r="I253" s="4" t="s">
        <v>31</v>
      </c>
      <c r="J253" s="6">
        <f t="shared" si="10"/>
        <v>0</v>
      </c>
      <c r="K253" s="4" t="str">
        <f t="shared" ca="1" si="13"/>
        <v>Yes</v>
      </c>
      <c r="L253" s="7">
        <f>IF($H253="","",$H253-'[2]Read Me'!$B$4)</f>
        <v>-76</v>
      </c>
      <c r="M253" s="4" t="str">
        <f>IF($I253="Complete","Green",IF($H253="","Amber",IF($H253&lt;'[2]Read Me'!$B$4,"Red",IF($H253-'[2]Read Me'!$B$4&lt;=21,"Amber","Green"))))</f>
        <v>Red</v>
      </c>
      <c r="N253" s="3"/>
      <c r="O253" t="str">
        <f>IF($I253&lt;&gt;"Complete",IF(COUNTIFS($A$4:$A252,$A253,$B$4:$B252,$B253,$I$4:$I252,"&lt;&gt;Complete")=0,$A253&amp;"|"&amp;$B253,""),"")</f>
        <v/>
      </c>
      <c r="P253">
        <f ca="1">IF($K253="Yes",COUNTIFS($K$4:$K253,"Yes"),"")</f>
        <v>26</v>
      </c>
      <c r="Q253">
        <f t="shared" ca="1" si="12"/>
        <v>1</v>
      </c>
      <c r="R253">
        <f ca="1">IF($Q253=1,SUM($Q$4:$Q253),"")</f>
        <v>26</v>
      </c>
    </row>
    <row r="254" spans="1:18" ht="22.5" customHeight="1" x14ac:dyDescent="0.3">
      <c r="A254" s="2" t="s">
        <v>320</v>
      </c>
      <c r="B254" s="2" t="s">
        <v>62</v>
      </c>
      <c r="C254" s="3" t="s">
        <v>311</v>
      </c>
      <c r="D254" s="3" t="s">
        <v>325</v>
      </c>
      <c r="E254" s="2"/>
      <c r="F254" s="2"/>
      <c r="G254" s="5">
        <v>46111</v>
      </c>
      <c r="H254" s="5">
        <v>46111</v>
      </c>
      <c r="I254" s="4" t="s">
        <v>31</v>
      </c>
      <c r="J254" s="6">
        <f t="shared" si="10"/>
        <v>0</v>
      </c>
      <c r="K254" s="4" t="str">
        <f t="shared" ca="1" si="13"/>
        <v>Yes</v>
      </c>
      <c r="L254" s="7">
        <f>IF($H254="","",$H254-'[2]Read Me'!$B$4)</f>
        <v>-76</v>
      </c>
      <c r="M254" s="4" t="str">
        <f>IF($I254="Complete","Green",IF($H254="","Amber",IF($H254&lt;'[2]Read Me'!$B$4,"Red",IF($H254-'[2]Read Me'!$B$4&lt;=21,"Amber","Green"))))</f>
        <v>Red</v>
      </c>
      <c r="N254" s="3"/>
      <c r="O254" t="str">
        <f>IF($I254&lt;&gt;"Complete",IF(COUNTIFS($A$4:$A253,$A254,$B$4:$B253,$B254,$I$4:$I253,"&lt;&gt;Complete")=0,$A254&amp;"|"&amp;$B254,""),"")</f>
        <v/>
      </c>
      <c r="P254">
        <f ca="1">IF($K254="Yes",COUNTIFS($K$4:$K254,"Yes"),"")</f>
        <v>27</v>
      </c>
      <c r="Q254">
        <f t="shared" ca="1" si="12"/>
        <v>1</v>
      </c>
      <c r="R254">
        <f ca="1">IF($Q254=1,SUM($Q$4:$Q254),"")</f>
        <v>27</v>
      </c>
    </row>
    <row r="255" spans="1:18" ht="22.5" customHeight="1" x14ac:dyDescent="0.3">
      <c r="A255" s="2" t="s">
        <v>320</v>
      </c>
      <c r="B255" s="2" t="s">
        <v>62</v>
      </c>
      <c r="C255" s="3" t="s">
        <v>311</v>
      </c>
      <c r="D255" s="3" t="s">
        <v>58</v>
      </c>
      <c r="E255" s="2"/>
      <c r="F255" s="2"/>
      <c r="G255" s="5">
        <v>46119</v>
      </c>
      <c r="H255" s="5">
        <v>46139</v>
      </c>
      <c r="I255" s="4" t="s">
        <v>31</v>
      </c>
      <c r="J255" s="6">
        <f t="shared" si="10"/>
        <v>20</v>
      </c>
      <c r="K255" s="4" t="str">
        <f t="shared" ca="1" si="13"/>
        <v>Yes</v>
      </c>
      <c r="L255" s="7">
        <f>IF($H255="","",$H255-'[2]Read Me'!$B$4)</f>
        <v>-48</v>
      </c>
      <c r="M255" s="4" t="str">
        <f>IF($I255="Complete","Green",IF($H255="","Amber",IF($H255&lt;'[2]Read Me'!$B$4,"Red",IF($H255-'[2]Read Me'!$B$4&lt;=21,"Amber","Green"))))</f>
        <v>Red</v>
      </c>
      <c r="N255" s="3"/>
      <c r="O255" t="str">
        <f>IF($I255&lt;&gt;"Complete",IF(COUNTIFS($A$4:$A254,$A255,$B$4:$B254,$B255,$I$4:$I254,"&lt;&gt;Complete")=0,$A255&amp;"|"&amp;$B255,""),"")</f>
        <v/>
      </c>
      <c r="P255">
        <f ca="1">IF($K255="Yes",COUNTIFS($K$4:$K255,"Yes"),"")</f>
        <v>28</v>
      </c>
      <c r="Q255">
        <f t="shared" ca="1" si="12"/>
        <v>1</v>
      </c>
      <c r="R255">
        <f ca="1">IF($Q255=1,SUM($Q$4:$Q255),"")</f>
        <v>28</v>
      </c>
    </row>
    <row r="256" spans="1:18" ht="22.5" customHeight="1" x14ac:dyDescent="0.3">
      <c r="A256" s="2" t="s">
        <v>320</v>
      </c>
      <c r="B256" s="2" t="s">
        <v>62</v>
      </c>
      <c r="C256" s="3" t="s">
        <v>311</v>
      </c>
      <c r="D256" s="3" t="s">
        <v>326</v>
      </c>
      <c r="E256" s="2"/>
      <c r="F256" s="2"/>
      <c r="G256" s="5"/>
      <c r="H256" s="5">
        <v>46160</v>
      </c>
      <c r="I256" s="4" t="s">
        <v>31</v>
      </c>
      <c r="J256" s="6" t="str">
        <f t="shared" si="10"/>
        <v/>
      </c>
      <c r="K256" s="4" t="str">
        <f t="shared" ca="1" si="13"/>
        <v>Yes</v>
      </c>
      <c r="L256" s="7">
        <f>IF($H256="","",$H256-'[2]Read Me'!$B$4)</f>
        <v>-27</v>
      </c>
      <c r="M256" s="4" t="str">
        <f>IF($I256="Complete","Green",IF($H256="","Amber",IF($H256&lt;'[2]Read Me'!$B$4,"Red",IF($H256-'[2]Read Me'!$B$4&lt;=21,"Amber","Green"))))</f>
        <v>Red</v>
      </c>
      <c r="N256" s="3"/>
      <c r="O256" t="str">
        <f>IF($I256&lt;&gt;"Complete",IF(COUNTIFS($A$4:$A255,$A256,$B$4:$B255,$B256,$I$4:$I255,"&lt;&gt;Complete")=0,$A256&amp;"|"&amp;$B256,""),"")</f>
        <v/>
      </c>
      <c r="P256">
        <f ca="1">IF($K256="Yes",COUNTIFS($K$4:$K256,"Yes"),"")</f>
        <v>29</v>
      </c>
      <c r="Q256">
        <f t="shared" ca="1" si="12"/>
        <v>1</v>
      </c>
      <c r="R256">
        <f ca="1">IF($Q256=1,SUM($Q$4:$Q256),"")</f>
        <v>29</v>
      </c>
    </row>
    <row r="257" spans="1:18" ht="22.5" customHeight="1" x14ac:dyDescent="0.3">
      <c r="A257" s="2" t="s">
        <v>320</v>
      </c>
      <c r="B257" s="2" t="s">
        <v>62</v>
      </c>
      <c r="C257" s="3" t="s">
        <v>311</v>
      </c>
      <c r="D257" s="3" t="s">
        <v>58</v>
      </c>
      <c r="E257" s="2"/>
      <c r="F257" s="2"/>
      <c r="G257" s="5"/>
      <c r="H257" s="5">
        <v>46167</v>
      </c>
      <c r="I257" s="4" t="s">
        <v>31</v>
      </c>
      <c r="J257" s="6" t="str">
        <f t="shared" si="10"/>
        <v/>
      </c>
      <c r="K257" s="4" t="str">
        <f t="shared" ca="1" si="13"/>
        <v>Yes</v>
      </c>
      <c r="L257" s="7">
        <f>IF($H257="","",$H257-'[2]Read Me'!$B$4)</f>
        <v>-20</v>
      </c>
      <c r="M257" s="4" t="str">
        <f>IF($I257="Complete","Green",IF($H257="","Amber",IF($H257&lt;'[2]Read Me'!$B$4,"Red",IF($H257-'[2]Read Me'!$B$4&lt;=21,"Amber","Green"))))</f>
        <v>Red</v>
      </c>
      <c r="N257" s="3"/>
      <c r="O257" t="str">
        <f>IF($I257&lt;&gt;"Complete",IF(COUNTIFS($A$4:$A256,$A257,$B$4:$B256,$B257,$I$4:$I256,"&lt;&gt;Complete")=0,$A257&amp;"|"&amp;$B257,""),"")</f>
        <v/>
      </c>
      <c r="P257">
        <f ca="1">IF($K257="Yes",COUNTIFS($K$4:$K257,"Yes"),"")</f>
        <v>30</v>
      </c>
      <c r="Q257">
        <f t="shared" ca="1" si="12"/>
        <v>1</v>
      </c>
      <c r="R257">
        <f ca="1">IF($Q257=1,SUM($Q$4:$Q257),"")</f>
        <v>30</v>
      </c>
    </row>
    <row r="258" spans="1:18" ht="45" customHeight="1" x14ac:dyDescent="0.3">
      <c r="A258" s="2" t="s">
        <v>320</v>
      </c>
      <c r="B258" s="2" t="s">
        <v>62</v>
      </c>
      <c r="C258" s="3" t="s">
        <v>311</v>
      </c>
      <c r="D258" s="3" t="s">
        <v>327</v>
      </c>
      <c r="E258" s="2"/>
      <c r="F258" s="2"/>
      <c r="G258" s="5">
        <v>46181</v>
      </c>
      <c r="H258" s="5">
        <v>46173</v>
      </c>
      <c r="I258" s="4" t="s">
        <v>31</v>
      </c>
      <c r="J258" s="6">
        <f t="shared" si="10"/>
        <v>-8</v>
      </c>
      <c r="K258" s="4" t="str">
        <f t="shared" ca="1" si="13"/>
        <v>Yes</v>
      </c>
      <c r="L258" s="7">
        <f>IF($H258="","",$H258-'[2]Read Me'!$B$4)</f>
        <v>-14</v>
      </c>
      <c r="M258" s="4" t="str">
        <f>IF($I258="Complete","Green",IF($H258="","Amber",IF($H258&lt;'[2]Read Me'!$B$4,"Red",IF($H258-'[2]Read Me'!$B$4&lt;=21,"Amber","Green"))))</f>
        <v>Red</v>
      </c>
      <c r="N258" s="3"/>
      <c r="O258" t="str">
        <f>IF($I258&lt;&gt;"Complete",IF(COUNTIFS($A$4:$A257,$A258,$B$4:$B257,$B258,$I$4:$I257,"&lt;&gt;Complete")=0,$A258&amp;"|"&amp;$B258,""),"")</f>
        <v/>
      </c>
      <c r="P258">
        <f ca="1">IF($K258="Yes",COUNTIFS($K$4:$K258,"Yes"),"")</f>
        <v>31</v>
      </c>
      <c r="Q258">
        <f t="shared" ca="1" si="12"/>
        <v>1</v>
      </c>
      <c r="R258">
        <f ca="1">IF($Q258=1,SUM($Q$4:$Q258),"")</f>
        <v>31</v>
      </c>
    </row>
    <row r="259" spans="1:18" ht="45" customHeight="1" x14ac:dyDescent="0.3">
      <c r="A259" s="2" t="s">
        <v>320</v>
      </c>
      <c r="B259" s="2" t="s">
        <v>62</v>
      </c>
      <c r="C259" s="3" t="s">
        <v>311</v>
      </c>
      <c r="D259" s="3" t="s">
        <v>328</v>
      </c>
      <c r="E259" s="2"/>
      <c r="F259" s="2"/>
      <c r="G259" s="5"/>
      <c r="H259" s="5">
        <v>46202</v>
      </c>
      <c r="I259" s="4" t="s">
        <v>46</v>
      </c>
      <c r="J259" s="6" t="str">
        <f t="shared" si="10"/>
        <v/>
      </c>
      <c r="K259" s="4" t="str">
        <f t="shared" ca="1" si="13"/>
        <v>Yes</v>
      </c>
      <c r="L259" s="7">
        <f>IF($H259="","",$H259-'[2]Read Me'!$B$4)</f>
        <v>15</v>
      </c>
      <c r="M259" s="4" t="str">
        <f>IF($I259="Complete","Green",IF($H259="","Amber",IF($H259&lt;'[2]Read Me'!$B$4,"Red",IF($H259-'[2]Read Me'!$B$4&lt;=21,"Amber","Green"))))</f>
        <v>Amber</v>
      </c>
      <c r="N259" s="3"/>
      <c r="O259" t="str">
        <f>IF($I259&lt;&gt;"Complete",IF(COUNTIFS($A$4:$A258,$A259,$B$4:$B258,$B259,$I$4:$I258,"&lt;&gt;Complete")=0,$A259&amp;"|"&amp;$B259,""),"")</f>
        <v/>
      </c>
      <c r="P259">
        <f ca="1">IF($K259="Yes",COUNTIFS($K$4:$K259,"Yes"),"")</f>
        <v>32</v>
      </c>
      <c r="Q259">
        <f t="shared" ca="1" si="12"/>
        <v>1</v>
      </c>
      <c r="R259">
        <f ca="1">IF($Q259=1,SUM($Q$4:$Q259),"")</f>
        <v>32</v>
      </c>
    </row>
    <row r="260" spans="1:18" ht="45" customHeight="1" x14ac:dyDescent="0.3">
      <c r="A260" s="2" t="s">
        <v>320</v>
      </c>
      <c r="B260" s="2" t="s">
        <v>62</v>
      </c>
      <c r="C260" s="3" t="s">
        <v>311</v>
      </c>
      <c r="D260" s="3" t="s">
        <v>58</v>
      </c>
      <c r="E260" s="2"/>
      <c r="F260" s="2"/>
      <c r="G260" s="5"/>
      <c r="H260" s="5">
        <v>46210</v>
      </c>
      <c r="I260" s="4" t="s">
        <v>17</v>
      </c>
      <c r="J260" s="6" t="str">
        <f t="shared" ref="J260:J312" si="14">IF(OR($G260="",$H260=""),"",$H260-$G260)</f>
        <v/>
      </c>
      <c r="K260" s="4" t="str">
        <f t="shared" ca="1" si="13"/>
        <v>No</v>
      </c>
      <c r="L260" s="7">
        <f>IF($H260="","",$H260-'[2]Read Me'!$B$4)</f>
        <v>23</v>
      </c>
      <c r="M260" s="4" t="str">
        <f>IF($I260="Complete","Green",IF($H260="","Amber",IF($H260&lt;'[2]Read Me'!$B$4,"Red",IF($H260-'[2]Read Me'!$B$4&lt;=21,"Amber","Green"))))</f>
        <v>Green</v>
      </c>
      <c r="N260" s="3"/>
      <c r="O260" t="str">
        <f>IF($I260&lt;&gt;"Complete",IF(COUNTIFS($A$4:$A259,$A260,$B$4:$B259,$B260,$I$4:$I259,"&lt;&gt;Complete")=0,$A260&amp;"|"&amp;$B260,""),"")</f>
        <v/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 t="s">
        <v>320</v>
      </c>
      <c r="B261" s="2" t="s">
        <v>62</v>
      </c>
      <c r="C261" s="3" t="s">
        <v>311</v>
      </c>
      <c r="D261" s="3" t="s">
        <v>329</v>
      </c>
      <c r="E261" s="2"/>
      <c r="F261" s="2"/>
      <c r="G261" s="5">
        <v>46127</v>
      </c>
      <c r="H261" s="5">
        <v>46210</v>
      </c>
      <c r="I261" s="4" t="s">
        <v>17</v>
      </c>
      <c r="J261" s="6">
        <f t="shared" si="14"/>
        <v>83</v>
      </c>
      <c r="K261" s="4" t="str">
        <f t="shared" ca="1" si="13"/>
        <v>No</v>
      </c>
      <c r="L261" s="7">
        <f>IF($H261="","",$H261-'[2]Read Me'!$B$4)</f>
        <v>23</v>
      </c>
      <c r="M261" s="4" t="str">
        <f>IF($I261="Complete","Green",IF($H261="","Amber",IF($H261&lt;'[2]Read Me'!$B$4,"Red",IF($H261-'[2]Read Me'!$B$4&lt;=21,"Amber","Green"))))</f>
        <v>Green</v>
      </c>
      <c r="N261" s="3"/>
      <c r="O261" t="str">
        <f>IF($I261&lt;&gt;"Complete",IF(COUNTIFS($A$4:$A260,$A261,$B$4:$B260,$B261,$I$4:$I260,"&lt;&gt;Complete")=0,$A261&amp;"|"&amp;$B261,""),"")</f>
        <v/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 t="s">
        <v>320</v>
      </c>
      <c r="B262" s="2" t="s">
        <v>62</v>
      </c>
      <c r="C262" s="3" t="s">
        <v>311</v>
      </c>
      <c r="D262" s="3" t="s">
        <v>330</v>
      </c>
      <c r="E262" s="2"/>
      <c r="F262" s="2"/>
      <c r="G262" s="5">
        <v>46162</v>
      </c>
      <c r="H262" s="5">
        <v>46246</v>
      </c>
      <c r="I262" s="4" t="s">
        <v>17</v>
      </c>
      <c r="J262" s="6">
        <f t="shared" si="14"/>
        <v>84</v>
      </c>
      <c r="K262" s="4" t="str">
        <f t="shared" ca="1" si="13"/>
        <v>No</v>
      </c>
      <c r="L262" s="7">
        <f>IF($H262="","",$H262-'[2]Read Me'!$B$4)</f>
        <v>59</v>
      </c>
      <c r="M262" s="4" t="str">
        <f>IF($I262="Complete","Green",IF($H262="","Amber",IF($H262&lt;'[2]Read Me'!$B$4,"Red",IF($H262-'[2]Read Me'!$B$4&lt;=21,"Amber","Green"))))</f>
        <v>Green</v>
      </c>
      <c r="N262" s="3"/>
      <c r="O262" t="str">
        <f>IF($I262&lt;&gt;"Complete",IF(COUNTIFS($A$4:$A261,$A262,$B$4:$B261,$B262,$I$4:$I261,"&lt;&gt;Complete")=0,$A262&amp;"|"&amp;$B262,""),"")</f>
        <v/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 t="s">
        <v>320</v>
      </c>
      <c r="B263" s="2" t="s">
        <v>62</v>
      </c>
      <c r="C263" s="3" t="s">
        <v>311</v>
      </c>
      <c r="D263" s="3" t="s">
        <v>331</v>
      </c>
      <c r="E263" s="2"/>
      <c r="F263" s="2"/>
      <c r="G263" s="5">
        <v>46162</v>
      </c>
      <c r="H263" s="5">
        <v>46246</v>
      </c>
      <c r="I263" s="4" t="s">
        <v>17</v>
      </c>
      <c r="J263" s="6">
        <f t="shared" si="14"/>
        <v>84</v>
      </c>
      <c r="K263" s="4" t="str">
        <f t="shared" ca="1" si="13"/>
        <v>No</v>
      </c>
      <c r="L263" s="7">
        <f>IF($H263="","",$H263-'[2]Read Me'!$B$4)</f>
        <v>59</v>
      </c>
      <c r="M263" s="4" t="str">
        <f>IF($I263="Complete","Green",IF($H263="","Amber",IF($H263&lt;'[2]Read Me'!$B$4,"Red",IF($H263-'[2]Read Me'!$B$4&lt;=21,"Amber","Green"))))</f>
        <v>Green</v>
      </c>
      <c r="N263" s="3"/>
      <c r="O263" t="str">
        <f>IF($I263&lt;&gt;"Complete",IF(COUNTIFS($A$4:$A262,$A263,$B$4:$B262,$B263,$I$4:$I262,"&lt;&gt;Complete")=0,$A263&amp;"|"&amp;$B263,""),"")</f>
        <v/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 t="s">
        <v>320</v>
      </c>
      <c r="B264" s="2" t="s">
        <v>62</v>
      </c>
      <c r="C264" s="3" t="s">
        <v>311</v>
      </c>
      <c r="D264" s="3" t="s">
        <v>58</v>
      </c>
      <c r="E264" s="2"/>
      <c r="F264" s="2"/>
      <c r="G264" s="5">
        <v>46173</v>
      </c>
      <c r="H264" s="5">
        <v>46254</v>
      </c>
      <c r="I264" s="4" t="s">
        <v>17</v>
      </c>
      <c r="J264" s="6">
        <f t="shared" si="14"/>
        <v>81</v>
      </c>
      <c r="K264" s="4" t="str">
        <f t="shared" ca="1" si="13"/>
        <v>No</v>
      </c>
      <c r="L264" s="7">
        <f>IF($H264="","",$H264-'[2]Read Me'!$B$4)</f>
        <v>67</v>
      </c>
      <c r="M264" s="4" t="str">
        <f>IF($I264="Complete","Green",IF($H264="","Amber",IF($H264&lt;'[2]Read Me'!$B$4,"Red",IF($H264-'[2]Read Me'!$B$4&lt;=21,"Amber","Green"))))</f>
        <v>Green</v>
      </c>
      <c r="N264" s="3"/>
      <c r="O264" t="str">
        <f>IF($I264&lt;&gt;"Complete",IF(COUNTIFS($A$4:$A263,$A264,$B$4:$B263,$B264,$I$4:$I263,"&lt;&gt;Complete")=0,$A264&amp;"|"&amp;$B264,""),"")</f>
        <v/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 t="s">
        <v>320</v>
      </c>
      <c r="B265" s="2" t="s">
        <v>62</v>
      </c>
      <c r="C265" s="3" t="s">
        <v>311</v>
      </c>
      <c r="D265" s="3" t="s">
        <v>332</v>
      </c>
      <c r="E265" s="2"/>
      <c r="F265" s="2"/>
      <c r="G265" s="5">
        <v>46189</v>
      </c>
      <c r="H265" s="5">
        <v>46254</v>
      </c>
      <c r="I265" s="4" t="s">
        <v>17</v>
      </c>
      <c r="J265" s="6">
        <f t="shared" si="14"/>
        <v>65</v>
      </c>
      <c r="K265" s="4" t="str">
        <f t="shared" ref="K265:K312" ca="1" si="16">IF($H265="","",IF($H265&lt;TODAY(),"No","Yes"))</f>
        <v>Yes</v>
      </c>
      <c r="L265" s="7">
        <f>IF($H265="","",$H265-'[2]Read Me'!$B$4)</f>
        <v>67</v>
      </c>
      <c r="M265" s="4" t="str">
        <f>IF($I265="Complete","Green",IF($H265="","Amber",IF($H265&lt;'[2]Read Me'!$B$4,"Red",IF($H265-'[2]Read Me'!$B$4&lt;=21,"Amber","Green"))))</f>
        <v>Green</v>
      </c>
      <c r="N265" s="3"/>
      <c r="O265" t="str">
        <f>IF($I265&lt;&gt;"Complete",IF(COUNTIFS($A$4:$A264,$A265,$B$4:$B264,$B265,$I$4:$I264,"&lt;&gt;Complete")=0,$A265&amp;"|"&amp;$B265,""),"")</f>
        <v/>
      </c>
      <c r="P265">
        <f ca="1">IF($K265="Yes",COUNTIFS($K$4:$K265,"Yes"),"")</f>
        <v>33</v>
      </c>
      <c r="Q265">
        <f t="shared" ca="1" si="15"/>
        <v>1</v>
      </c>
      <c r="R265">
        <f ca="1">IF($Q265=1,SUM($Q$4:$Q265),"")</f>
        <v>33</v>
      </c>
    </row>
    <row r="266" spans="1:18" ht="45" customHeight="1" x14ac:dyDescent="0.3">
      <c r="A266" s="2" t="s">
        <v>320</v>
      </c>
      <c r="B266" s="2" t="s">
        <v>62</v>
      </c>
      <c r="C266" s="3" t="s">
        <v>311</v>
      </c>
      <c r="D266" s="3" t="s">
        <v>333</v>
      </c>
      <c r="E266" s="2"/>
      <c r="F266" s="2"/>
      <c r="G266" s="5">
        <v>46190</v>
      </c>
      <c r="H266" s="5">
        <v>46310</v>
      </c>
      <c r="I266" s="4" t="s">
        <v>17</v>
      </c>
      <c r="J266" s="6">
        <f t="shared" si="14"/>
        <v>120</v>
      </c>
      <c r="K266" s="4" t="str">
        <f t="shared" ca="1" si="16"/>
        <v>Yes</v>
      </c>
      <c r="L266" s="7">
        <f>IF($H266="","",$H266-'[2]Read Me'!$B$4)</f>
        <v>123</v>
      </c>
      <c r="M266" s="4" t="str">
        <f>IF($I266="Complete","Green",IF($H266="","Amber",IF($H266&lt;'[2]Read Me'!$B$4,"Red",IF($H266-'[2]Read Me'!$B$4&lt;=21,"Amber","Green"))))</f>
        <v>Green</v>
      </c>
      <c r="N266" s="3"/>
      <c r="O266" t="str">
        <f>IF($I266&lt;&gt;"Complete",IF(COUNTIFS($A$4:$A265,$A266,$B$4:$B265,$B266,$I$4:$I265,"&lt;&gt;Complete")=0,$A266&amp;"|"&amp;$B266,""),"")</f>
        <v/>
      </c>
      <c r="P266">
        <f ca="1">IF($K266="Yes",COUNTIFS($K$4:$K266,"Yes"),"")</f>
        <v>34</v>
      </c>
      <c r="Q266">
        <f t="shared" ca="1" si="15"/>
        <v>1</v>
      </c>
      <c r="R266">
        <f ca="1">IF($Q266=1,SUM($Q$4:$Q266),"")</f>
        <v>34</v>
      </c>
    </row>
    <row r="267" spans="1:18" ht="45" customHeight="1" x14ac:dyDescent="0.3">
      <c r="A267" s="2" t="s">
        <v>320</v>
      </c>
      <c r="B267" s="2" t="s">
        <v>62</v>
      </c>
      <c r="C267" s="3" t="s">
        <v>311</v>
      </c>
      <c r="D267" s="3" t="s">
        <v>334</v>
      </c>
      <c r="E267" s="2"/>
      <c r="F267" s="2"/>
      <c r="G267" s="5"/>
      <c r="H267" s="5">
        <v>46310</v>
      </c>
      <c r="I267" s="4" t="s">
        <v>17</v>
      </c>
      <c r="J267" s="6" t="str">
        <f t="shared" si="14"/>
        <v/>
      </c>
      <c r="K267" s="4" t="str">
        <f t="shared" ca="1" si="16"/>
        <v>Yes</v>
      </c>
      <c r="L267" s="7">
        <f>IF($H267="","",$H267-'[2]Read Me'!$B$4)</f>
        <v>123</v>
      </c>
      <c r="M267" s="4" t="str">
        <f>IF($I267="Complete","Green",IF($H267="","Amber",IF($H267&lt;'[2]Read Me'!$B$4,"Red",IF($H267-'[2]Read Me'!$B$4&lt;=21,"Amber","Green"))))</f>
        <v>Green</v>
      </c>
      <c r="N267" s="3"/>
      <c r="O267" t="str">
        <f>IF($I267&lt;&gt;"Complete",IF(COUNTIFS($A$4:$A266,$A267,$B$4:$B266,$B267,$I$4:$I266,"&lt;&gt;Complete")=0,$A267&amp;"|"&amp;$B267,""),"")</f>
        <v/>
      </c>
      <c r="P267">
        <f ca="1">IF($K267="Yes",COUNTIFS($K$4:$K267,"Yes"),"")</f>
        <v>35</v>
      </c>
      <c r="Q267">
        <f t="shared" ca="1" si="15"/>
        <v>1</v>
      </c>
      <c r="R267">
        <f ca="1">IF($Q267=1,SUM($Q$4:$Q267),"")</f>
        <v>35</v>
      </c>
    </row>
    <row r="268" spans="1:18" ht="14.25" customHeight="1" x14ac:dyDescent="0.3">
      <c r="A268" s="2" t="s">
        <v>320</v>
      </c>
      <c r="B268" s="2" t="s">
        <v>62</v>
      </c>
      <c r="C268" s="3" t="s">
        <v>311</v>
      </c>
      <c r="D268" s="3" t="s">
        <v>58</v>
      </c>
      <c r="E268" s="2"/>
      <c r="F268" s="2"/>
      <c r="G268" s="5">
        <v>46201</v>
      </c>
      <c r="H268" s="5">
        <v>46317</v>
      </c>
      <c r="I268" s="4" t="s">
        <v>17</v>
      </c>
      <c r="J268" s="6">
        <f t="shared" si="14"/>
        <v>116</v>
      </c>
      <c r="K268" s="4" t="str">
        <f t="shared" ca="1" si="16"/>
        <v>Yes</v>
      </c>
      <c r="L268" s="7">
        <f>IF($H268="","",$H268-'[2]Read Me'!$B$4)</f>
        <v>130</v>
      </c>
      <c r="M268" s="4" t="str">
        <f>IF($I268="Complete","Green",IF($H268="","Amber",IF($H268&lt;'[2]Read Me'!$B$4,"Red",IF($H268-'[2]Read Me'!$B$4&lt;=21,"Amber","Green"))))</f>
        <v>Green</v>
      </c>
      <c r="N268" s="3"/>
      <c r="O268" t="str">
        <f>IF($I268&lt;&gt;"Complete",IF(COUNTIFS($A$4:$A267,$A268,$B$4:$B267,$B268,$I$4:$I267,"&lt;&gt;Complete")=0,$A268&amp;"|"&amp;$B268,""),"")</f>
        <v/>
      </c>
      <c r="P268">
        <f ca="1">IF($K268="Yes",COUNTIFS($K$4:$K268,"Yes"),"")</f>
        <v>36</v>
      </c>
      <c r="Q268">
        <f t="shared" ca="1" si="15"/>
        <v>1</v>
      </c>
      <c r="R268">
        <f ca="1">IF($Q268=1,SUM($Q$4:$Q268),"")</f>
        <v>36</v>
      </c>
    </row>
    <row r="269" spans="1:18" ht="14.25" customHeight="1" x14ac:dyDescent="0.3">
      <c r="A269" s="2" t="s">
        <v>320</v>
      </c>
      <c r="B269" s="2" t="s">
        <v>62</v>
      </c>
      <c r="C269" s="3" t="s">
        <v>311</v>
      </c>
      <c r="D269" s="3" t="s">
        <v>335</v>
      </c>
      <c r="E269" s="2"/>
      <c r="F269" s="2"/>
      <c r="G269" s="5">
        <v>46230</v>
      </c>
      <c r="H269" s="5">
        <v>46338</v>
      </c>
      <c r="I269" s="4" t="s">
        <v>17</v>
      </c>
      <c r="J269" s="6">
        <f t="shared" si="14"/>
        <v>108</v>
      </c>
      <c r="K269" s="4" t="str">
        <f t="shared" ca="1" si="16"/>
        <v>Yes</v>
      </c>
      <c r="L269" s="7">
        <f>IF($H269="","",$H269-'[2]Read Me'!$B$4)</f>
        <v>151</v>
      </c>
      <c r="M269" s="4" t="str">
        <f>IF($I269="Complete","Green",IF($H269="","Amber",IF($H269&lt;'[2]Read Me'!$B$4,"Red",IF($H269-'[2]Read Me'!$B$4&lt;=21,"Amber","Green"))))</f>
        <v>Green</v>
      </c>
      <c r="N269" s="3"/>
      <c r="O269" t="str">
        <f>IF($I269&lt;&gt;"Complete",IF(COUNTIFS($A$4:$A268,$A269,$B$4:$B268,$B269,$I$4:$I268,"&lt;&gt;Complete")=0,$A269&amp;"|"&amp;$B269,""),"")</f>
        <v/>
      </c>
      <c r="P269">
        <f ca="1">IF($K269="Yes",COUNTIFS($K$4:$K269,"Yes"),"")</f>
        <v>37</v>
      </c>
      <c r="Q269">
        <f t="shared" ca="1" si="15"/>
        <v>1</v>
      </c>
      <c r="R269">
        <f ca="1">IF($Q269=1,SUM($Q$4:$Q269),"")</f>
        <v>37</v>
      </c>
    </row>
    <row r="270" spans="1:18" ht="14.25" customHeight="1" x14ac:dyDescent="0.3">
      <c r="A270" s="2" t="s">
        <v>320</v>
      </c>
      <c r="B270" s="2" t="s">
        <v>62</v>
      </c>
      <c r="C270" s="3" t="s">
        <v>311</v>
      </c>
      <c r="D270" s="3" t="s">
        <v>336</v>
      </c>
      <c r="E270" s="2"/>
      <c r="F270" s="2"/>
      <c r="G270" s="5">
        <v>46243</v>
      </c>
      <c r="H270" s="5">
        <v>46359</v>
      </c>
      <c r="I270" s="4" t="s">
        <v>17</v>
      </c>
      <c r="J270" s="6">
        <f t="shared" si="14"/>
        <v>116</v>
      </c>
      <c r="K270" s="4" t="str">
        <f t="shared" ca="1" si="16"/>
        <v>Yes</v>
      </c>
      <c r="L270" s="7">
        <f>IF($H270="","",$H270-'[2]Read Me'!$B$4)</f>
        <v>172</v>
      </c>
      <c r="M270" s="4" t="str">
        <f>IF($I270="Complete","Green",IF($H270="","Amber",IF($H270&lt;'[2]Read Me'!$B$4,"Red",IF($H270-'[2]Read Me'!$B$4&lt;=21,"Amber","Green"))))</f>
        <v>Green</v>
      </c>
      <c r="N270" s="3"/>
      <c r="O270" t="str">
        <f>IF($I270&lt;&gt;"Complete",IF(COUNTIFS($A$4:$A269,$A270,$B$4:$B269,$B270,$I$4:$I269,"&lt;&gt;Complete")=0,$A270&amp;"|"&amp;$B270,""),"")</f>
        <v/>
      </c>
      <c r="P270">
        <f ca="1">IF($K270="Yes",COUNTIFS($K$4:$K270,"Yes"),"")</f>
        <v>38</v>
      </c>
      <c r="Q270">
        <f t="shared" ca="1" si="15"/>
        <v>1</v>
      </c>
      <c r="R270">
        <f ca="1">IF($Q270=1,SUM($Q$4:$Q270),"")</f>
        <v>38</v>
      </c>
    </row>
    <row r="271" spans="1:18" ht="14.25" customHeight="1" x14ac:dyDescent="0.3">
      <c r="A271" s="2" t="s">
        <v>320</v>
      </c>
      <c r="B271" s="2" t="s">
        <v>62</v>
      </c>
      <c r="C271" s="3" t="s">
        <v>311</v>
      </c>
      <c r="D271" s="3" t="s">
        <v>337</v>
      </c>
      <c r="E271" s="2"/>
      <c r="F271" s="2"/>
      <c r="G271" s="5">
        <v>46258</v>
      </c>
      <c r="H271" s="5">
        <v>46376</v>
      </c>
      <c r="I271" s="4" t="s">
        <v>17</v>
      </c>
      <c r="J271" s="6">
        <f t="shared" si="14"/>
        <v>118</v>
      </c>
      <c r="K271" s="4" t="str">
        <f t="shared" ca="1" si="16"/>
        <v>Yes</v>
      </c>
      <c r="L271" s="7">
        <f>IF($H271="","",$H271-'[2]Read Me'!$B$4)</f>
        <v>189</v>
      </c>
      <c r="M271" s="4" t="str">
        <f>IF($I271="Complete","Green",IF($H271="","Amber",IF($H271&lt;'[2]Read Me'!$B$4,"Red",IF($H271-'[2]Read Me'!$B$4&lt;=21,"Amber","Green"))))</f>
        <v>Green</v>
      </c>
      <c r="N271" s="3"/>
      <c r="O271" t="str">
        <f>IF($I271&lt;&gt;"Complete",IF(COUNTIFS($A$4:$A270,$A271,$B$4:$B270,$B271,$I$4:$I270,"&lt;&gt;Complete")=0,$A271&amp;"|"&amp;$B271,""),"")</f>
        <v/>
      </c>
      <c r="P271">
        <f ca="1">IF($K271="Yes",COUNTIFS($K$4:$K271,"Yes"),"")</f>
        <v>39</v>
      </c>
      <c r="Q271">
        <f t="shared" ca="1" si="15"/>
        <v>1</v>
      </c>
      <c r="R271">
        <f ca="1">IF($Q271=1,SUM($Q$4:$Q271),"")</f>
        <v>39</v>
      </c>
    </row>
    <row r="272" spans="1:18" ht="14.25" customHeight="1" x14ac:dyDescent="0.3">
      <c r="A272" s="2" t="s">
        <v>320</v>
      </c>
      <c r="B272" s="2" t="s">
        <v>62</v>
      </c>
      <c r="C272" s="3" t="s">
        <v>311</v>
      </c>
      <c r="D272" s="3" t="s">
        <v>338</v>
      </c>
      <c r="E272" s="2"/>
      <c r="F272" s="2"/>
      <c r="G272" s="5">
        <v>46266</v>
      </c>
      <c r="H272" s="5">
        <v>46384</v>
      </c>
      <c r="I272" s="4" t="s">
        <v>17</v>
      </c>
      <c r="J272" s="6">
        <f t="shared" si="14"/>
        <v>118</v>
      </c>
      <c r="K272" s="4" t="str">
        <f t="shared" ca="1" si="16"/>
        <v>Yes</v>
      </c>
      <c r="L272" s="7">
        <f>IF($H272="","",$H272-'[2]Read Me'!$B$4)</f>
        <v>197</v>
      </c>
      <c r="M272" s="4" t="str">
        <f>IF($I272="Complete","Green",IF($H272="","Amber",IF($H272&lt;'[2]Read Me'!$B$4,"Red",IF($H272-'[2]Read Me'!$B$4&lt;=21,"Amber","Green"))))</f>
        <v>Green</v>
      </c>
      <c r="N272" s="3"/>
      <c r="O272" t="str">
        <f>IF($I272&lt;&gt;"Complete",IF(COUNTIFS($A$4:$A271,$A272,$B$4:$B271,$B272,$I$4:$I271,"&lt;&gt;Complete")=0,$A272&amp;"|"&amp;$B272,""),"")</f>
        <v/>
      </c>
      <c r="P272">
        <f ca="1">IF($K272="Yes",COUNTIFS($K$4:$K272,"Yes"),"")</f>
        <v>40</v>
      </c>
      <c r="Q272">
        <f t="shared" ca="1" si="15"/>
        <v>1</v>
      </c>
      <c r="R272">
        <f ca="1">IF($Q272=1,SUM($Q$4:$Q272),"")</f>
        <v>40</v>
      </c>
    </row>
    <row r="273" spans="1:18" ht="14.25" customHeight="1" x14ac:dyDescent="0.3">
      <c r="A273" s="2" t="s">
        <v>320</v>
      </c>
      <c r="B273" s="2" t="s">
        <v>62</v>
      </c>
      <c r="C273" s="3" t="s">
        <v>311</v>
      </c>
      <c r="D273" s="3" t="s">
        <v>339</v>
      </c>
      <c r="E273" s="2"/>
      <c r="F273" s="2"/>
      <c r="G273" s="5">
        <v>46274</v>
      </c>
      <c r="H273" s="5">
        <v>46392</v>
      </c>
      <c r="I273" s="4" t="s">
        <v>17</v>
      </c>
      <c r="J273" s="6">
        <f t="shared" si="14"/>
        <v>118</v>
      </c>
      <c r="K273" s="4" t="str">
        <f t="shared" ca="1" si="16"/>
        <v>Yes</v>
      </c>
      <c r="L273" s="7">
        <f>IF($H273="","",$H273-'[2]Read Me'!$B$4)</f>
        <v>205</v>
      </c>
      <c r="M273" s="4" t="str">
        <f>IF($I273="Complete","Green",IF($H273="","Amber",IF($H273&lt;'[2]Read Me'!$B$4,"Red",IF($H273-'[2]Read Me'!$B$4&lt;=21,"Amber","Green"))))</f>
        <v>Green</v>
      </c>
      <c r="N273" s="3"/>
      <c r="O273" t="str">
        <f>IF($I273&lt;&gt;"Complete",IF(COUNTIFS($A$4:$A272,$A273,$B$4:$B272,$B273,$I$4:$I272,"&lt;&gt;Complete")=0,$A273&amp;"|"&amp;$B273,""),"")</f>
        <v/>
      </c>
      <c r="P273">
        <f ca="1">IF($K273="Yes",COUNTIFS($K$4:$K273,"Yes"),"")</f>
        <v>41</v>
      </c>
      <c r="Q273">
        <f t="shared" ca="1" si="15"/>
        <v>1</v>
      </c>
      <c r="R273">
        <f ca="1">IF($Q273=1,SUM($Q$4:$Q273),"")</f>
        <v>41</v>
      </c>
    </row>
    <row r="274" spans="1:18" ht="14.25" customHeight="1" x14ac:dyDescent="0.3">
      <c r="A274" s="2" t="s">
        <v>320</v>
      </c>
      <c r="B274" s="2" t="s">
        <v>62</v>
      </c>
      <c r="C274" s="3" t="s">
        <v>311</v>
      </c>
      <c r="D274" s="3" t="s">
        <v>340</v>
      </c>
      <c r="E274" s="2"/>
      <c r="F274" s="2"/>
      <c r="G274" s="5">
        <v>46281</v>
      </c>
      <c r="H274" s="5">
        <v>46393</v>
      </c>
      <c r="I274" s="4" t="s">
        <v>17</v>
      </c>
      <c r="J274" s="6">
        <f t="shared" si="14"/>
        <v>112</v>
      </c>
      <c r="K274" s="4" t="str">
        <f t="shared" ca="1" si="16"/>
        <v>Yes</v>
      </c>
      <c r="L274" s="7">
        <f>IF($H274="","",$H274-'[2]Read Me'!$B$4)</f>
        <v>206</v>
      </c>
      <c r="M274" s="4" t="str">
        <f>IF($I274="Complete","Green",IF($H274="","Amber",IF($H274&lt;'[2]Read Me'!$B$4,"Red",IF($H274-'[2]Read Me'!$B$4&lt;=21,"Amber","Green"))))</f>
        <v>Green</v>
      </c>
      <c r="N274" s="3"/>
      <c r="O274" t="str">
        <f>IF($I274&lt;&gt;"Complete",IF(COUNTIFS($A$4:$A273,$A274,$B$4:$B273,$B274,$I$4:$I273,"&lt;&gt;Complete")=0,$A274&amp;"|"&amp;$B274,""),"")</f>
        <v/>
      </c>
      <c r="P274">
        <f ca="1">IF($K274="Yes",COUNTIFS($K$4:$K274,"Yes"),"")</f>
        <v>42</v>
      </c>
      <c r="Q274">
        <f t="shared" ca="1" si="15"/>
        <v>1</v>
      </c>
      <c r="R274">
        <f ca="1">IF($Q274=1,SUM($Q$4:$Q274),"")</f>
        <v>42</v>
      </c>
    </row>
    <row r="275" spans="1:18" ht="14.25" customHeight="1" x14ac:dyDescent="0.3">
      <c r="A275" s="2" t="s">
        <v>320</v>
      </c>
      <c r="B275" s="2" t="s">
        <v>62</v>
      </c>
      <c r="C275" s="3" t="s">
        <v>311</v>
      </c>
      <c r="D275" s="3" t="s">
        <v>341</v>
      </c>
      <c r="E275" s="2"/>
      <c r="F275" s="2"/>
      <c r="G275" s="5">
        <v>46321</v>
      </c>
      <c r="H275" s="5">
        <v>46365</v>
      </c>
      <c r="I275" s="4" t="s">
        <v>17</v>
      </c>
      <c r="J275" s="6">
        <f t="shared" si="14"/>
        <v>44</v>
      </c>
      <c r="K275" s="4" t="str">
        <f t="shared" ca="1" si="16"/>
        <v>Yes</v>
      </c>
      <c r="L275" s="7">
        <f>IF($H275="","",$H275-'[2]Read Me'!$B$4)</f>
        <v>178</v>
      </c>
      <c r="M275" s="4" t="str">
        <f>IF($I275="Complete","Green",IF($H275="","Amber",IF($H275&lt;'[2]Read Me'!$B$4,"Red",IF($H275-'[2]Read Me'!$B$4&lt;=21,"Amber","Green"))))</f>
        <v>Green</v>
      </c>
      <c r="N275" s="3"/>
      <c r="O275" t="str">
        <f>IF($I275&lt;&gt;"Complete",IF(COUNTIFS($A$4:$A274,$A275,$B$4:$B274,$B275,$I$4:$I274,"&lt;&gt;Complete")=0,$A275&amp;"|"&amp;$B275,""),"")</f>
        <v/>
      </c>
      <c r="P275">
        <f ca="1">IF($K275="Yes",COUNTIFS($K$4:$K275,"Yes"),"")</f>
        <v>43</v>
      </c>
      <c r="Q275">
        <f t="shared" ca="1" si="15"/>
        <v>1</v>
      </c>
      <c r="R275">
        <f ca="1">IF($Q275=1,SUM($Q$4:$Q275),"")</f>
        <v>43</v>
      </c>
    </row>
    <row r="276" spans="1:18" ht="14.25" customHeight="1" x14ac:dyDescent="0.3">
      <c r="A276" s="2" t="s">
        <v>320</v>
      </c>
      <c r="B276" s="2" t="s">
        <v>62</v>
      </c>
      <c r="C276" s="3" t="s">
        <v>311</v>
      </c>
      <c r="D276" s="3" t="s">
        <v>342</v>
      </c>
      <c r="E276" s="2"/>
      <c r="F276" s="2"/>
      <c r="G276" s="5">
        <v>46336</v>
      </c>
      <c r="H276" s="5">
        <v>46379</v>
      </c>
      <c r="I276" s="4" t="s">
        <v>17</v>
      </c>
      <c r="J276" s="6">
        <f t="shared" si="14"/>
        <v>43</v>
      </c>
      <c r="K276" s="4" t="str">
        <f t="shared" ca="1" si="16"/>
        <v>Yes</v>
      </c>
      <c r="L276" s="7">
        <f>IF($H276="","",$H276-'[2]Read Me'!$B$4)</f>
        <v>192</v>
      </c>
      <c r="M276" s="4" t="str">
        <f>IF($I276="Complete","Green",IF($H276="","Amber",IF($H276&lt;'[2]Read Me'!$B$4,"Red",IF($H276-'[2]Read Me'!$B$4&lt;=21,"Amber","Green"))))</f>
        <v>Green</v>
      </c>
      <c r="N276" s="3"/>
      <c r="O276" t="str">
        <f>IF($I276&lt;&gt;"Complete",IF(COUNTIFS($A$4:$A275,$A276,$B$4:$B275,$B276,$I$4:$I275,"&lt;&gt;Complete")=0,$A276&amp;"|"&amp;$B276,""),"")</f>
        <v/>
      </c>
      <c r="P276">
        <f ca="1">IF($K276="Yes",COUNTIFS($K$4:$K276,"Yes"),"")</f>
        <v>44</v>
      </c>
      <c r="Q276">
        <f t="shared" ca="1" si="15"/>
        <v>1</v>
      </c>
      <c r="R276">
        <f ca="1">IF($Q276=1,SUM($Q$4:$Q276),"")</f>
        <v>44</v>
      </c>
    </row>
    <row r="277" spans="1:18" ht="14.25" customHeight="1" x14ac:dyDescent="0.3">
      <c r="A277" s="2" t="s">
        <v>320</v>
      </c>
      <c r="B277" s="2" t="s">
        <v>62</v>
      </c>
      <c r="C277" s="3" t="s">
        <v>311</v>
      </c>
      <c r="D277" s="3" t="s">
        <v>58</v>
      </c>
      <c r="E277" s="2"/>
      <c r="F277" s="2"/>
      <c r="G277" s="5">
        <v>46336</v>
      </c>
      <c r="H277" s="5">
        <v>46379</v>
      </c>
      <c r="I277" s="4" t="s">
        <v>17</v>
      </c>
      <c r="J277" s="6">
        <f t="shared" si="14"/>
        <v>43</v>
      </c>
      <c r="K277" s="4" t="str">
        <f t="shared" ca="1" si="16"/>
        <v>Yes</v>
      </c>
      <c r="L277" s="7">
        <f>IF($H277="","",$H277-'[2]Read Me'!$B$4)</f>
        <v>192</v>
      </c>
      <c r="M277" s="4" t="str">
        <f>IF($I277="Complete","Green",IF($H277="","Amber",IF($H277&lt;'[2]Read Me'!$B$4,"Red",IF($H277-'[2]Read Me'!$B$4&lt;=21,"Amber","Green"))))</f>
        <v>Green</v>
      </c>
      <c r="N277" s="3"/>
      <c r="O277" t="str">
        <f>IF($I277&lt;&gt;"Complete",IF(COUNTIFS($A$4:$A276,$A277,$B$4:$B276,$B277,$I$4:$I276,"&lt;&gt;Complete")=0,$A277&amp;"|"&amp;$B277,""),"")</f>
        <v/>
      </c>
      <c r="P277">
        <f ca="1">IF($K277="Yes",COUNTIFS($K$4:$K277,"Yes"),"")</f>
        <v>45</v>
      </c>
      <c r="Q277">
        <f t="shared" ca="1" si="15"/>
        <v>1</v>
      </c>
      <c r="R277">
        <f ca="1">IF($Q277=1,SUM($Q$4:$Q277),"")</f>
        <v>45</v>
      </c>
    </row>
    <row r="278" spans="1:18" ht="14.25" customHeight="1" x14ac:dyDescent="0.3">
      <c r="A278" s="2" t="s">
        <v>320</v>
      </c>
      <c r="B278" s="2" t="s">
        <v>62</v>
      </c>
      <c r="C278" s="3" t="s">
        <v>311</v>
      </c>
      <c r="D278" s="3" t="s">
        <v>343</v>
      </c>
      <c r="E278" s="2"/>
      <c r="F278" s="2"/>
      <c r="G278" s="5">
        <v>46343</v>
      </c>
      <c r="H278" s="5">
        <v>46386</v>
      </c>
      <c r="I278" s="4" t="s">
        <v>17</v>
      </c>
      <c r="J278" s="6">
        <f t="shared" si="14"/>
        <v>43</v>
      </c>
      <c r="K278" s="4" t="str">
        <f t="shared" ca="1" si="16"/>
        <v>Yes</v>
      </c>
      <c r="L278" s="7">
        <f>IF($H278="","",$H278-'[2]Read Me'!$B$4)</f>
        <v>199</v>
      </c>
      <c r="M278" s="4" t="str">
        <f>IF($I278="Complete","Green",IF($H278="","Amber",IF($H278&lt;'[2]Read Me'!$B$4,"Red",IF($H278-'[2]Read Me'!$B$4&lt;=21,"Amber","Green"))))</f>
        <v>Green</v>
      </c>
      <c r="N278" s="3"/>
      <c r="O278" t="str">
        <f>IF($I278&lt;&gt;"Complete",IF(COUNTIFS($A$4:$A277,$A278,$B$4:$B277,$B278,$I$4:$I277,"&lt;&gt;Complete")=0,$A278&amp;"|"&amp;$B278,""),"")</f>
        <v/>
      </c>
      <c r="P278">
        <f ca="1">IF($K278="Yes",COUNTIFS($K$4:$K278,"Yes"),"")</f>
        <v>46</v>
      </c>
      <c r="Q278">
        <f t="shared" ca="1" si="15"/>
        <v>1</v>
      </c>
      <c r="R278">
        <f ca="1">IF($Q278=1,SUM($Q$4:$Q278),"")</f>
        <v>46</v>
      </c>
    </row>
    <row r="279" spans="1:18" ht="14.25" customHeight="1" x14ac:dyDescent="0.3">
      <c r="A279" s="2" t="s">
        <v>320</v>
      </c>
      <c r="B279" s="2" t="s">
        <v>62</v>
      </c>
      <c r="C279" s="3" t="s">
        <v>311</v>
      </c>
      <c r="D279" s="3" t="s">
        <v>183</v>
      </c>
      <c r="E279" s="2"/>
      <c r="F279" s="2"/>
      <c r="G279" s="5">
        <v>46350</v>
      </c>
      <c r="H279" s="5">
        <v>46393</v>
      </c>
      <c r="I279" s="4" t="s">
        <v>17</v>
      </c>
      <c r="J279" s="6">
        <f t="shared" si="14"/>
        <v>43</v>
      </c>
      <c r="K279" s="4" t="str">
        <f t="shared" ca="1" si="16"/>
        <v>Yes</v>
      </c>
      <c r="L279" s="7">
        <f>IF($H279="","",$H279-'[2]Read Me'!$B$4)</f>
        <v>206</v>
      </c>
      <c r="M279" s="4" t="str">
        <f>IF($I279="Complete","Green",IF($H279="","Amber",IF($H279&lt;'[2]Read Me'!$B$4,"Red",IF($H279-'[2]Read Me'!$B$4&lt;=21,"Amber","Green"))))</f>
        <v>Green</v>
      </c>
      <c r="N279" s="3"/>
      <c r="O279" t="str">
        <f>IF($I279&lt;&gt;"Complete",IF(COUNTIFS($A$4:$A278,$A279,$B$4:$B278,$B279,$I$4:$I278,"&lt;&gt;Complete")=0,$A279&amp;"|"&amp;$B279,""),"")</f>
        <v/>
      </c>
      <c r="P279">
        <f ca="1">IF($K279="Yes",COUNTIFS($K$4:$K279,"Yes"),"")</f>
        <v>47</v>
      </c>
      <c r="Q279">
        <f t="shared" ca="1" si="15"/>
        <v>1</v>
      </c>
      <c r="R279">
        <f ca="1">IF($Q279=1,SUM($Q$4:$Q279),"")</f>
        <v>47</v>
      </c>
    </row>
    <row r="280" spans="1:18" ht="14.25" customHeight="1" x14ac:dyDescent="0.3">
      <c r="A280" s="2" t="s">
        <v>320</v>
      </c>
      <c r="B280" s="2" t="s">
        <v>62</v>
      </c>
      <c r="C280" s="3" t="s">
        <v>311</v>
      </c>
      <c r="D280" s="3" t="s">
        <v>344</v>
      </c>
      <c r="E280" s="2"/>
      <c r="F280" s="2"/>
      <c r="G280" s="5"/>
      <c r="H280" s="5">
        <v>46422</v>
      </c>
      <c r="I280" s="4" t="s">
        <v>17</v>
      </c>
      <c r="J280" s="6" t="str">
        <f t="shared" si="14"/>
        <v/>
      </c>
      <c r="K280" s="4" t="str">
        <f t="shared" ca="1" si="16"/>
        <v>Yes</v>
      </c>
      <c r="L280" s="7">
        <f>IF($H280="","",$H280-'[2]Read Me'!$B$4)</f>
        <v>235</v>
      </c>
      <c r="M280" s="4" t="str">
        <f>IF($I280="Complete","Green",IF($H280="","Amber",IF($H280&lt;'[2]Read Me'!$B$4,"Red",IF($H280-'[2]Read Me'!$B$4&lt;=21,"Amber","Green"))))</f>
        <v>Green</v>
      </c>
      <c r="N280" s="3"/>
      <c r="O280" t="str">
        <f>IF($I280&lt;&gt;"Complete",IF(COUNTIFS($A$4:$A279,$A280,$B$4:$B279,$B280,$I$4:$I279,"&lt;&gt;Complete")=0,$A280&amp;"|"&amp;$B280,""),"")</f>
        <v/>
      </c>
      <c r="P280">
        <f ca="1">IF($K280="Yes",COUNTIFS($K$4:$K280,"Yes"),"")</f>
        <v>48</v>
      </c>
      <c r="Q280">
        <f t="shared" ca="1" si="15"/>
        <v>1</v>
      </c>
      <c r="R280">
        <f ca="1">IF($Q280=1,SUM($Q$4:$Q280),"")</f>
        <v>48</v>
      </c>
    </row>
    <row r="281" spans="1:18" ht="14.25" customHeight="1" x14ac:dyDescent="0.3">
      <c r="A281" s="2" t="s">
        <v>320</v>
      </c>
      <c r="B281" s="2" t="s">
        <v>62</v>
      </c>
      <c r="C281" s="3" t="s">
        <v>311</v>
      </c>
      <c r="D281" s="3" t="s">
        <v>342</v>
      </c>
      <c r="E281" s="2"/>
      <c r="F281" s="2"/>
      <c r="G281" s="5"/>
      <c r="H281" s="5">
        <v>46436</v>
      </c>
      <c r="I281" s="4" t="s">
        <v>17</v>
      </c>
      <c r="J281" s="6" t="str">
        <f t="shared" si="14"/>
        <v/>
      </c>
      <c r="K281" s="4" t="str">
        <f t="shared" ca="1" si="16"/>
        <v>Yes</v>
      </c>
      <c r="L281" s="7">
        <f>IF($H281="","",$H281-'[2]Read Me'!$B$4)</f>
        <v>249</v>
      </c>
      <c r="M281" s="4" t="str">
        <f>IF($I281="Complete","Green",IF($H281="","Amber",IF($H281&lt;'[2]Read Me'!$B$4,"Red",IF($H281-'[2]Read Me'!$B$4&lt;=21,"Amber","Green"))))</f>
        <v>Green</v>
      </c>
      <c r="N281" s="3"/>
      <c r="O281" t="str">
        <f>IF($I281&lt;&gt;"Complete",IF(COUNTIFS($A$4:$A280,$A281,$B$4:$B280,$B281,$I$4:$I280,"&lt;&gt;Complete")=0,$A281&amp;"|"&amp;$B281,""),"")</f>
        <v/>
      </c>
      <c r="P281">
        <f ca="1">IF($K281="Yes",COUNTIFS($K$4:$K281,"Yes"),"")</f>
        <v>49</v>
      </c>
      <c r="Q281">
        <f t="shared" ca="1" si="15"/>
        <v>1</v>
      </c>
      <c r="R281">
        <f ca="1">IF($Q281=1,SUM($Q$4:$Q281),"")</f>
        <v>49</v>
      </c>
    </row>
    <row r="282" spans="1:18" ht="14.25" customHeight="1" x14ac:dyDescent="0.3">
      <c r="A282" s="2" t="s">
        <v>320</v>
      </c>
      <c r="B282" s="2" t="s">
        <v>62</v>
      </c>
      <c r="C282" s="3" t="s">
        <v>311</v>
      </c>
      <c r="D282" s="3" t="s">
        <v>58</v>
      </c>
      <c r="E282" s="2"/>
      <c r="F282" s="2"/>
      <c r="G282" s="5"/>
      <c r="H282" s="5">
        <v>46436</v>
      </c>
      <c r="I282" s="4" t="s">
        <v>17</v>
      </c>
      <c r="J282" s="6" t="str">
        <f t="shared" si="14"/>
        <v/>
      </c>
      <c r="K282" s="4" t="str">
        <f t="shared" ca="1" si="16"/>
        <v>Yes</v>
      </c>
      <c r="L282" s="7">
        <f>IF($H282="","",$H282-'[2]Read Me'!$B$4)</f>
        <v>249</v>
      </c>
      <c r="M282" s="4" t="str">
        <f>IF($I282="Complete","Green",IF($H282="","Amber",IF($H282&lt;'[2]Read Me'!$B$4,"Red",IF($H282-'[2]Read Me'!$B$4&lt;=21,"Amber","Green"))))</f>
        <v>Green</v>
      </c>
      <c r="N282" s="3"/>
      <c r="O282" t="str">
        <f>IF($I282&lt;&gt;"Complete",IF(COUNTIFS($A$4:$A281,$A282,$B$4:$B281,$B282,$I$4:$I281,"&lt;&gt;Complete")=0,$A282&amp;"|"&amp;$B282,""),"")</f>
        <v/>
      </c>
      <c r="P282">
        <f ca="1">IF($K282="Yes",COUNTIFS($K$4:$K282,"Yes"),"")</f>
        <v>50</v>
      </c>
      <c r="Q282">
        <f t="shared" ca="1" si="15"/>
        <v>1</v>
      </c>
      <c r="R282">
        <f ca="1">IF($Q282=1,SUM($Q$4:$Q282),"")</f>
        <v>50</v>
      </c>
    </row>
    <row r="283" spans="1:18" ht="14.25" customHeight="1" x14ac:dyDescent="0.3">
      <c r="A283" s="2" t="s">
        <v>320</v>
      </c>
      <c r="B283" s="2" t="s">
        <v>62</v>
      </c>
      <c r="C283" s="3" t="s">
        <v>311</v>
      </c>
      <c r="D283" s="3" t="s">
        <v>343</v>
      </c>
      <c r="E283" s="2"/>
      <c r="F283" s="2"/>
      <c r="G283" s="5"/>
      <c r="H283" s="5">
        <v>46443</v>
      </c>
      <c r="I283" s="4" t="s">
        <v>17</v>
      </c>
      <c r="J283" s="6" t="str">
        <f t="shared" si="14"/>
        <v/>
      </c>
      <c r="K283" s="4" t="str">
        <f t="shared" ca="1" si="16"/>
        <v>Yes</v>
      </c>
      <c r="L283" s="7">
        <f>IF($H283="","",$H283-'[2]Read Me'!$B$4)</f>
        <v>256</v>
      </c>
      <c r="M283" s="4" t="str">
        <f>IF($I283="Complete","Green",IF($H283="","Amber",IF($H283&lt;'[2]Read Me'!$B$4,"Red",IF($H283-'[2]Read Me'!$B$4&lt;=21,"Amber","Green"))))</f>
        <v>Green</v>
      </c>
      <c r="N283" s="3"/>
      <c r="O283" t="str">
        <f>IF($I283&lt;&gt;"Complete",IF(COUNTIFS($A$4:$A282,$A283,$B$4:$B282,$B283,$I$4:$I282,"&lt;&gt;Complete")=0,$A283&amp;"|"&amp;$B283,""),"")</f>
        <v/>
      </c>
      <c r="P283">
        <f ca="1">IF($K283="Yes",COUNTIFS($K$4:$K283,"Yes"),"")</f>
        <v>51</v>
      </c>
      <c r="Q283">
        <f t="shared" ca="1" si="15"/>
        <v>1</v>
      </c>
      <c r="R283">
        <f ca="1">IF($Q283=1,SUM($Q$4:$Q283),"")</f>
        <v>51</v>
      </c>
    </row>
    <row r="284" spans="1:18" ht="14.25" customHeight="1" x14ac:dyDescent="0.3">
      <c r="A284" s="2" t="s">
        <v>320</v>
      </c>
      <c r="B284" s="2" t="s">
        <v>62</v>
      </c>
      <c r="C284" s="3" t="s">
        <v>311</v>
      </c>
      <c r="D284" s="3" t="s">
        <v>183</v>
      </c>
      <c r="E284" s="2"/>
      <c r="F284" s="2"/>
      <c r="G284" s="5"/>
      <c r="H284" s="5">
        <v>46450</v>
      </c>
      <c r="I284" s="4" t="s">
        <v>17</v>
      </c>
      <c r="J284" s="6" t="str">
        <f t="shared" si="14"/>
        <v/>
      </c>
      <c r="K284" s="4" t="str">
        <f t="shared" ca="1" si="16"/>
        <v>Yes</v>
      </c>
      <c r="L284" s="7">
        <f>IF($H284="","",$H284-'[2]Read Me'!$B$4)</f>
        <v>263</v>
      </c>
      <c r="M284" s="4" t="str">
        <f>IF($I284="Complete","Green",IF($H284="","Amber",IF($H284&lt;'[2]Read Me'!$B$4,"Red",IF($H284-'[2]Read Me'!$B$4&lt;=21,"Amber","Green"))))</f>
        <v>Green</v>
      </c>
      <c r="N284" s="3"/>
      <c r="O284" t="str">
        <f>IF($I284&lt;&gt;"Complete",IF(COUNTIFS($A$4:$A283,$A284,$B$4:$B283,$B284,$I$4:$I283,"&lt;&gt;Complete")=0,$A284&amp;"|"&amp;$B284,""),"")</f>
        <v/>
      </c>
      <c r="P284">
        <f ca="1">IF($K284="Yes",COUNTIFS($K$4:$K284,"Yes"),"")</f>
        <v>52</v>
      </c>
      <c r="Q284">
        <f t="shared" ca="1" si="15"/>
        <v>1</v>
      </c>
      <c r="R284">
        <f ca="1">IF($Q284=1,SUM($Q$4:$Q284),"")</f>
        <v>52</v>
      </c>
    </row>
    <row r="285" spans="1:18" ht="14.25" customHeight="1" x14ac:dyDescent="0.3">
      <c r="A285" s="2" t="s">
        <v>320</v>
      </c>
      <c r="B285" s="2" t="s">
        <v>62</v>
      </c>
      <c r="C285" s="3" t="s">
        <v>311</v>
      </c>
      <c r="D285" s="3" t="s">
        <v>345</v>
      </c>
      <c r="E285" s="2"/>
      <c r="F285" s="2"/>
      <c r="G285" s="5">
        <v>46371</v>
      </c>
      <c r="H285" s="5">
        <v>46414</v>
      </c>
      <c r="I285" s="4" t="s">
        <v>17</v>
      </c>
      <c r="J285" s="6">
        <f t="shared" si="14"/>
        <v>43</v>
      </c>
      <c r="K285" s="4" t="str">
        <f t="shared" ca="1" si="16"/>
        <v>Yes</v>
      </c>
      <c r="L285" s="7">
        <f>IF($H285="","",$H285-'[2]Read Me'!$B$4)</f>
        <v>227</v>
      </c>
      <c r="M285" s="4" t="str">
        <f>IF($I285="Complete","Green",IF($H285="","Amber",IF($H285&lt;'[2]Read Me'!$B$4,"Red",IF($H285-'[2]Read Me'!$B$4&lt;=21,"Amber","Green"))))</f>
        <v>Green</v>
      </c>
      <c r="N285" s="3"/>
      <c r="O285" t="str">
        <f>IF($I285&lt;&gt;"Complete",IF(COUNTIFS($A$4:$A284,$A285,$B$4:$B284,$B285,$I$4:$I284,"&lt;&gt;Complete")=0,$A285&amp;"|"&amp;$B285,""),"")</f>
        <v/>
      </c>
      <c r="P285">
        <f ca="1">IF($K285="Yes",COUNTIFS($K$4:$K285,"Yes"),"")</f>
        <v>53</v>
      </c>
      <c r="Q285">
        <f t="shared" ca="1" si="15"/>
        <v>1</v>
      </c>
      <c r="R285">
        <f ca="1">IF($Q285=1,SUM($Q$4:$Q285),"")</f>
        <v>53</v>
      </c>
    </row>
    <row r="286" spans="1:18" ht="14.25" customHeight="1" x14ac:dyDescent="0.3">
      <c r="A286" s="2" t="s">
        <v>320</v>
      </c>
      <c r="B286" s="2" t="s">
        <v>62</v>
      </c>
      <c r="C286" s="3" t="s">
        <v>311</v>
      </c>
      <c r="D286" s="3" t="s">
        <v>58</v>
      </c>
      <c r="E286" s="2"/>
      <c r="F286" s="2"/>
      <c r="G286" s="5">
        <v>46385</v>
      </c>
      <c r="H286" s="5">
        <v>46428</v>
      </c>
      <c r="I286" s="4" t="s">
        <v>17</v>
      </c>
      <c r="J286" s="6">
        <f t="shared" si="14"/>
        <v>43</v>
      </c>
      <c r="K286" s="4" t="str">
        <f t="shared" ca="1" si="16"/>
        <v>Yes</v>
      </c>
      <c r="L286" s="7">
        <f>IF($H286="","",$H286-'[2]Read Me'!$B$4)</f>
        <v>241</v>
      </c>
      <c r="M286" s="4" t="str">
        <f>IF($I286="Complete","Green",IF($H286="","Amber",IF($H286&lt;'[2]Read Me'!$B$4,"Red",IF($H286-'[2]Read Me'!$B$4&lt;=21,"Amber","Green"))))</f>
        <v>Green</v>
      </c>
      <c r="N286" s="3"/>
      <c r="O286" t="str">
        <f>IF($I286&lt;&gt;"Complete",IF(COUNTIFS($A$4:$A285,$A286,$B$4:$B285,$B286,$I$4:$I285,"&lt;&gt;Complete")=0,$A286&amp;"|"&amp;$B286,""),"")</f>
        <v/>
      </c>
      <c r="P286">
        <f ca="1">IF($K286="Yes",COUNTIFS($K$4:$K286,"Yes"),"")</f>
        <v>54</v>
      </c>
      <c r="Q286">
        <f t="shared" ca="1" si="15"/>
        <v>1</v>
      </c>
      <c r="R286">
        <f ca="1">IF($Q286=1,SUM($Q$4:$Q286),"")</f>
        <v>54</v>
      </c>
    </row>
    <row r="287" spans="1:18" ht="14.25" customHeight="1" x14ac:dyDescent="0.3">
      <c r="A287" s="2" t="s">
        <v>320</v>
      </c>
      <c r="B287" s="2" t="s">
        <v>62</v>
      </c>
      <c r="C287" s="3" t="s">
        <v>311</v>
      </c>
      <c r="D287" s="3" t="s">
        <v>346</v>
      </c>
      <c r="E287" s="2"/>
      <c r="F287" s="2"/>
      <c r="G287" s="5">
        <v>46190</v>
      </c>
      <c r="H287" s="5">
        <v>46232</v>
      </c>
      <c r="I287" s="4" t="s">
        <v>17</v>
      </c>
      <c r="J287" s="6">
        <f t="shared" si="14"/>
        <v>42</v>
      </c>
      <c r="K287" s="4" t="str">
        <f t="shared" ca="1" si="16"/>
        <v>Yes</v>
      </c>
      <c r="L287" s="7">
        <f>IF($H287="","",$H287-'[2]Read Me'!$B$4)</f>
        <v>45</v>
      </c>
      <c r="M287" s="4" t="str">
        <f>IF($I287="Complete","Green",IF($H287="","Amber",IF($H287&lt;'[2]Read Me'!$B$4,"Red",IF($H287-'[2]Read Me'!$B$4&lt;=21,"Amber","Green"))))</f>
        <v>Green</v>
      </c>
      <c r="N287" s="3"/>
      <c r="O287" t="str">
        <f>IF($I287&lt;&gt;"Complete",IF(COUNTIFS($A$4:$A286,$A287,$B$4:$B286,$B287,$I$4:$I286,"&lt;&gt;Complete")=0,$A287&amp;"|"&amp;$B287,""),"")</f>
        <v/>
      </c>
      <c r="P287">
        <f ca="1">IF($K287="Yes",COUNTIFS($K$4:$K287,"Yes"),"")</f>
        <v>55</v>
      </c>
      <c r="Q287">
        <f t="shared" ca="1" si="15"/>
        <v>1</v>
      </c>
      <c r="R287">
        <f ca="1">IF($Q287=1,SUM($Q$4:$Q287),"")</f>
        <v>55</v>
      </c>
    </row>
    <row r="288" spans="1:18" ht="14.25" customHeight="1" x14ac:dyDescent="0.3">
      <c r="A288" s="2" t="s">
        <v>320</v>
      </c>
      <c r="B288" s="2" t="s">
        <v>62</v>
      </c>
      <c r="C288" s="3" t="s">
        <v>311</v>
      </c>
      <c r="D288" s="3" t="s">
        <v>347</v>
      </c>
      <c r="E288" s="2"/>
      <c r="F288" s="2"/>
      <c r="G288" s="5">
        <v>46190</v>
      </c>
      <c r="H288" s="5">
        <v>46232</v>
      </c>
      <c r="I288" s="4" t="s">
        <v>17</v>
      </c>
      <c r="J288" s="6">
        <f t="shared" si="14"/>
        <v>42</v>
      </c>
      <c r="K288" s="4" t="str">
        <f t="shared" ca="1" si="16"/>
        <v>Yes</v>
      </c>
      <c r="L288" s="7">
        <f>IF($H288="","",$H288-'[2]Read Me'!$B$4)</f>
        <v>45</v>
      </c>
      <c r="M288" s="4" t="str">
        <f>IF($I288="Complete","Green",IF($H288="","Amber",IF($H288&lt;'[2]Read Me'!$B$4,"Red",IF($H288-'[2]Read Me'!$B$4&lt;=21,"Amber","Green"))))</f>
        <v>Green</v>
      </c>
      <c r="N288" s="3"/>
      <c r="O288" t="str">
        <f>IF($I288&lt;&gt;"Complete",IF(COUNTIFS($A$4:$A287,$A288,$B$4:$B287,$B288,$I$4:$I287,"&lt;&gt;Complete")=0,$A288&amp;"|"&amp;$B288,""),"")</f>
        <v/>
      </c>
      <c r="P288">
        <f ca="1">IF($K288="Yes",COUNTIFS($K$4:$K288,"Yes"),"")</f>
        <v>56</v>
      </c>
      <c r="Q288">
        <f t="shared" ca="1" si="15"/>
        <v>1</v>
      </c>
      <c r="R288">
        <f ca="1">IF($Q288=1,SUM($Q$4:$Q288),"")</f>
        <v>56</v>
      </c>
    </row>
    <row r="289" spans="1:18" ht="14.25" customHeight="1" x14ac:dyDescent="0.3">
      <c r="A289" s="2" t="s">
        <v>320</v>
      </c>
      <c r="B289" s="2" t="s">
        <v>62</v>
      </c>
      <c r="C289" s="3" t="s">
        <v>311</v>
      </c>
      <c r="D289" s="3" t="s">
        <v>348</v>
      </c>
      <c r="E289" s="2"/>
      <c r="F289" s="2"/>
      <c r="G289" s="5">
        <v>46553</v>
      </c>
      <c r="H289" s="5">
        <v>46603</v>
      </c>
      <c r="I289" s="4" t="s">
        <v>17</v>
      </c>
      <c r="J289" s="6">
        <f t="shared" si="14"/>
        <v>50</v>
      </c>
      <c r="K289" s="4" t="str">
        <f t="shared" ca="1" si="16"/>
        <v>Yes</v>
      </c>
      <c r="L289" s="7">
        <f>IF($H289="","",$H289-'[2]Read Me'!$B$4)</f>
        <v>416</v>
      </c>
      <c r="M289" s="4" t="str">
        <f>IF($I289="Complete","Green",IF($H289="","Amber",IF($H289&lt;'[2]Read Me'!$B$4,"Red",IF($H289-'[2]Read Me'!$B$4&lt;=21,"Amber","Green"))))</f>
        <v>Green</v>
      </c>
      <c r="N289" s="3"/>
      <c r="O289" t="str">
        <f>IF($I289&lt;&gt;"Complete",IF(COUNTIFS($A$4:$A288,$A289,$B$4:$B288,$B289,$I$4:$I288,"&lt;&gt;Complete")=0,$A289&amp;"|"&amp;$B289,""),"")</f>
        <v/>
      </c>
      <c r="P289">
        <f ca="1">IF($K289="Yes",COUNTIFS($K$4:$K289,"Yes"),"")</f>
        <v>57</v>
      </c>
      <c r="Q289">
        <f t="shared" ca="1" si="15"/>
        <v>1</v>
      </c>
      <c r="R289">
        <f ca="1">IF($Q289=1,SUM($Q$4:$Q289),"")</f>
        <v>57</v>
      </c>
    </row>
    <row r="290" spans="1:18" ht="14.25" customHeight="1" x14ac:dyDescent="0.3">
      <c r="A290" s="2" t="s">
        <v>320</v>
      </c>
      <c r="B290" s="2" t="s">
        <v>62</v>
      </c>
      <c r="C290" s="3" t="s">
        <v>311</v>
      </c>
      <c r="D290" s="3" t="s">
        <v>349</v>
      </c>
      <c r="E290" s="2"/>
      <c r="F290" s="2"/>
      <c r="G290" s="5">
        <v>46190</v>
      </c>
      <c r="H290" s="5">
        <v>46232</v>
      </c>
      <c r="I290" s="4" t="s">
        <v>17</v>
      </c>
      <c r="J290" s="6">
        <f t="shared" si="14"/>
        <v>42</v>
      </c>
      <c r="K290" s="4" t="str">
        <f t="shared" ca="1" si="16"/>
        <v>Yes</v>
      </c>
      <c r="L290" s="7">
        <f>IF($H290="","",$H290-'[2]Read Me'!$B$4)</f>
        <v>45</v>
      </c>
      <c r="M290" s="4" t="str">
        <f>IF($I290="Complete","Green",IF($H290="","Amber",IF($H290&lt;'[2]Read Me'!$B$4,"Red",IF($H290-'[2]Read Me'!$B$4&lt;=21,"Amber","Green"))))</f>
        <v>Green</v>
      </c>
      <c r="N290" s="3"/>
      <c r="O290" t="str">
        <f>IF($I290&lt;&gt;"Complete",IF(COUNTIFS($A$4:$A289,$A290,$B$4:$B289,$B290,$I$4:$I289,"&lt;&gt;Complete")=0,$A290&amp;"|"&amp;$B290,""),"")</f>
        <v/>
      </c>
      <c r="P290">
        <f ca="1">IF($K290="Yes",COUNTIFS($K$4:$K290,"Yes"),"")</f>
        <v>58</v>
      </c>
      <c r="Q290">
        <f t="shared" ca="1" si="15"/>
        <v>1</v>
      </c>
      <c r="R290">
        <f ca="1">IF($Q290=1,SUM($Q$4:$Q290),"")</f>
        <v>58</v>
      </c>
    </row>
    <row r="291" spans="1:18" ht="14.25" customHeight="1" x14ac:dyDescent="0.3">
      <c r="A291" s="2" t="s">
        <v>320</v>
      </c>
      <c r="B291" s="2" t="s">
        <v>62</v>
      </c>
      <c r="C291" s="3" t="s">
        <v>311</v>
      </c>
      <c r="D291" s="3" t="s">
        <v>350</v>
      </c>
      <c r="E291" s="2"/>
      <c r="F291" s="2"/>
      <c r="G291" s="5">
        <v>46215</v>
      </c>
      <c r="H291" s="5">
        <v>46267</v>
      </c>
      <c r="I291" s="4" t="s">
        <v>17</v>
      </c>
      <c r="J291" s="6">
        <f t="shared" si="14"/>
        <v>52</v>
      </c>
      <c r="K291" s="4" t="str">
        <f t="shared" ca="1" si="16"/>
        <v>Yes</v>
      </c>
      <c r="L291" s="7">
        <f>IF($H291="","",$H291-'[2]Read Me'!$B$4)</f>
        <v>80</v>
      </c>
      <c r="M291" s="4" t="str">
        <f>IF($I291="Complete","Green",IF($H291="","Amber",IF($H291&lt;'[2]Read Me'!$B$4,"Red",IF($H291-'[2]Read Me'!$B$4&lt;=21,"Amber","Green"))))</f>
        <v>Green</v>
      </c>
      <c r="N291" s="3"/>
      <c r="O291" t="str">
        <f>IF($I291&lt;&gt;"Complete",IF(COUNTIFS($A$4:$A290,$A291,$B$4:$B290,$B291,$I$4:$I290,"&lt;&gt;Complete")=0,$A291&amp;"|"&amp;$B291,""),"")</f>
        <v/>
      </c>
      <c r="P291">
        <f ca="1">IF($K291="Yes",COUNTIFS($K$4:$K291,"Yes"),"")</f>
        <v>59</v>
      </c>
      <c r="Q291">
        <f t="shared" ca="1" si="15"/>
        <v>1</v>
      </c>
      <c r="R291">
        <f ca="1">IF($Q291=1,SUM($Q$4:$Q291),"")</f>
        <v>59</v>
      </c>
    </row>
    <row r="292" spans="1:18" ht="14.25" customHeight="1" x14ac:dyDescent="0.3">
      <c r="A292" s="2" t="s">
        <v>320</v>
      </c>
      <c r="B292" s="2" t="s">
        <v>62</v>
      </c>
      <c r="C292" s="3" t="s">
        <v>311</v>
      </c>
      <c r="D292" s="3" t="s">
        <v>58</v>
      </c>
      <c r="E292" s="2"/>
      <c r="F292" s="2"/>
      <c r="G292" s="5"/>
      <c r="H292" s="5">
        <v>46274</v>
      </c>
      <c r="I292" s="4" t="s">
        <v>17</v>
      </c>
      <c r="J292" s="6" t="str">
        <f t="shared" si="14"/>
        <v/>
      </c>
      <c r="K292" s="4" t="str">
        <f t="shared" ca="1" si="16"/>
        <v>Yes</v>
      </c>
      <c r="L292" s="7">
        <f>IF($H292="","",$H292-'[2]Read Me'!$B$4)</f>
        <v>87</v>
      </c>
      <c r="M292" s="4" t="str">
        <f>IF($I292="Complete","Green",IF($H292="","Amber",IF($H292&lt;'[2]Read Me'!$B$4,"Red",IF($H292-'[2]Read Me'!$B$4&lt;=21,"Amber","Green"))))</f>
        <v>Green</v>
      </c>
      <c r="N292" s="3"/>
      <c r="O292" t="str">
        <f>IF($I292&lt;&gt;"Complete",IF(COUNTIFS($A$4:$A291,$A292,$B$4:$B291,$B292,$I$4:$I291,"&lt;&gt;Complete")=0,$A292&amp;"|"&amp;$B292,""),"")</f>
        <v/>
      </c>
      <c r="P292">
        <f ca="1">IF($K292="Yes",COUNTIFS($K$4:$K292,"Yes"),"")</f>
        <v>60</v>
      </c>
      <c r="Q292">
        <f t="shared" ca="1" si="15"/>
        <v>1</v>
      </c>
      <c r="R292">
        <f ca="1">IF($Q292=1,SUM($Q$4:$Q292),"")</f>
        <v>60</v>
      </c>
    </row>
    <row r="293" spans="1:18" ht="22.5" customHeight="1" x14ac:dyDescent="0.3">
      <c r="A293" s="2" t="s">
        <v>320</v>
      </c>
      <c r="B293" s="2" t="s">
        <v>62</v>
      </c>
      <c r="C293" s="3" t="s">
        <v>311</v>
      </c>
      <c r="D293" s="3" t="s">
        <v>351</v>
      </c>
      <c r="E293" s="2"/>
      <c r="F293" s="2"/>
      <c r="G293" s="5">
        <v>46176</v>
      </c>
      <c r="H293" s="5">
        <v>46386</v>
      </c>
      <c r="I293" s="4" t="s">
        <v>17</v>
      </c>
      <c r="J293" s="6">
        <f t="shared" si="14"/>
        <v>210</v>
      </c>
      <c r="K293" s="4" t="str">
        <f t="shared" ca="1" si="16"/>
        <v>Yes</v>
      </c>
      <c r="L293" s="7">
        <f>IF($H293="","",$H293-'[2]Read Me'!$B$4)</f>
        <v>199</v>
      </c>
      <c r="M293" s="4" t="str">
        <f>IF($I293="Complete","Green",IF($H293="","Amber",IF($H293&lt;'[2]Read Me'!$B$4,"Red",IF($H293-'[2]Read Me'!$B$4&lt;=21,"Amber","Green"))))</f>
        <v>Green</v>
      </c>
      <c r="N293" s="3"/>
      <c r="O293" t="str">
        <f>IF($I293&lt;&gt;"Complete",IF(COUNTIFS($A$4:$A292,$A293,$B$4:$B292,$B293,$I$4:$I292,"&lt;&gt;Complete")=0,$A293&amp;"|"&amp;$B293,""),"")</f>
        <v/>
      </c>
      <c r="P293">
        <f ca="1">IF($K293="Yes",COUNTIFS($K$4:$K293,"Yes"),"")</f>
        <v>61</v>
      </c>
      <c r="Q293">
        <f t="shared" ca="1" si="15"/>
        <v>1</v>
      </c>
      <c r="R293">
        <f ca="1">IF($Q293=1,SUM($Q$4:$Q293),"")</f>
        <v>61</v>
      </c>
    </row>
    <row r="294" spans="1:18" ht="22.5" customHeight="1" x14ac:dyDescent="0.3">
      <c r="A294" s="2" t="s">
        <v>320</v>
      </c>
      <c r="B294" s="2" t="s">
        <v>62</v>
      </c>
      <c r="C294" s="3" t="s">
        <v>311</v>
      </c>
      <c r="D294" s="3" t="s">
        <v>58</v>
      </c>
      <c r="E294" s="2"/>
      <c r="F294" s="2"/>
      <c r="G294" s="5">
        <v>46190</v>
      </c>
      <c r="H294" s="5">
        <v>46400</v>
      </c>
      <c r="I294" s="4" t="s">
        <v>17</v>
      </c>
      <c r="J294" s="6">
        <f t="shared" si="14"/>
        <v>210</v>
      </c>
      <c r="K294" s="4" t="str">
        <f t="shared" ca="1" si="16"/>
        <v>Yes</v>
      </c>
      <c r="L294" s="7">
        <f>IF($H294="","",$H294-'[2]Read Me'!$B$4)</f>
        <v>213</v>
      </c>
      <c r="M294" s="4" t="str">
        <f>IF($I294="Complete","Green",IF($H294="","Amber",IF($H294&lt;'[2]Read Me'!$B$4,"Red",IF($H294-'[2]Read Me'!$B$4&lt;=21,"Amber","Green"))))</f>
        <v>Green</v>
      </c>
      <c r="N294" s="3"/>
      <c r="O294" t="str">
        <f>IF($I294&lt;&gt;"Complete",IF(COUNTIFS($A$4:$A293,$A294,$B$4:$B293,$B294,$I$4:$I293,"&lt;&gt;Complete")=0,$A294&amp;"|"&amp;$B294,""),"")</f>
        <v/>
      </c>
      <c r="P294">
        <f ca="1">IF($K294="Yes",COUNTIFS($K$4:$K294,"Yes"),"")</f>
        <v>62</v>
      </c>
      <c r="Q294">
        <f t="shared" ca="1" si="15"/>
        <v>1</v>
      </c>
      <c r="R294">
        <f ca="1">IF($Q294=1,SUM($Q$4:$Q294),"")</f>
        <v>62</v>
      </c>
    </row>
    <row r="295" spans="1:18" ht="22.5" customHeight="1" x14ac:dyDescent="0.3">
      <c r="A295" s="2" t="s">
        <v>320</v>
      </c>
      <c r="B295" s="2" t="s">
        <v>62</v>
      </c>
      <c r="C295" s="3" t="s">
        <v>311</v>
      </c>
      <c r="D295" s="3" t="s">
        <v>352</v>
      </c>
      <c r="E295" s="2"/>
      <c r="F295" s="2"/>
      <c r="G295" s="5">
        <v>46399</v>
      </c>
      <c r="H295" s="5">
        <v>46449</v>
      </c>
      <c r="I295" s="4" t="s">
        <v>17</v>
      </c>
      <c r="J295" s="6">
        <f t="shared" si="14"/>
        <v>50</v>
      </c>
      <c r="K295" s="4" t="str">
        <f t="shared" ca="1" si="16"/>
        <v>Yes</v>
      </c>
      <c r="L295" s="7">
        <f>IF($H295="","",$H295-'[2]Read Me'!$B$4)</f>
        <v>262</v>
      </c>
      <c r="M295" s="4" t="str">
        <f>IF($I295="Complete","Green",IF($H295="","Amber",IF($H295&lt;'[2]Read Me'!$B$4,"Red",IF($H295-'[2]Read Me'!$B$4&lt;=21,"Amber","Green"))))</f>
        <v>Green</v>
      </c>
      <c r="N295" s="3"/>
      <c r="O295" t="str">
        <f>IF($I295&lt;&gt;"Complete",IF(COUNTIFS($A$4:$A294,$A295,$B$4:$B294,$B295,$I$4:$I294,"&lt;&gt;Complete")=0,$A295&amp;"|"&amp;$B295,""),"")</f>
        <v/>
      </c>
      <c r="P295">
        <f ca="1">IF($K295="Yes",COUNTIFS($K$4:$K295,"Yes"),"")</f>
        <v>63</v>
      </c>
      <c r="Q295">
        <f t="shared" ca="1" si="15"/>
        <v>1</v>
      </c>
      <c r="R295">
        <f ca="1">IF($Q295=1,SUM($Q$4:$Q295),"")</f>
        <v>63</v>
      </c>
    </row>
    <row r="296" spans="1:18" ht="22.5" customHeight="1" x14ac:dyDescent="0.3">
      <c r="A296" s="2" t="s">
        <v>320</v>
      </c>
      <c r="B296" s="2" t="s">
        <v>62</v>
      </c>
      <c r="C296" s="3" t="s">
        <v>311</v>
      </c>
      <c r="D296" s="3" t="s">
        <v>342</v>
      </c>
      <c r="E296" s="2"/>
      <c r="F296" s="2"/>
      <c r="G296" s="5">
        <v>46413</v>
      </c>
      <c r="H296" s="5">
        <v>46463</v>
      </c>
      <c r="I296" s="4" t="s">
        <v>17</v>
      </c>
      <c r="J296" s="6">
        <f t="shared" si="14"/>
        <v>50</v>
      </c>
      <c r="K296" s="4" t="str">
        <f t="shared" ca="1" si="16"/>
        <v>Yes</v>
      </c>
      <c r="L296" s="7">
        <f>IF($H296="","",$H296-'[2]Read Me'!$B$4)</f>
        <v>276</v>
      </c>
      <c r="M296" s="4" t="str">
        <f>IF($I296="Complete","Green",IF($H296="","Amber",IF($H296&lt;'[2]Read Me'!$B$4,"Red",IF($H296-'[2]Read Me'!$B$4&lt;=21,"Amber","Green"))))</f>
        <v>Green</v>
      </c>
      <c r="N296" s="3"/>
      <c r="O296" t="str">
        <f>IF($I296&lt;&gt;"Complete",IF(COUNTIFS($A$4:$A295,$A296,$B$4:$B295,$B296,$I$4:$I295,"&lt;&gt;Complete")=0,$A296&amp;"|"&amp;$B296,""),"")</f>
        <v/>
      </c>
      <c r="P296">
        <f ca="1">IF($K296="Yes",COUNTIFS($K$4:$K296,"Yes"),"")</f>
        <v>64</v>
      </c>
      <c r="Q296">
        <f t="shared" ca="1" si="15"/>
        <v>1</v>
      </c>
      <c r="R296">
        <f ca="1">IF($Q296=1,SUM($Q$4:$Q296),"")</f>
        <v>64</v>
      </c>
    </row>
    <row r="297" spans="1:18" ht="22.5" customHeight="1" x14ac:dyDescent="0.3">
      <c r="A297" s="2" t="s">
        <v>320</v>
      </c>
      <c r="B297" s="2" t="s">
        <v>62</v>
      </c>
      <c r="C297" s="3" t="s">
        <v>311</v>
      </c>
      <c r="D297" s="3" t="s">
        <v>58</v>
      </c>
      <c r="E297" s="2"/>
      <c r="F297" s="2"/>
      <c r="G297" s="5">
        <v>46413</v>
      </c>
      <c r="H297" s="5">
        <v>46463</v>
      </c>
      <c r="I297" s="4" t="s">
        <v>17</v>
      </c>
      <c r="J297" s="6">
        <f t="shared" si="14"/>
        <v>50</v>
      </c>
      <c r="K297" s="4" t="str">
        <f t="shared" ca="1" si="16"/>
        <v>Yes</v>
      </c>
      <c r="L297" s="7">
        <f>IF($H297="","",$H297-'[2]Read Me'!$B$4)</f>
        <v>276</v>
      </c>
      <c r="M297" s="4" t="str">
        <f>IF($I297="Complete","Green",IF($H297="","Amber",IF($H297&lt;'[2]Read Me'!$B$4,"Red",IF($H297-'[2]Read Me'!$B$4&lt;=21,"Amber","Green"))))</f>
        <v>Green</v>
      </c>
      <c r="N297" s="3"/>
      <c r="O297" t="str">
        <f>IF($I297&lt;&gt;"Complete",IF(COUNTIFS($A$4:$A296,$A297,$B$4:$B296,$B297,$I$4:$I296,"&lt;&gt;Complete")=0,$A297&amp;"|"&amp;$B297,""),"")</f>
        <v/>
      </c>
      <c r="P297">
        <f ca="1">IF($K297="Yes",COUNTIFS($K$4:$K297,"Yes"),"")</f>
        <v>65</v>
      </c>
      <c r="Q297">
        <f t="shared" ca="1" si="15"/>
        <v>1</v>
      </c>
      <c r="R297">
        <f ca="1">IF($Q297=1,SUM($Q$4:$Q297),"")</f>
        <v>65</v>
      </c>
    </row>
    <row r="298" spans="1:18" ht="22.5" customHeight="1" x14ac:dyDescent="0.3">
      <c r="A298" s="2" t="s">
        <v>320</v>
      </c>
      <c r="B298" s="2" t="s">
        <v>62</v>
      </c>
      <c r="C298" s="3" t="s">
        <v>311</v>
      </c>
      <c r="D298" s="3" t="s">
        <v>343</v>
      </c>
      <c r="E298" s="2"/>
      <c r="F298" s="2"/>
      <c r="G298" s="5">
        <v>46420</v>
      </c>
      <c r="H298" s="5">
        <v>46470</v>
      </c>
      <c r="I298" s="4" t="s">
        <v>17</v>
      </c>
      <c r="J298" s="6">
        <f t="shared" si="14"/>
        <v>50</v>
      </c>
      <c r="K298" s="4" t="str">
        <f t="shared" ca="1" si="16"/>
        <v>Yes</v>
      </c>
      <c r="L298" s="7">
        <f>IF($H298="","",$H298-'[2]Read Me'!$B$4)</f>
        <v>283</v>
      </c>
      <c r="M298" s="4" t="str">
        <f>IF($I298="Complete","Green",IF($H298="","Amber",IF($H298&lt;'[2]Read Me'!$B$4,"Red",IF($H298-'[2]Read Me'!$B$4&lt;=21,"Amber","Green"))))</f>
        <v>Green</v>
      </c>
      <c r="N298" s="3"/>
      <c r="O298" t="str">
        <f>IF($I298&lt;&gt;"Complete",IF(COUNTIFS($A$4:$A297,$A298,$B$4:$B297,$B298,$I$4:$I297,"&lt;&gt;Complete")=0,$A298&amp;"|"&amp;$B298,""),"")</f>
        <v/>
      </c>
      <c r="P298">
        <f ca="1">IF($K298="Yes",COUNTIFS($K$4:$K298,"Yes"),"")</f>
        <v>66</v>
      </c>
      <c r="Q298">
        <f t="shared" ca="1" si="15"/>
        <v>1</v>
      </c>
      <c r="R298">
        <f ca="1">IF($Q298=1,SUM($Q$4:$Q298),"")</f>
        <v>66</v>
      </c>
    </row>
    <row r="299" spans="1:18" ht="22.5" customHeight="1" x14ac:dyDescent="0.3">
      <c r="A299" s="2" t="s">
        <v>320</v>
      </c>
      <c r="B299" s="2" t="s">
        <v>62</v>
      </c>
      <c r="C299" s="3" t="s">
        <v>311</v>
      </c>
      <c r="D299" s="3" t="s">
        <v>353</v>
      </c>
      <c r="E299" s="2"/>
      <c r="F299" s="2"/>
      <c r="G299" s="5">
        <v>46476</v>
      </c>
      <c r="H299" s="5">
        <v>46526</v>
      </c>
      <c r="I299" s="4" t="s">
        <v>17</v>
      </c>
      <c r="J299" s="6">
        <f t="shared" si="14"/>
        <v>50</v>
      </c>
      <c r="K299" s="4" t="str">
        <f t="shared" ca="1" si="16"/>
        <v>Yes</v>
      </c>
      <c r="L299" s="7">
        <f>IF($H299="","",$H299-'[2]Read Me'!$B$4)</f>
        <v>339</v>
      </c>
      <c r="M299" s="4" t="str">
        <f>IF($I299="Complete","Green",IF($H299="","Amber",IF($H299&lt;'[2]Read Me'!$B$4,"Red",IF($H299-'[2]Read Me'!$B$4&lt;=21,"Amber","Green"))))</f>
        <v>Green</v>
      </c>
      <c r="N299" s="3"/>
      <c r="O299" t="str">
        <f>IF($I299&lt;&gt;"Complete",IF(COUNTIFS($A$4:$A298,$A299,$B$4:$B298,$B299,$I$4:$I298,"&lt;&gt;Complete")=0,$A299&amp;"|"&amp;$B299,""),"")</f>
        <v/>
      </c>
      <c r="P299">
        <f ca="1">IF($K299="Yes",COUNTIFS($K$4:$K299,"Yes"),"")</f>
        <v>67</v>
      </c>
      <c r="Q299">
        <f t="shared" ca="1" si="15"/>
        <v>1</v>
      </c>
      <c r="R299">
        <f ca="1">IF($Q299=1,SUM($Q$4:$Q299),"")</f>
        <v>67</v>
      </c>
    </row>
    <row r="300" spans="1:18" ht="22.5" customHeight="1" x14ac:dyDescent="0.3">
      <c r="A300" s="2" t="s">
        <v>320</v>
      </c>
      <c r="B300" s="2" t="s">
        <v>62</v>
      </c>
      <c r="C300" s="3" t="s">
        <v>311</v>
      </c>
      <c r="D300" s="3" t="s">
        <v>83</v>
      </c>
      <c r="E300" s="2"/>
      <c r="F300" s="2"/>
      <c r="G300" s="5">
        <v>46504</v>
      </c>
      <c r="H300" s="5">
        <v>46554</v>
      </c>
      <c r="I300" s="4" t="s">
        <v>17</v>
      </c>
      <c r="J300" s="6">
        <f t="shared" si="14"/>
        <v>50</v>
      </c>
      <c r="K300" s="4" t="str">
        <f t="shared" ca="1" si="16"/>
        <v>Yes</v>
      </c>
      <c r="L300" s="7">
        <f>IF($H300="","",$H300-'[2]Read Me'!$B$4)</f>
        <v>367</v>
      </c>
      <c r="M300" s="4" t="str">
        <f>IF($I300="Complete","Green",IF($H300="","Amber",IF($H300&lt;'[2]Read Me'!$B$4,"Red",IF($H300-'[2]Read Me'!$B$4&lt;=21,"Amber","Green"))))</f>
        <v>Green</v>
      </c>
      <c r="N300" s="3"/>
      <c r="O300" t="str">
        <f>IF($I300&lt;&gt;"Complete",IF(COUNTIFS($A$4:$A299,$A300,$B$4:$B299,$B300,$I$4:$I299,"&lt;&gt;Complete")=0,$A300&amp;"|"&amp;$B300,""),"")</f>
        <v/>
      </c>
      <c r="P300">
        <f ca="1">IF($K300="Yes",COUNTIFS($K$4:$K300,"Yes"),"")</f>
        <v>68</v>
      </c>
      <c r="Q300">
        <f t="shared" ca="1" si="15"/>
        <v>1</v>
      </c>
      <c r="R300">
        <f ca="1">IF($Q300=1,SUM($Q$4:$Q300),"")</f>
        <v>68</v>
      </c>
    </row>
    <row r="301" spans="1:18" ht="22.5" customHeight="1" x14ac:dyDescent="0.3">
      <c r="A301" s="2" t="s">
        <v>320</v>
      </c>
      <c r="B301" s="2" t="s">
        <v>62</v>
      </c>
      <c r="C301" s="3" t="s">
        <v>311</v>
      </c>
      <c r="D301" s="3" t="s">
        <v>342</v>
      </c>
      <c r="E301" s="2"/>
      <c r="F301" s="2"/>
      <c r="G301" s="5">
        <v>46490</v>
      </c>
      <c r="H301" s="5">
        <v>46540</v>
      </c>
      <c r="I301" s="4" t="s">
        <v>17</v>
      </c>
      <c r="J301" s="6">
        <f t="shared" si="14"/>
        <v>50</v>
      </c>
      <c r="K301" s="4" t="str">
        <f t="shared" ca="1" si="16"/>
        <v>Yes</v>
      </c>
      <c r="L301" s="7">
        <f>IF($H301="","",$H301-'[2]Read Me'!$B$4)</f>
        <v>353</v>
      </c>
      <c r="M301" s="4" t="str">
        <f>IF($I301="Complete","Green",IF($H301="","Amber",IF($H301&lt;'[2]Read Me'!$B$4,"Red",IF($H301-'[2]Read Me'!$B$4&lt;=21,"Amber","Green"))))</f>
        <v>Green</v>
      </c>
      <c r="N301" s="3"/>
      <c r="O301" t="str">
        <f>IF($I301&lt;&gt;"Complete",IF(COUNTIFS($A$4:$A300,$A301,$B$4:$B300,$B301,$I$4:$I300,"&lt;&gt;Complete")=0,$A301&amp;"|"&amp;$B301,""),"")</f>
        <v/>
      </c>
      <c r="P301">
        <f ca="1">IF($K301="Yes",COUNTIFS($K$4:$K301,"Yes"),"")</f>
        <v>69</v>
      </c>
      <c r="Q301">
        <f t="shared" ca="1" si="15"/>
        <v>1</v>
      </c>
      <c r="R301">
        <f ca="1">IF($Q301=1,SUM($Q$4:$Q301),"")</f>
        <v>69</v>
      </c>
    </row>
    <row r="302" spans="1:18" ht="22.5" customHeight="1" x14ac:dyDescent="0.3">
      <c r="A302" s="2" t="s">
        <v>320</v>
      </c>
      <c r="B302" s="2" t="s">
        <v>62</v>
      </c>
      <c r="C302" s="3" t="s">
        <v>311</v>
      </c>
      <c r="D302" s="3" t="s">
        <v>58</v>
      </c>
      <c r="E302" s="2"/>
      <c r="F302" s="2"/>
      <c r="G302" s="5">
        <v>46490</v>
      </c>
      <c r="H302" s="5">
        <v>46540</v>
      </c>
      <c r="I302" s="4" t="s">
        <v>17</v>
      </c>
      <c r="J302" s="6">
        <f t="shared" si="14"/>
        <v>50</v>
      </c>
      <c r="K302" s="4" t="str">
        <f t="shared" ca="1" si="16"/>
        <v>Yes</v>
      </c>
      <c r="L302" s="7">
        <f>IF($H302="","",$H302-'[2]Read Me'!$B$4)</f>
        <v>353</v>
      </c>
      <c r="M302" s="4" t="str">
        <f>IF($I302="Complete","Green",IF($H302="","Amber",IF($H302&lt;'[2]Read Me'!$B$4,"Red",IF($H302-'[2]Read Me'!$B$4&lt;=21,"Amber","Green"))))</f>
        <v>Green</v>
      </c>
      <c r="N302" s="3"/>
      <c r="O302" t="str">
        <f>IF($I302&lt;&gt;"Complete",IF(COUNTIFS($A$4:$A301,$A302,$B$4:$B301,$B302,$I$4:$I301,"&lt;&gt;Complete")=0,$A302&amp;"|"&amp;$B302,""),"")</f>
        <v/>
      </c>
      <c r="P302">
        <f ca="1">IF($K302="Yes",COUNTIFS($K$4:$K302,"Yes"),"")</f>
        <v>70</v>
      </c>
      <c r="Q302">
        <f t="shared" ca="1" si="15"/>
        <v>1</v>
      </c>
      <c r="R302">
        <f ca="1">IF($Q302=1,SUM($Q$4:$Q302),"")</f>
        <v>70</v>
      </c>
    </row>
    <row r="303" spans="1:18" ht="22.5" customHeight="1" x14ac:dyDescent="0.3">
      <c r="A303" s="2" t="s">
        <v>320</v>
      </c>
      <c r="B303" s="2" t="s">
        <v>62</v>
      </c>
      <c r="C303" s="3" t="s">
        <v>311</v>
      </c>
      <c r="D303" s="3" t="s">
        <v>343</v>
      </c>
      <c r="E303" s="2"/>
      <c r="F303" s="2"/>
      <c r="G303" s="5">
        <v>46497</v>
      </c>
      <c r="H303" s="5">
        <v>46547</v>
      </c>
      <c r="I303" s="4" t="s">
        <v>17</v>
      </c>
      <c r="J303" s="6">
        <f t="shared" si="14"/>
        <v>50</v>
      </c>
      <c r="K303" s="4" t="str">
        <f t="shared" ca="1" si="16"/>
        <v>Yes</v>
      </c>
      <c r="L303" s="7">
        <f>IF($H303="","",$H303-'[2]Read Me'!$B$4)</f>
        <v>360</v>
      </c>
      <c r="M303" s="4" t="str">
        <f>IF($I303="Complete","Green",IF($H303="","Amber",IF($H303&lt;'[2]Read Me'!$B$4,"Red",IF($H303-'[2]Read Me'!$B$4&lt;=21,"Amber","Green"))))</f>
        <v>Green</v>
      </c>
      <c r="N303" s="3"/>
      <c r="O303" t="str">
        <f>IF($I303&lt;&gt;"Complete",IF(COUNTIFS($A$4:$A302,$A303,$B$4:$B302,$B303,$I$4:$I302,"&lt;&gt;Complete")=0,$A303&amp;"|"&amp;$B303,""),"")</f>
        <v/>
      </c>
      <c r="P303">
        <f ca="1">IF($K303="Yes",COUNTIFS($K$4:$K303,"Yes"),"")</f>
        <v>71</v>
      </c>
      <c r="Q303">
        <f t="shared" ca="1" si="15"/>
        <v>1</v>
      </c>
      <c r="R303">
        <f ca="1">IF($Q303=1,SUM($Q$4:$Q303),"")</f>
        <v>71</v>
      </c>
    </row>
    <row r="304" spans="1:18" ht="22.5" customHeight="1" x14ac:dyDescent="0.3">
      <c r="A304" s="2" t="s">
        <v>320</v>
      </c>
      <c r="B304" s="2" t="s">
        <v>62</v>
      </c>
      <c r="C304" s="3" t="s">
        <v>311</v>
      </c>
      <c r="D304" s="3" t="s">
        <v>354</v>
      </c>
      <c r="E304" s="2"/>
      <c r="F304" s="2"/>
      <c r="G304" s="5">
        <v>46497</v>
      </c>
      <c r="H304" s="5">
        <v>46547</v>
      </c>
      <c r="I304" s="4" t="s">
        <v>17</v>
      </c>
      <c r="J304" s="6">
        <f t="shared" si="14"/>
        <v>50</v>
      </c>
      <c r="K304" s="4" t="str">
        <f t="shared" ca="1" si="16"/>
        <v>Yes</v>
      </c>
      <c r="L304" s="7">
        <f>IF($H304="","",$H304-'[2]Read Me'!$B$4)</f>
        <v>360</v>
      </c>
      <c r="M304" s="4" t="str">
        <f>IF($I304="Complete","Green",IF($H304="","Amber",IF($H304&lt;'[2]Read Me'!$B$4,"Red",IF($H304-'[2]Read Me'!$B$4&lt;=21,"Amber","Green"))))</f>
        <v>Green</v>
      </c>
      <c r="N304" s="3"/>
      <c r="O304" t="str">
        <f>IF($I304&lt;&gt;"Complete",IF(COUNTIFS($A$4:$A303,$A304,$B$4:$B303,$B304,$I$4:$I303,"&lt;&gt;Complete")=0,$A304&amp;"|"&amp;$B304,""),"")</f>
        <v/>
      </c>
      <c r="P304">
        <f ca="1">IF($K304="Yes",COUNTIFS($K$4:$K304,"Yes"),"")</f>
        <v>72</v>
      </c>
      <c r="Q304">
        <f t="shared" ca="1" si="15"/>
        <v>1</v>
      </c>
      <c r="R304">
        <f ca="1">IF($Q304=1,SUM($Q$4:$Q304),"")</f>
        <v>72</v>
      </c>
    </row>
    <row r="305" spans="1:18" ht="22.5" customHeight="1" x14ac:dyDescent="0.3">
      <c r="A305" s="2" t="s">
        <v>320</v>
      </c>
      <c r="B305" s="2" t="s">
        <v>62</v>
      </c>
      <c r="C305" s="3" t="s">
        <v>311</v>
      </c>
      <c r="D305" s="3" t="s">
        <v>58</v>
      </c>
      <c r="E305" s="2"/>
      <c r="F305" s="2"/>
      <c r="G305" s="5">
        <v>46497</v>
      </c>
      <c r="H305" s="5">
        <v>46547</v>
      </c>
      <c r="I305" s="4" t="s">
        <v>17</v>
      </c>
      <c r="J305" s="6">
        <f t="shared" si="14"/>
        <v>50</v>
      </c>
      <c r="K305" s="4" t="str">
        <f t="shared" ca="1" si="16"/>
        <v>Yes</v>
      </c>
      <c r="L305" s="7">
        <f>IF($H305="","",$H305-'[2]Read Me'!$B$4)</f>
        <v>360</v>
      </c>
      <c r="M305" s="4" t="str">
        <f>IF($I305="Complete","Green",IF($H305="","Amber",IF($H305&lt;'[2]Read Me'!$B$4,"Red",IF($H305-'[2]Read Me'!$B$4&lt;=21,"Amber","Green"))))</f>
        <v>Green</v>
      </c>
      <c r="N305" s="3"/>
      <c r="O305" t="str">
        <f>IF($I305&lt;&gt;"Complete",IF(COUNTIFS($A$4:$A304,$A305,$B$4:$B304,$B305,$I$4:$I304,"&lt;&gt;Complete")=0,$A305&amp;"|"&amp;$B305,""),"")</f>
        <v/>
      </c>
      <c r="P305">
        <f ca="1">IF($K305="Yes",COUNTIFS($K$4:$K305,"Yes"),"")</f>
        <v>73</v>
      </c>
      <c r="Q305">
        <f t="shared" ca="1" si="15"/>
        <v>1</v>
      </c>
      <c r="R305">
        <f ca="1">IF($Q305=1,SUM($Q$4:$Q305),"")</f>
        <v>73</v>
      </c>
    </row>
    <row r="306" spans="1:18" ht="22.5" customHeight="1" x14ac:dyDescent="0.3">
      <c r="A306" s="2" t="s">
        <v>320</v>
      </c>
      <c r="B306" s="2" t="s">
        <v>62</v>
      </c>
      <c r="C306" s="3" t="s">
        <v>311</v>
      </c>
      <c r="D306" s="3" t="s">
        <v>183</v>
      </c>
      <c r="E306" s="2"/>
      <c r="F306" s="2"/>
      <c r="G306" s="5">
        <v>46504</v>
      </c>
      <c r="H306" s="5">
        <v>46554</v>
      </c>
      <c r="I306" s="4" t="s">
        <v>17</v>
      </c>
      <c r="J306" s="6">
        <f t="shared" si="14"/>
        <v>50</v>
      </c>
      <c r="K306" s="4" t="str">
        <f t="shared" ca="1" si="16"/>
        <v>Yes</v>
      </c>
      <c r="L306" s="7">
        <f>IF($H306="","",$H306-'[2]Read Me'!$B$4)</f>
        <v>367</v>
      </c>
      <c r="M306" s="4" t="str">
        <f>IF($I306="Complete","Green",IF($H306="","Amber",IF($H306&lt;'[2]Read Me'!$B$4,"Red",IF($H306-'[2]Read Me'!$B$4&lt;=21,"Amber","Green"))))</f>
        <v>Green</v>
      </c>
      <c r="N306" s="3"/>
      <c r="O306" t="str">
        <f>IF($I306&lt;&gt;"Complete",IF(COUNTIFS($A$4:$A305,$A306,$B$4:$B305,$B306,$I$4:$I305,"&lt;&gt;Complete")=0,$A306&amp;"|"&amp;$B306,""),"")</f>
        <v/>
      </c>
      <c r="P306">
        <f ca="1">IF($K306="Yes",COUNTIFS($K$4:$K306,"Yes"),"")</f>
        <v>74</v>
      </c>
      <c r="Q306">
        <f t="shared" ca="1" si="15"/>
        <v>1</v>
      </c>
      <c r="R306">
        <f ca="1">IF($Q306=1,SUM($Q$4:$Q306),"")</f>
        <v>74</v>
      </c>
    </row>
    <row r="307" spans="1:18" ht="22.5" customHeight="1" x14ac:dyDescent="0.3">
      <c r="A307" s="2" t="s">
        <v>320</v>
      </c>
      <c r="B307" s="2" t="s">
        <v>62</v>
      </c>
      <c r="C307" s="3" t="s">
        <v>311</v>
      </c>
      <c r="D307" s="3" t="s">
        <v>16</v>
      </c>
      <c r="E307" s="2"/>
      <c r="F307" s="2"/>
      <c r="G307" s="5">
        <v>46539</v>
      </c>
      <c r="H307" s="5">
        <v>46589</v>
      </c>
      <c r="I307" s="4" t="s">
        <v>17</v>
      </c>
      <c r="J307" s="6">
        <f t="shared" si="14"/>
        <v>50</v>
      </c>
      <c r="K307" s="4" t="str">
        <f t="shared" ca="1" si="16"/>
        <v>Yes</v>
      </c>
      <c r="L307" s="7">
        <f>IF($H307="","",$H307-'[2]Read Me'!$B$4)</f>
        <v>402</v>
      </c>
      <c r="M307" s="4" t="str">
        <f>IF($I307="Complete","Green",IF($H307="","Amber",IF($H307&lt;'[2]Read Me'!$B$4,"Red",IF($H307-'[2]Read Me'!$B$4&lt;=21,"Amber","Green"))))</f>
        <v>Green</v>
      </c>
      <c r="N307" s="3"/>
      <c r="O307" t="str">
        <f>IF($I307&lt;&gt;"Complete",IF(COUNTIFS($A$4:$A306,$A307,$B$4:$B306,$B307,$I$4:$I306,"&lt;&gt;Complete")=0,$A307&amp;"|"&amp;$B307,""),"")</f>
        <v/>
      </c>
      <c r="P307">
        <f ca="1">IF($K307="Yes",COUNTIFS($K$4:$K307,"Yes"),"")</f>
        <v>75</v>
      </c>
      <c r="Q307">
        <f t="shared" ca="1" si="15"/>
        <v>1</v>
      </c>
      <c r="R307">
        <f ca="1">IF($Q307=1,SUM($Q$4:$Q307),"")</f>
        <v>75</v>
      </c>
    </row>
    <row r="308" spans="1:18" ht="22.5" customHeight="1" x14ac:dyDescent="0.3">
      <c r="A308" s="2" t="s">
        <v>320</v>
      </c>
      <c r="B308" s="2" t="s">
        <v>62</v>
      </c>
      <c r="C308" s="3" t="s">
        <v>311</v>
      </c>
      <c r="D308" s="3" t="s">
        <v>58</v>
      </c>
      <c r="E308" s="2"/>
      <c r="F308" s="2"/>
      <c r="G308" s="5">
        <v>46553</v>
      </c>
      <c r="H308" s="5">
        <v>46603</v>
      </c>
      <c r="I308" s="4" t="s">
        <v>17</v>
      </c>
      <c r="J308" s="6">
        <f t="shared" si="14"/>
        <v>50</v>
      </c>
      <c r="K308" s="4" t="str">
        <f t="shared" ca="1" si="16"/>
        <v>Yes</v>
      </c>
      <c r="L308" s="7">
        <f>IF($H308="","",$H308-'[2]Read Me'!$B$4)</f>
        <v>416</v>
      </c>
      <c r="M308" s="4" t="str">
        <f>IF($I308="Complete","Green",IF($H308="","Amber",IF($H308&lt;'[2]Read Me'!$B$4,"Red",IF($H308-'[2]Read Me'!$B$4&lt;=21,"Amber","Green"))))</f>
        <v>Green</v>
      </c>
      <c r="N308" s="3"/>
      <c r="O308" t="str">
        <f>IF($I308&lt;&gt;"Complete",IF(COUNTIFS($A$4:$A307,$A308,$B$4:$B307,$B308,$I$4:$I307,"&lt;&gt;Complete")=0,$A308&amp;"|"&amp;$B308,""),"")</f>
        <v/>
      </c>
      <c r="P308">
        <f ca="1">IF($K308="Yes",COUNTIFS($K$4:$K308,"Yes"),"")</f>
        <v>76</v>
      </c>
      <c r="Q308">
        <f t="shared" ca="1" si="15"/>
        <v>1</v>
      </c>
      <c r="R308">
        <f ca="1">IF($Q308=1,SUM($Q$4:$Q308),"")</f>
        <v>76</v>
      </c>
    </row>
    <row r="309" spans="1:18" ht="22.5" customHeight="1" x14ac:dyDescent="0.3">
      <c r="A309" s="2" t="s">
        <v>320</v>
      </c>
      <c r="B309" s="2" t="s">
        <v>140</v>
      </c>
      <c r="C309" s="3" t="s">
        <v>311</v>
      </c>
      <c r="D309" s="3" t="s">
        <v>140</v>
      </c>
      <c r="E309" s="2"/>
      <c r="F309" s="2"/>
      <c r="G309" s="5">
        <v>46229</v>
      </c>
      <c r="H309" s="5">
        <v>46366</v>
      </c>
      <c r="I309" s="4" t="s">
        <v>17</v>
      </c>
      <c r="J309" s="6">
        <f t="shared" si="14"/>
        <v>137</v>
      </c>
      <c r="K309" s="4" t="str">
        <f t="shared" ca="1" si="16"/>
        <v>Yes</v>
      </c>
      <c r="L309" s="7">
        <f>IF($H309="","",$H309-'[2]Read Me'!$B$4)</f>
        <v>179</v>
      </c>
      <c r="M309" s="4" t="str">
        <f>IF($I309="Complete","Green",IF($H309="","Amber",IF($H309&lt;'[2]Read Me'!$B$4,"Red",IF($H309-'[2]Read Me'!$B$4&lt;=21,"Amber","Green"))))</f>
        <v>Green</v>
      </c>
      <c r="N309" s="3"/>
      <c r="O309" t="str">
        <f>IF($I309&lt;&gt;"Complete",IF(COUNTIFS($A$4:$A308,$A309,$B$4:$B308,$B309,$I$4:$I308,"&lt;&gt;Complete")=0,$A309&amp;"|"&amp;$B309,""),"")</f>
        <v>Hotel|Masterplan</v>
      </c>
      <c r="P309">
        <f ca="1">IF($K309="Yes",COUNTIFS($K$4:$K309,"Yes"),"")</f>
        <v>77</v>
      </c>
      <c r="Q309">
        <f t="shared" ca="1" si="15"/>
        <v>1</v>
      </c>
      <c r="R309">
        <f ca="1">IF($Q309=1,SUM($Q$4:$Q309),"")</f>
        <v>77</v>
      </c>
    </row>
    <row r="310" spans="1:18" ht="14.25" customHeight="1" x14ac:dyDescent="0.3">
      <c r="A310" s="2" t="s">
        <v>320</v>
      </c>
      <c r="B310" s="2" t="s">
        <v>140</v>
      </c>
      <c r="C310" s="3" t="s">
        <v>311</v>
      </c>
      <c r="D310" s="3" t="s">
        <v>355</v>
      </c>
      <c r="E310" s="2"/>
      <c r="F310" s="2"/>
      <c r="G310" s="5">
        <v>46173</v>
      </c>
      <c r="H310" s="5">
        <v>46254</v>
      </c>
      <c r="I310" s="4" t="s">
        <v>17</v>
      </c>
      <c r="J310" s="6">
        <f t="shared" si="14"/>
        <v>81</v>
      </c>
      <c r="K310" s="4" t="str">
        <f t="shared" ca="1" si="16"/>
        <v>Yes</v>
      </c>
      <c r="L310" s="7">
        <f>IF($H310="","",$H310-'[2]Read Me'!$B$4)</f>
        <v>67</v>
      </c>
      <c r="M310" s="4" t="str">
        <f>IF($I310="Complete","Green",IF($H310="","Amber",IF($H310&lt;'[2]Read Me'!$B$4,"Red",IF($H310-'[2]Read Me'!$B$4&lt;=21,"Amber","Green"))))</f>
        <v>Green</v>
      </c>
      <c r="N310" s="3"/>
      <c r="O310" t="str">
        <f>IF($I310&lt;&gt;"Complete",IF(COUNTIFS($A$4:$A309,$A310,$B$4:$B309,$B310,$I$4:$I309,"&lt;&gt;Complete")=0,$A310&amp;"|"&amp;$B310,""),"")</f>
        <v/>
      </c>
      <c r="P310">
        <f ca="1">IF($K310="Yes",COUNTIFS($K$4:$K310,"Yes"),"")</f>
        <v>78</v>
      </c>
      <c r="Q310">
        <f t="shared" ca="1" si="15"/>
        <v>1</v>
      </c>
      <c r="R310">
        <f ca="1">IF($Q310=1,SUM($Q$4:$Q310),"")</f>
        <v>78</v>
      </c>
    </row>
    <row r="311" spans="1:18" ht="14.25" customHeight="1" x14ac:dyDescent="0.3">
      <c r="A311" s="2" t="s">
        <v>320</v>
      </c>
      <c r="B311" s="2" t="s">
        <v>140</v>
      </c>
      <c r="C311" s="3" t="s">
        <v>311</v>
      </c>
      <c r="D311" s="3" t="s">
        <v>356</v>
      </c>
      <c r="E311" s="2"/>
      <c r="F311" s="2"/>
      <c r="G311" s="5"/>
      <c r="H311" s="5">
        <v>46282</v>
      </c>
      <c r="I311" s="4" t="s">
        <v>17</v>
      </c>
      <c r="J311" s="6" t="str">
        <f t="shared" si="14"/>
        <v/>
      </c>
      <c r="K311" s="4" t="str">
        <f t="shared" ca="1" si="16"/>
        <v>Yes</v>
      </c>
      <c r="L311" s="7">
        <f>IF($H311="","",$H311-'[2]Read Me'!$B$4)</f>
        <v>95</v>
      </c>
      <c r="M311" s="4" t="str">
        <f>IF($I311="Complete","Green",IF($H311="","Amber",IF($H311&lt;'[2]Read Me'!$B$4,"Red",IF($H311-'[2]Read Me'!$B$4&lt;=21,"Amber","Green"))))</f>
        <v>Green</v>
      </c>
      <c r="N311" s="3"/>
      <c r="O311" t="str">
        <f>IF($I311&lt;&gt;"Complete",IF(COUNTIFS($A$4:$A310,$A311,$B$4:$B310,$B311,$I$4:$I310,"&lt;&gt;Complete")=0,$A311&amp;"|"&amp;$B311,""),"")</f>
        <v/>
      </c>
      <c r="P311">
        <f ca="1">IF($K311="Yes",COUNTIFS($K$4:$K311,"Yes"),"")</f>
        <v>79</v>
      </c>
      <c r="Q311">
        <f t="shared" ca="1" si="15"/>
        <v>1</v>
      </c>
      <c r="R311">
        <f ca="1">IF($Q311=1,SUM($Q$4:$Q311),"")</f>
        <v>79</v>
      </c>
    </row>
    <row r="312" spans="1:18" ht="14.25" customHeight="1" x14ac:dyDescent="0.3">
      <c r="A312" s="2" t="s">
        <v>320</v>
      </c>
      <c r="B312" s="2" t="s">
        <v>140</v>
      </c>
      <c r="C312" s="3" t="s">
        <v>311</v>
      </c>
      <c r="D312" s="3" t="s">
        <v>58</v>
      </c>
      <c r="E312" s="2"/>
      <c r="F312" s="2"/>
      <c r="G312" s="5"/>
      <c r="H312" s="5">
        <v>46289</v>
      </c>
      <c r="I312" s="4" t="s">
        <v>17</v>
      </c>
      <c r="J312" s="6" t="str">
        <f t="shared" si="14"/>
        <v/>
      </c>
      <c r="K312" s="4" t="str">
        <f t="shared" ca="1" si="16"/>
        <v>Yes</v>
      </c>
      <c r="L312" s="7">
        <f>IF($H312="","",$H312-'[2]Read Me'!$B$4)</f>
        <v>102</v>
      </c>
      <c r="M312" s="4" t="str">
        <f>IF($I312="Complete","Green",IF($H312="","Amber",IF($H312&lt;'[2]Read Me'!$B$4,"Red",IF($H312-'[2]Read Me'!$B$4&lt;=21,"Amber","Green"))))</f>
        <v>Green</v>
      </c>
      <c r="N312" s="3"/>
      <c r="O312" t="str">
        <f>IF($I312&lt;&gt;"Complete",IF(COUNTIFS($A$4:$A311,$A312,$B$4:$B311,$B312,$I$4:$I311,"&lt;&gt;Complete")=0,$A312&amp;"|"&amp;$B312,""),"")</f>
        <v/>
      </c>
      <c r="P312">
        <f ca="1">IF($K312="Yes",COUNTIFS($K$4:$K312,"Yes"),"")</f>
        <v>80</v>
      </c>
      <c r="Q312">
        <f t="shared" ca="1" si="15"/>
        <v>1</v>
      </c>
      <c r="R312">
        <f ca="1">IF($Q312=1,SUM($Q$4:$Q312),"")</f>
        <v>80</v>
      </c>
    </row>
    <row r="313" spans="1:18" x14ac:dyDescent="0.3">
      <c r="A313" t="s">
        <v>320</v>
      </c>
      <c r="B313" t="s">
        <v>140</v>
      </c>
      <c r="C313" t="s">
        <v>311</v>
      </c>
      <c r="D313" t="s">
        <v>357</v>
      </c>
      <c r="G313" s="9"/>
      <c r="H313" s="9">
        <v>46303</v>
      </c>
      <c r="I313" t="s">
        <v>17</v>
      </c>
    </row>
    <row r="314" spans="1:18" x14ac:dyDescent="0.3">
      <c r="A314" t="s">
        <v>320</v>
      </c>
      <c r="B314" t="s">
        <v>140</v>
      </c>
      <c r="C314" t="s">
        <v>311</v>
      </c>
      <c r="D314" t="s">
        <v>58</v>
      </c>
      <c r="G314" s="9"/>
      <c r="H314" s="9">
        <v>46310</v>
      </c>
      <c r="I314" t="s">
        <v>17</v>
      </c>
    </row>
    <row r="315" spans="1:18" x14ac:dyDescent="0.3">
      <c r="A315" t="s">
        <v>320</v>
      </c>
      <c r="B315" t="s">
        <v>140</v>
      </c>
      <c r="C315" t="s">
        <v>311</v>
      </c>
      <c r="D315" t="s">
        <v>15</v>
      </c>
      <c r="G315" s="9">
        <v>46222</v>
      </c>
      <c r="H315" s="9">
        <v>46338</v>
      </c>
      <c r="I315" t="s">
        <v>17</v>
      </c>
    </row>
    <row r="316" spans="1:18" x14ac:dyDescent="0.3">
      <c r="A316" t="s">
        <v>320</v>
      </c>
      <c r="B316" t="s">
        <v>140</v>
      </c>
      <c r="C316" t="s">
        <v>311</v>
      </c>
      <c r="D316" t="s">
        <v>358</v>
      </c>
      <c r="G316" s="9">
        <v>46229</v>
      </c>
      <c r="H316" s="9">
        <v>46345</v>
      </c>
      <c r="I316" t="s">
        <v>17</v>
      </c>
    </row>
    <row r="317" spans="1:18" x14ac:dyDescent="0.3">
      <c r="A317" t="s">
        <v>320</v>
      </c>
      <c r="B317" t="s">
        <v>140</v>
      </c>
      <c r="C317" t="s">
        <v>311</v>
      </c>
      <c r="D317" t="s">
        <v>271</v>
      </c>
      <c r="G317" s="9">
        <v>46180</v>
      </c>
      <c r="H317" s="9">
        <v>46359</v>
      </c>
      <c r="I317" t="s">
        <v>17</v>
      </c>
    </row>
    <row r="318" spans="1:18" x14ac:dyDescent="0.3">
      <c r="A318" t="s">
        <v>320</v>
      </c>
      <c r="B318" t="s">
        <v>140</v>
      </c>
      <c r="C318" t="s">
        <v>311</v>
      </c>
      <c r="D318" t="s">
        <v>358</v>
      </c>
      <c r="G318" s="9">
        <v>46187</v>
      </c>
      <c r="H318" s="9">
        <v>46366</v>
      </c>
      <c r="I318" t="s">
        <v>17</v>
      </c>
    </row>
    <row r="319" spans="1:18" x14ac:dyDescent="0.3">
      <c r="A319" t="s">
        <v>320</v>
      </c>
      <c r="B319" t="s">
        <v>21</v>
      </c>
      <c r="C319" t="s">
        <v>311</v>
      </c>
      <c r="D319" t="s">
        <v>21</v>
      </c>
      <c r="G319" s="9">
        <v>46411</v>
      </c>
      <c r="H319" s="9">
        <v>46527</v>
      </c>
      <c r="I319" t="s">
        <v>17</v>
      </c>
    </row>
    <row r="320" spans="1:18" x14ac:dyDescent="0.3">
      <c r="A320" t="s">
        <v>320</v>
      </c>
      <c r="B320" t="s">
        <v>21</v>
      </c>
      <c r="C320" t="s">
        <v>311</v>
      </c>
      <c r="D320" t="s">
        <v>359</v>
      </c>
      <c r="G320" s="9">
        <v>46229</v>
      </c>
      <c r="H320" s="9">
        <v>46345</v>
      </c>
      <c r="I320" t="s">
        <v>17</v>
      </c>
    </row>
    <row r="321" spans="1:9" x14ac:dyDescent="0.3">
      <c r="A321" t="s">
        <v>320</v>
      </c>
      <c r="B321" t="s">
        <v>21</v>
      </c>
      <c r="C321" t="s">
        <v>311</v>
      </c>
      <c r="D321" t="s">
        <v>360</v>
      </c>
      <c r="G321" s="9">
        <v>46257</v>
      </c>
      <c r="H321" s="9">
        <v>46373</v>
      </c>
      <c r="I321" t="s">
        <v>17</v>
      </c>
    </row>
    <row r="322" spans="1:9" x14ac:dyDescent="0.3">
      <c r="A322" t="s">
        <v>320</v>
      </c>
      <c r="B322" t="s">
        <v>21</v>
      </c>
      <c r="C322" t="s">
        <v>311</v>
      </c>
      <c r="D322" t="s">
        <v>58</v>
      </c>
      <c r="G322" s="9">
        <v>46271</v>
      </c>
      <c r="H322" s="9">
        <v>46387</v>
      </c>
      <c r="I322" t="s">
        <v>17</v>
      </c>
    </row>
    <row r="323" spans="1:9" x14ac:dyDescent="0.3">
      <c r="A323" t="s">
        <v>320</v>
      </c>
      <c r="B323" t="s">
        <v>21</v>
      </c>
      <c r="C323" t="s">
        <v>311</v>
      </c>
      <c r="D323" t="s">
        <v>361</v>
      </c>
      <c r="G323" s="9">
        <v>46299</v>
      </c>
      <c r="H323" s="9">
        <v>46415</v>
      </c>
      <c r="I323" t="s">
        <v>17</v>
      </c>
    </row>
    <row r="324" spans="1:9" x14ac:dyDescent="0.3">
      <c r="A324" t="s">
        <v>320</v>
      </c>
      <c r="B324" t="s">
        <v>21</v>
      </c>
      <c r="C324" t="s">
        <v>311</v>
      </c>
      <c r="D324" t="s">
        <v>58</v>
      </c>
      <c r="G324" s="9">
        <v>46313</v>
      </c>
      <c r="H324" s="9">
        <v>46429</v>
      </c>
      <c r="I324" t="s">
        <v>17</v>
      </c>
    </row>
    <row r="325" spans="1:9" x14ac:dyDescent="0.3">
      <c r="A325" t="s">
        <v>320</v>
      </c>
      <c r="B325" t="s">
        <v>21</v>
      </c>
      <c r="C325" t="s">
        <v>311</v>
      </c>
      <c r="D325" t="s">
        <v>15</v>
      </c>
      <c r="G325" s="9">
        <v>46355</v>
      </c>
      <c r="H325" s="9">
        <v>46471</v>
      </c>
      <c r="I325" t="s">
        <v>17</v>
      </c>
    </row>
    <row r="326" spans="1:9" x14ac:dyDescent="0.3">
      <c r="A326" t="s">
        <v>320</v>
      </c>
      <c r="B326" t="s">
        <v>21</v>
      </c>
      <c r="C326" t="s">
        <v>311</v>
      </c>
      <c r="D326" t="s">
        <v>58</v>
      </c>
      <c r="G326" s="9">
        <v>46369</v>
      </c>
      <c r="H326" s="9">
        <v>46485</v>
      </c>
      <c r="I326" t="s">
        <v>17</v>
      </c>
    </row>
    <row r="327" spans="1:9" x14ac:dyDescent="0.3">
      <c r="A327" t="s">
        <v>320</v>
      </c>
      <c r="B327" t="s">
        <v>21</v>
      </c>
      <c r="C327" t="s">
        <v>311</v>
      </c>
      <c r="D327" t="s">
        <v>183</v>
      </c>
      <c r="G327" s="9">
        <v>46369</v>
      </c>
      <c r="H327" s="9">
        <v>46485</v>
      </c>
      <c r="I327" t="s">
        <v>17</v>
      </c>
    </row>
    <row r="328" spans="1:9" x14ac:dyDescent="0.3">
      <c r="A328" t="s">
        <v>320</v>
      </c>
      <c r="B328" t="s">
        <v>21</v>
      </c>
      <c r="C328" t="s">
        <v>311</v>
      </c>
      <c r="D328" t="s">
        <v>16</v>
      </c>
      <c r="G328" s="9">
        <v>46397</v>
      </c>
      <c r="H328" s="9">
        <v>46513</v>
      </c>
      <c r="I328" t="s">
        <v>17</v>
      </c>
    </row>
    <row r="329" spans="1:9" x14ac:dyDescent="0.3">
      <c r="A329" t="s">
        <v>320</v>
      </c>
      <c r="B329" t="s">
        <v>21</v>
      </c>
      <c r="C329" t="s">
        <v>311</v>
      </c>
      <c r="D329" t="s">
        <v>58</v>
      </c>
      <c r="G329" s="9">
        <v>46411</v>
      </c>
      <c r="H329" s="9">
        <v>46527</v>
      </c>
      <c r="I329" t="s">
        <v>17</v>
      </c>
    </row>
    <row r="330" spans="1:9" x14ac:dyDescent="0.3">
      <c r="C330" t="s">
        <v>311</v>
      </c>
      <c r="D330" t="s">
        <v>362</v>
      </c>
      <c r="G330" s="9">
        <v>46441</v>
      </c>
      <c r="H330" s="9">
        <v>46484</v>
      </c>
      <c r="I330" t="s">
        <v>17</v>
      </c>
    </row>
    <row r="331" spans="1:9" x14ac:dyDescent="0.3">
      <c r="C331" t="s">
        <v>311</v>
      </c>
      <c r="D331" t="s">
        <v>144</v>
      </c>
      <c r="G331" s="9">
        <v>46427</v>
      </c>
      <c r="H331" s="9">
        <v>46470</v>
      </c>
      <c r="I331" t="s">
        <v>17</v>
      </c>
    </row>
    <row r="332" spans="1:9" x14ac:dyDescent="0.3">
      <c r="C332" t="s">
        <v>311</v>
      </c>
      <c r="D332" t="s">
        <v>363</v>
      </c>
      <c r="G332" s="9">
        <v>46441</v>
      </c>
      <c r="H332" s="9">
        <v>46484</v>
      </c>
      <c r="I332" t="s">
        <v>17</v>
      </c>
    </row>
    <row r="333" spans="1:9" x14ac:dyDescent="0.3">
      <c r="C333" t="s">
        <v>311</v>
      </c>
      <c r="D333" t="s">
        <v>144</v>
      </c>
      <c r="G333" s="9">
        <v>46665</v>
      </c>
      <c r="H333" s="9">
        <v>46715</v>
      </c>
      <c r="I333" t="s">
        <v>17</v>
      </c>
    </row>
    <row r="334" spans="1:9" x14ac:dyDescent="0.3">
      <c r="C334" t="s">
        <v>311</v>
      </c>
      <c r="D334" t="s">
        <v>364</v>
      </c>
      <c r="G334" s="9">
        <v>46525</v>
      </c>
      <c r="H334" s="9">
        <v>46310</v>
      </c>
      <c r="I334" t="s">
        <v>17</v>
      </c>
    </row>
    <row r="335" spans="1:9" x14ac:dyDescent="0.3">
      <c r="C335" t="s">
        <v>311</v>
      </c>
      <c r="D335" t="s">
        <v>365</v>
      </c>
      <c r="G335" s="9">
        <v>46581</v>
      </c>
      <c r="H335" s="9">
        <v>46631</v>
      </c>
      <c r="I335" t="s">
        <v>17</v>
      </c>
    </row>
    <row r="336" spans="1:9" x14ac:dyDescent="0.3">
      <c r="C336" t="s">
        <v>311</v>
      </c>
      <c r="D336" t="s">
        <v>363</v>
      </c>
      <c r="G336" s="9">
        <v>46609</v>
      </c>
      <c r="H336" s="9">
        <v>46659</v>
      </c>
      <c r="I336" t="s">
        <v>17</v>
      </c>
    </row>
    <row r="337" spans="1:9" x14ac:dyDescent="0.3">
      <c r="C337" t="s">
        <v>311</v>
      </c>
      <c r="D337" t="s">
        <v>144</v>
      </c>
      <c r="G337" s="9">
        <v>46637</v>
      </c>
      <c r="H337" s="9">
        <v>46687</v>
      </c>
      <c r="I337" t="s">
        <v>17</v>
      </c>
    </row>
    <row r="338" spans="1:9" x14ac:dyDescent="0.3">
      <c r="C338" t="s">
        <v>311</v>
      </c>
      <c r="D338" t="s">
        <v>363</v>
      </c>
      <c r="G338" s="9">
        <v>46665</v>
      </c>
      <c r="H338" s="9">
        <v>46715</v>
      </c>
      <c r="I338" t="s">
        <v>17</v>
      </c>
    </row>
    <row r="339" spans="1:9" x14ac:dyDescent="0.3">
      <c r="A339" t="s">
        <v>320</v>
      </c>
      <c r="B339" t="s">
        <v>49</v>
      </c>
      <c r="C339" t="s">
        <v>311</v>
      </c>
      <c r="D339" t="s">
        <v>366</v>
      </c>
      <c r="G339" s="9">
        <v>46504</v>
      </c>
      <c r="H339" s="9">
        <v>46687</v>
      </c>
      <c r="I339" t="s">
        <v>17</v>
      </c>
    </row>
    <row r="340" spans="1:9" x14ac:dyDescent="0.3">
      <c r="A340" t="s">
        <v>320</v>
      </c>
      <c r="B340" t="s">
        <v>49</v>
      </c>
      <c r="C340" t="s">
        <v>311</v>
      </c>
      <c r="D340" t="s">
        <v>103</v>
      </c>
      <c r="G340" s="9">
        <v>46187</v>
      </c>
      <c r="H340" s="9">
        <v>46450</v>
      </c>
      <c r="I340" t="s">
        <v>17</v>
      </c>
    </row>
    <row r="341" spans="1:9" x14ac:dyDescent="0.3">
      <c r="A341" t="s">
        <v>320</v>
      </c>
      <c r="B341" t="s">
        <v>49</v>
      </c>
      <c r="C341" t="s">
        <v>311</v>
      </c>
      <c r="D341" t="s">
        <v>367</v>
      </c>
      <c r="G341" s="9">
        <v>46497</v>
      </c>
      <c r="H341" s="9">
        <v>46575</v>
      </c>
      <c r="I341" t="s">
        <v>17</v>
      </c>
    </row>
    <row r="342" spans="1:9" x14ac:dyDescent="0.3">
      <c r="A342" t="s">
        <v>320</v>
      </c>
      <c r="B342" t="s">
        <v>49</v>
      </c>
      <c r="C342" t="s">
        <v>311</v>
      </c>
      <c r="D342" t="s">
        <v>368</v>
      </c>
      <c r="G342" s="9">
        <v>46497</v>
      </c>
      <c r="H342" s="9">
        <v>46603</v>
      </c>
      <c r="I342" t="s">
        <v>17</v>
      </c>
    </row>
    <row r="343" spans="1:9" x14ac:dyDescent="0.3">
      <c r="A343" t="s">
        <v>320</v>
      </c>
      <c r="B343" t="s">
        <v>49</v>
      </c>
      <c r="C343" t="s">
        <v>311</v>
      </c>
      <c r="D343" t="s">
        <v>91</v>
      </c>
      <c r="G343" s="9">
        <v>46504</v>
      </c>
      <c r="H343" s="9">
        <v>46645</v>
      </c>
      <c r="I343" t="s">
        <v>17</v>
      </c>
    </row>
    <row r="344" spans="1:9" x14ac:dyDescent="0.3">
      <c r="A344" t="s">
        <v>320</v>
      </c>
      <c r="B344" t="s">
        <v>49</v>
      </c>
      <c r="C344" t="s">
        <v>311</v>
      </c>
      <c r="D344" t="s">
        <v>94</v>
      </c>
      <c r="G344" s="9">
        <v>46504</v>
      </c>
      <c r="H344" s="9">
        <v>46687</v>
      </c>
      <c r="I344" t="s">
        <v>17</v>
      </c>
    </row>
    <row r="345" spans="1:9" x14ac:dyDescent="0.3">
      <c r="C345" t="s">
        <v>311</v>
      </c>
      <c r="D345" t="s">
        <v>369</v>
      </c>
      <c r="G345" s="9">
        <v>47393</v>
      </c>
      <c r="H345" s="9">
        <v>47443</v>
      </c>
      <c r="I345" t="s">
        <v>17</v>
      </c>
    </row>
    <row r="346" spans="1:9" x14ac:dyDescent="0.3">
      <c r="C346" t="s">
        <v>311</v>
      </c>
      <c r="D346" t="s">
        <v>370</v>
      </c>
      <c r="G346" s="9">
        <v>46623</v>
      </c>
      <c r="H346" s="9">
        <v>46666</v>
      </c>
      <c r="I346" t="s">
        <v>17</v>
      </c>
    </row>
    <row r="347" spans="1:9" x14ac:dyDescent="0.3">
      <c r="C347" t="s">
        <v>311</v>
      </c>
      <c r="D347" t="s">
        <v>371</v>
      </c>
      <c r="G347" s="9">
        <v>46406</v>
      </c>
      <c r="H347" s="9">
        <v>46478</v>
      </c>
      <c r="I347" t="s">
        <v>17</v>
      </c>
    </row>
    <row r="348" spans="1:9" x14ac:dyDescent="0.3">
      <c r="C348" t="s">
        <v>311</v>
      </c>
      <c r="D348" t="s">
        <v>372</v>
      </c>
      <c r="G348" s="9">
        <v>46637</v>
      </c>
      <c r="H348" s="9">
        <v>46687</v>
      </c>
      <c r="I348" t="s">
        <v>17</v>
      </c>
    </row>
    <row r="349" spans="1:9" x14ac:dyDescent="0.3">
      <c r="C349" t="s">
        <v>311</v>
      </c>
      <c r="D349" t="s">
        <v>373</v>
      </c>
      <c r="G349" s="9">
        <v>47057</v>
      </c>
      <c r="H349" s="9">
        <v>47107</v>
      </c>
      <c r="I349" t="s">
        <v>17</v>
      </c>
    </row>
    <row r="350" spans="1:9" x14ac:dyDescent="0.3">
      <c r="C350" t="s">
        <v>311</v>
      </c>
      <c r="D350" t="s">
        <v>374</v>
      </c>
      <c r="G350" s="9">
        <v>47393</v>
      </c>
      <c r="H350" s="9">
        <v>47443</v>
      </c>
      <c r="I350" t="s">
        <v>17</v>
      </c>
    </row>
    <row r="351" spans="1:9" x14ac:dyDescent="0.3">
      <c r="C351" t="s">
        <v>311</v>
      </c>
      <c r="D351" t="s">
        <v>375</v>
      </c>
      <c r="G351" s="9">
        <v>47393</v>
      </c>
      <c r="H351" s="9">
        <v>47443</v>
      </c>
      <c r="I351" t="s">
        <v>17</v>
      </c>
    </row>
    <row r="352" spans="1:9" x14ac:dyDescent="0.3">
      <c r="C352" t="s">
        <v>311</v>
      </c>
      <c r="D352" t="s">
        <v>21</v>
      </c>
      <c r="G352" s="9">
        <v>47393</v>
      </c>
      <c r="H352" s="9">
        <v>47443</v>
      </c>
      <c r="I352" t="s">
        <v>17</v>
      </c>
    </row>
    <row r="353" spans="1:9" x14ac:dyDescent="0.3">
      <c r="C353" t="s">
        <v>311</v>
      </c>
      <c r="D353" t="s">
        <v>376</v>
      </c>
      <c r="G353" s="9">
        <v>47281</v>
      </c>
      <c r="H353" s="9">
        <v>47331</v>
      </c>
      <c r="I353" t="s">
        <v>17</v>
      </c>
    </row>
    <row r="354" spans="1:9" x14ac:dyDescent="0.3">
      <c r="C354" t="s">
        <v>311</v>
      </c>
      <c r="D354" t="s">
        <v>377</v>
      </c>
      <c r="G354" s="9">
        <v>47645</v>
      </c>
      <c r="H354" s="9">
        <v>47695</v>
      </c>
      <c r="I354" t="s">
        <v>17</v>
      </c>
    </row>
    <row r="355" spans="1:9" x14ac:dyDescent="0.3">
      <c r="C355" t="s">
        <v>311</v>
      </c>
      <c r="D355" t="s">
        <v>368</v>
      </c>
      <c r="G355" s="9">
        <v>47505</v>
      </c>
      <c r="H355" s="9">
        <v>47555</v>
      </c>
      <c r="I355" t="s">
        <v>17</v>
      </c>
    </row>
    <row r="356" spans="1:9" x14ac:dyDescent="0.3">
      <c r="C356" t="s">
        <v>311</v>
      </c>
      <c r="D356" t="s">
        <v>378</v>
      </c>
      <c r="G356" s="9">
        <v>47561</v>
      </c>
      <c r="H356" s="9">
        <v>47611</v>
      </c>
      <c r="I356" t="s">
        <v>17</v>
      </c>
    </row>
    <row r="357" spans="1:9" x14ac:dyDescent="0.3">
      <c r="C357" t="s">
        <v>311</v>
      </c>
      <c r="D357" t="s">
        <v>379</v>
      </c>
      <c r="G357" s="9">
        <v>47645</v>
      </c>
      <c r="H357" s="9">
        <v>47695</v>
      </c>
      <c r="I357" t="s">
        <v>17</v>
      </c>
    </row>
    <row r="358" spans="1:9" x14ac:dyDescent="0.3">
      <c r="C358" t="s">
        <v>311</v>
      </c>
      <c r="D358" t="s">
        <v>380</v>
      </c>
      <c r="G358" s="9">
        <v>47673</v>
      </c>
      <c r="H358" s="9">
        <v>47723</v>
      </c>
      <c r="I358" t="s">
        <v>17</v>
      </c>
    </row>
    <row r="359" spans="1:9" x14ac:dyDescent="0.3">
      <c r="C359" t="s">
        <v>311</v>
      </c>
      <c r="D359" t="s">
        <v>381</v>
      </c>
      <c r="G359" s="9">
        <v>47673</v>
      </c>
      <c r="H359" s="9">
        <v>47723</v>
      </c>
      <c r="I359" t="s">
        <v>17</v>
      </c>
    </row>
    <row r="360" spans="1:9" x14ac:dyDescent="0.3">
      <c r="A360" t="s">
        <v>382</v>
      </c>
      <c r="B360" t="s">
        <v>140</v>
      </c>
      <c r="G360" s="9">
        <v>45608</v>
      </c>
      <c r="H360" s="9">
        <v>45608</v>
      </c>
    </row>
    <row r="361" spans="1:9" x14ac:dyDescent="0.3">
      <c r="A361" t="s">
        <v>382</v>
      </c>
      <c r="B361" t="s">
        <v>140</v>
      </c>
      <c r="C361" t="s">
        <v>383</v>
      </c>
      <c r="D361" t="s">
        <v>384</v>
      </c>
      <c r="G361" s="9">
        <v>45602</v>
      </c>
      <c r="H361" s="9">
        <v>45602</v>
      </c>
      <c r="I361" t="s">
        <v>31</v>
      </c>
    </row>
    <row r="362" spans="1:9" x14ac:dyDescent="0.3">
      <c r="A362" t="s">
        <v>382</v>
      </c>
      <c r="B362" t="s">
        <v>140</v>
      </c>
      <c r="C362" t="s">
        <v>383</v>
      </c>
      <c r="D362" t="s">
        <v>58</v>
      </c>
      <c r="G362" s="9">
        <v>45608</v>
      </c>
      <c r="H362" s="9">
        <v>45608</v>
      </c>
      <c r="I362" t="s">
        <v>31</v>
      </c>
    </row>
    <row r="363" spans="1:9" x14ac:dyDescent="0.3">
      <c r="A363" t="s">
        <v>382</v>
      </c>
      <c r="B363" t="s">
        <v>171</v>
      </c>
      <c r="G363" s="9">
        <v>45701</v>
      </c>
      <c r="H363" s="9">
        <v>45701</v>
      </c>
    </row>
    <row r="364" spans="1:9" x14ac:dyDescent="0.3">
      <c r="A364" t="s">
        <v>382</v>
      </c>
      <c r="B364" t="s">
        <v>171</v>
      </c>
      <c r="C364" t="s">
        <v>171</v>
      </c>
      <c r="D364" t="s">
        <v>384</v>
      </c>
      <c r="G364" s="9">
        <v>45666</v>
      </c>
      <c r="H364" s="9">
        <v>45666</v>
      </c>
      <c r="I364" t="s">
        <v>31</v>
      </c>
    </row>
    <row r="365" spans="1:9" x14ac:dyDescent="0.3">
      <c r="A365" t="s">
        <v>382</v>
      </c>
      <c r="B365" t="s">
        <v>171</v>
      </c>
      <c r="C365" t="s">
        <v>171</v>
      </c>
      <c r="D365" t="s">
        <v>58</v>
      </c>
      <c r="G365" s="9">
        <v>45701</v>
      </c>
      <c r="H365" s="9">
        <v>45701</v>
      </c>
      <c r="I365" t="s">
        <v>31</v>
      </c>
    </row>
    <row r="366" spans="1:9" x14ac:dyDescent="0.3">
      <c r="A366" t="s">
        <v>382</v>
      </c>
      <c r="B366" t="s">
        <v>21</v>
      </c>
      <c r="G366" s="9">
        <v>45818</v>
      </c>
      <c r="H366" s="9">
        <v>45818</v>
      </c>
    </row>
    <row r="367" spans="1:9" x14ac:dyDescent="0.3">
      <c r="A367" t="s">
        <v>382</v>
      </c>
      <c r="B367" t="s">
        <v>21</v>
      </c>
      <c r="C367" t="s">
        <v>21</v>
      </c>
      <c r="D367" t="s">
        <v>385</v>
      </c>
      <c r="G367" s="9">
        <v>45623</v>
      </c>
      <c r="H367" s="9">
        <v>45623</v>
      </c>
      <c r="I367" t="s">
        <v>31</v>
      </c>
    </row>
    <row r="368" spans="1:9" x14ac:dyDescent="0.3">
      <c r="A368" t="s">
        <v>382</v>
      </c>
      <c r="B368" t="s">
        <v>21</v>
      </c>
      <c r="C368" t="s">
        <v>21</v>
      </c>
      <c r="D368" t="s">
        <v>58</v>
      </c>
      <c r="G368" s="9">
        <v>45638</v>
      </c>
      <c r="H368" s="9">
        <v>45638</v>
      </c>
      <c r="I368" t="s">
        <v>31</v>
      </c>
    </row>
    <row r="369" spans="1:9" x14ac:dyDescent="0.3">
      <c r="A369" t="s">
        <v>382</v>
      </c>
      <c r="B369" t="s">
        <v>21</v>
      </c>
      <c r="C369" t="s">
        <v>21</v>
      </c>
      <c r="D369" t="s">
        <v>386</v>
      </c>
      <c r="G369" s="9">
        <v>45670</v>
      </c>
      <c r="H369" s="9">
        <v>45670</v>
      </c>
      <c r="I369" t="s">
        <v>31</v>
      </c>
    </row>
    <row r="370" spans="1:9" x14ac:dyDescent="0.3">
      <c r="A370" t="s">
        <v>382</v>
      </c>
      <c r="B370" t="s">
        <v>21</v>
      </c>
      <c r="C370" t="s">
        <v>21</v>
      </c>
      <c r="D370" t="s">
        <v>58</v>
      </c>
      <c r="G370" s="9">
        <v>45672</v>
      </c>
      <c r="H370" s="9">
        <v>45672</v>
      </c>
      <c r="I370" t="s">
        <v>31</v>
      </c>
    </row>
    <row r="371" spans="1:9" x14ac:dyDescent="0.3">
      <c r="A371" t="s">
        <v>382</v>
      </c>
      <c r="B371" t="s">
        <v>21</v>
      </c>
      <c r="C371" t="s">
        <v>21</v>
      </c>
      <c r="D371" t="s">
        <v>387</v>
      </c>
      <c r="G371" s="9">
        <v>45790</v>
      </c>
      <c r="H371" s="9">
        <v>45790</v>
      </c>
      <c r="I371" t="s">
        <v>31</v>
      </c>
    </row>
    <row r="372" spans="1:9" x14ac:dyDescent="0.3">
      <c r="A372" t="s">
        <v>382</v>
      </c>
      <c r="B372" t="s">
        <v>21</v>
      </c>
      <c r="C372" t="s">
        <v>21</v>
      </c>
      <c r="D372" t="s">
        <v>58</v>
      </c>
      <c r="G372" s="9">
        <v>45797</v>
      </c>
      <c r="H372" s="9">
        <v>45797</v>
      </c>
      <c r="I372" t="s">
        <v>31</v>
      </c>
    </row>
    <row r="373" spans="1:9" x14ac:dyDescent="0.3">
      <c r="C373" t="s">
        <v>21</v>
      </c>
      <c r="D373" t="s">
        <v>388</v>
      </c>
      <c r="G373" s="9">
        <v>45812</v>
      </c>
      <c r="H373" s="9">
        <v>45812</v>
      </c>
      <c r="I373" t="s">
        <v>31</v>
      </c>
    </row>
    <row r="374" spans="1:9" x14ac:dyDescent="0.3">
      <c r="C374" t="s">
        <v>21</v>
      </c>
      <c r="D374" t="s">
        <v>58</v>
      </c>
      <c r="G374" s="9">
        <v>45818</v>
      </c>
      <c r="H374" s="9">
        <v>45818</v>
      </c>
      <c r="I374" t="s">
        <v>31</v>
      </c>
    </row>
    <row r="375" spans="1:9" x14ac:dyDescent="0.3">
      <c r="A375" t="s">
        <v>389</v>
      </c>
      <c r="B375" t="s">
        <v>21</v>
      </c>
      <c r="G375" s="9">
        <v>45862</v>
      </c>
      <c r="H375" s="9">
        <v>45861</v>
      </c>
    </row>
    <row r="376" spans="1:9" x14ac:dyDescent="0.3">
      <c r="A376" t="s">
        <v>389</v>
      </c>
      <c r="B376" t="s">
        <v>21</v>
      </c>
      <c r="C376" t="s">
        <v>390</v>
      </c>
      <c r="D376" t="s">
        <v>173</v>
      </c>
      <c r="G376" s="9">
        <v>45701</v>
      </c>
      <c r="H376" s="9">
        <v>45701</v>
      </c>
      <c r="I376" t="s">
        <v>31</v>
      </c>
    </row>
    <row r="377" spans="1:9" x14ac:dyDescent="0.3">
      <c r="A377" t="s">
        <v>389</v>
      </c>
      <c r="B377" t="s">
        <v>21</v>
      </c>
      <c r="C377" t="s">
        <v>390</v>
      </c>
      <c r="D377" t="s">
        <v>391</v>
      </c>
      <c r="G377" s="9">
        <v>45812</v>
      </c>
      <c r="H377" s="9">
        <v>45812</v>
      </c>
      <c r="I377" t="s">
        <v>31</v>
      </c>
    </row>
    <row r="378" spans="1:9" x14ac:dyDescent="0.3">
      <c r="A378" t="s">
        <v>389</v>
      </c>
      <c r="B378" t="s">
        <v>21</v>
      </c>
      <c r="C378" t="s">
        <v>390</v>
      </c>
      <c r="D378" t="s">
        <v>210</v>
      </c>
      <c r="G378" s="9">
        <v>45820</v>
      </c>
      <c r="H378" s="9">
        <v>45820</v>
      </c>
      <c r="I378" t="s">
        <v>31</v>
      </c>
    </row>
    <row r="379" spans="1:9" x14ac:dyDescent="0.3">
      <c r="A379" t="s">
        <v>389</v>
      </c>
      <c r="B379" t="s">
        <v>21</v>
      </c>
      <c r="C379" t="s">
        <v>390</v>
      </c>
      <c r="D379" t="s">
        <v>387</v>
      </c>
      <c r="G379" s="9">
        <v>45855</v>
      </c>
      <c r="H379" s="9">
        <v>45855</v>
      </c>
      <c r="I379" t="s">
        <v>31</v>
      </c>
    </row>
    <row r="380" spans="1:9" x14ac:dyDescent="0.3">
      <c r="A380" t="s">
        <v>389</v>
      </c>
      <c r="B380" t="s">
        <v>21</v>
      </c>
      <c r="C380" t="s">
        <v>390</v>
      </c>
      <c r="D380" t="s">
        <v>210</v>
      </c>
      <c r="G380" s="9">
        <v>45862</v>
      </c>
      <c r="H380" s="9">
        <v>45861</v>
      </c>
      <c r="I380" t="s">
        <v>31</v>
      </c>
    </row>
    <row r="381" spans="1:9" x14ac:dyDescent="0.3">
      <c r="A381" t="s">
        <v>392</v>
      </c>
      <c r="B381" t="s">
        <v>21</v>
      </c>
      <c r="G381" s="9">
        <v>45990</v>
      </c>
      <c r="H381" s="9">
        <v>46204</v>
      </c>
    </row>
    <row r="382" spans="1:9" x14ac:dyDescent="0.3">
      <c r="A382" t="s">
        <v>392</v>
      </c>
      <c r="B382" t="s">
        <v>21</v>
      </c>
      <c r="C382" t="s">
        <v>390</v>
      </c>
      <c r="D382" t="s">
        <v>387</v>
      </c>
      <c r="F382" t="s">
        <v>189</v>
      </c>
      <c r="G382" s="9">
        <v>45976</v>
      </c>
      <c r="H382" s="9">
        <v>45969</v>
      </c>
      <c r="I382" t="s">
        <v>31</v>
      </c>
    </row>
    <row r="383" spans="1:9" x14ac:dyDescent="0.3">
      <c r="A383" t="s">
        <v>392</v>
      </c>
      <c r="B383" t="s">
        <v>21</v>
      </c>
      <c r="C383" t="s">
        <v>390</v>
      </c>
      <c r="D383" t="s">
        <v>210</v>
      </c>
      <c r="G383" s="9">
        <v>45990</v>
      </c>
      <c r="H383" s="9">
        <v>45985</v>
      </c>
      <c r="I383" t="s">
        <v>31</v>
      </c>
    </row>
    <row r="384" spans="1:9" x14ac:dyDescent="0.3">
      <c r="A384" t="s">
        <v>392</v>
      </c>
      <c r="B384" t="s">
        <v>21</v>
      </c>
      <c r="C384" t="s">
        <v>390</v>
      </c>
      <c r="D384" t="s">
        <v>393</v>
      </c>
      <c r="F384" t="s">
        <v>189</v>
      </c>
      <c r="G384" s="9"/>
      <c r="H384" s="9">
        <v>46161</v>
      </c>
      <c r="I384" t="s">
        <v>31</v>
      </c>
    </row>
    <row r="385" spans="1:9" x14ac:dyDescent="0.3">
      <c r="A385" t="s">
        <v>392</v>
      </c>
      <c r="B385" t="s">
        <v>21</v>
      </c>
      <c r="C385" t="s">
        <v>390</v>
      </c>
      <c r="D385" t="s">
        <v>210</v>
      </c>
      <c r="G385" s="9"/>
      <c r="H385" s="9">
        <v>46163</v>
      </c>
      <c r="I385" t="s">
        <v>31</v>
      </c>
    </row>
    <row r="386" spans="1:9" x14ac:dyDescent="0.3">
      <c r="A386" t="s">
        <v>392</v>
      </c>
      <c r="B386" t="s">
        <v>21</v>
      </c>
      <c r="C386" t="s">
        <v>390</v>
      </c>
      <c r="D386" t="s">
        <v>394</v>
      </c>
      <c r="E386" t="s">
        <v>395</v>
      </c>
      <c r="F386" t="s">
        <v>189</v>
      </c>
      <c r="G386" s="9"/>
      <c r="H386" s="9">
        <v>46197</v>
      </c>
      <c r="I386" t="s">
        <v>46</v>
      </c>
    </row>
    <row r="387" spans="1:9" x14ac:dyDescent="0.3">
      <c r="A387" t="s">
        <v>392</v>
      </c>
      <c r="B387" t="s">
        <v>21</v>
      </c>
      <c r="C387" t="s">
        <v>390</v>
      </c>
      <c r="D387" t="s">
        <v>210</v>
      </c>
      <c r="E387" t="s">
        <v>395</v>
      </c>
      <c r="G387" s="9"/>
      <c r="H387" s="9">
        <v>46204</v>
      </c>
      <c r="I387" t="s">
        <v>17</v>
      </c>
    </row>
    <row r="388" spans="1:9" x14ac:dyDescent="0.3">
      <c r="A388" t="s">
        <v>396</v>
      </c>
      <c r="B388" t="s">
        <v>21</v>
      </c>
      <c r="G388" s="9">
        <v>45987</v>
      </c>
      <c r="H388" s="9">
        <v>46013</v>
      </c>
    </row>
    <row r="389" spans="1:9" x14ac:dyDescent="0.3">
      <c r="A389" t="s">
        <v>396</v>
      </c>
      <c r="B389" t="s">
        <v>21</v>
      </c>
      <c r="C389" t="s">
        <v>390</v>
      </c>
      <c r="D389" t="s">
        <v>397</v>
      </c>
      <c r="G389" s="9">
        <v>45945</v>
      </c>
      <c r="H389" s="9">
        <v>45962</v>
      </c>
      <c r="I389" t="s">
        <v>17</v>
      </c>
    </row>
    <row r="390" spans="1:9" x14ac:dyDescent="0.3">
      <c r="A390" t="s">
        <v>396</v>
      </c>
      <c r="B390" t="s">
        <v>21</v>
      </c>
      <c r="C390" t="s">
        <v>390</v>
      </c>
      <c r="D390" t="s">
        <v>210</v>
      </c>
      <c r="G390" s="9">
        <v>45959</v>
      </c>
      <c r="H390" s="9">
        <v>45974</v>
      </c>
      <c r="I390" t="s">
        <v>31</v>
      </c>
    </row>
    <row r="391" spans="1:9" x14ac:dyDescent="0.3">
      <c r="A391" t="s">
        <v>396</v>
      </c>
      <c r="B391" t="s">
        <v>21</v>
      </c>
      <c r="C391" t="s">
        <v>390</v>
      </c>
      <c r="D391" t="s">
        <v>387</v>
      </c>
      <c r="G391" s="9">
        <v>45973</v>
      </c>
      <c r="H391" s="9">
        <v>46013</v>
      </c>
      <c r="I391" t="s">
        <v>31</v>
      </c>
    </row>
    <row r="392" spans="1:9" x14ac:dyDescent="0.3">
      <c r="A392" t="s">
        <v>396</v>
      </c>
      <c r="B392" t="s">
        <v>21</v>
      </c>
      <c r="C392" t="s">
        <v>390</v>
      </c>
      <c r="D392" t="s">
        <v>210</v>
      </c>
      <c r="G392" s="9">
        <v>45987</v>
      </c>
      <c r="H392" s="9">
        <v>46013</v>
      </c>
      <c r="I392" t="s">
        <v>31</v>
      </c>
    </row>
    <row r="393" spans="1:9" x14ac:dyDescent="0.3">
      <c r="A393" t="s">
        <v>398</v>
      </c>
      <c r="B393" t="s">
        <v>21</v>
      </c>
      <c r="G393" s="9"/>
      <c r="H393" s="9">
        <v>46205</v>
      </c>
    </row>
    <row r="394" spans="1:9" x14ac:dyDescent="0.3">
      <c r="A394" t="s">
        <v>398</v>
      </c>
      <c r="B394" t="s">
        <v>21</v>
      </c>
      <c r="C394" t="s">
        <v>21</v>
      </c>
      <c r="D394" t="s">
        <v>188</v>
      </c>
      <c r="E394" t="s">
        <v>181</v>
      </c>
      <c r="F394" t="s">
        <v>189</v>
      </c>
      <c r="G394" s="9"/>
      <c r="H394" s="9">
        <v>45831</v>
      </c>
      <c r="I394" t="s">
        <v>17</v>
      </c>
    </row>
    <row r="395" spans="1:9" x14ac:dyDescent="0.3">
      <c r="A395" t="s">
        <v>398</v>
      </c>
      <c r="B395" t="s">
        <v>21</v>
      </c>
      <c r="C395" t="s">
        <v>21</v>
      </c>
      <c r="D395" t="s">
        <v>58</v>
      </c>
      <c r="E395" t="s">
        <v>181</v>
      </c>
      <c r="G395" s="9"/>
      <c r="H395" s="9">
        <v>46058</v>
      </c>
      <c r="I395" t="s">
        <v>17</v>
      </c>
    </row>
    <row r="396" spans="1:9" x14ac:dyDescent="0.3">
      <c r="A396" t="s">
        <v>398</v>
      </c>
      <c r="B396" t="s">
        <v>21</v>
      </c>
      <c r="C396" t="s">
        <v>21</v>
      </c>
      <c r="D396" t="s">
        <v>399</v>
      </c>
      <c r="E396" t="s">
        <v>181</v>
      </c>
      <c r="F396" t="s">
        <v>189</v>
      </c>
      <c r="G396" s="9"/>
      <c r="H396" s="9">
        <v>46176</v>
      </c>
      <c r="I396" t="s">
        <v>31</v>
      </c>
    </row>
    <row r="397" spans="1:9" x14ac:dyDescent="0.3">
      <c r="A397" t="s">
        <v>398</v>
      </c>
      <c r="B397" t="s">
        <v>21</v>
      </c>
      <c r="C397" t="s">
        <v>21</v>
      </c>
      <c r="D397" t="s">
        <v>58</v>
      </c>
      <c r="E397" t="s">
        <v>181</v>
      </c>
      <c r="G397" s="9"/>
      <c r="H397" s="9">
        <v>46205</v>
      </c>
      <c r="I397" t="s">
        <v>46</v>
      </c>
    </row>
    <row r="398" spans="1:9" x14ac:dyDescent="0.3">
      <c r="A398" t="s">
        <v>400</v>
      </c>
      <c r="B398" t="s">
        <v>21</v>
      </c>
      <c r="G398" s="9"/>
      <c r="H398" s="9">
        <v>46205</v>
      </c>
    </row>
    <row r="399" spans="1:9" x14ac:dyDescent="0.3">
      <c r="A399" t="s">
        <v>400</v>
      </c>
      <c r="B399" t="s">
        <v>21</v>
      </c>
      <c r="C399" t="s">
        <v>401</v>
      </c>
      <c r="D399" t="s">
        <v>191</v>
      </c>
      <c r="E399" t="s">
        <v>181</v>
      </c>
      <c r="F399" t="s">
        <v>189</v>
      </c>
      <c r="G399" s="9"/>
      <c r="H399" s="9">
        <v>46198</v>
      </c>
      <c r="I399" t="s">
        <v>46</v>
      </c>
    </row>
    <row r="400" spans="1:9" x14ac:dyDescent="0.3">
      <c r="A400" t="s">
        <v>400</v>
      </c>
      <c r="B400" t="s">
        <v>21</v>
      </c>
      <c r="C400" t="s">
        <v>401</v>
      </c>
      <c r="D400" t="s">
        <v>58</v>
      </c>
      <c r="E400" t="s">
        <v>181</v>
      </c>
      <c r="G400" s="9"/>
      <c r="H400" s="9">
        <v>46205</v>
      </c>
      <c r="I400" t="s">
        <v>17</v>
      </c>
    </row>
    <row r="401" spans="1:9" x14ac:dyDescent="0.3">
      <c r="A401" t="s">
        <v>400</v>
      </c>
      <c r="B401" t="s">
        <v>21</v>
      </c>
      <c r="G401" s="9">
        <v>46232</v>
      </c>
      <c r="H401" s="9">
        <v>46246</v>
      </c>
    </row>
    <row r="402" spans="1:9" x14ac:dyDescent="0.3">
      <c r="A402" t="s">
        <v>400</v>
      </c>
      <c r="B402" t="s">
        <v>21</v>
      </c>
      <c r="C402" t="s">
        <v>21</v>
      </c>
      <c r="D402" t="s">
        <v>188</v>
      </c>
      <c r="E402" t="s">
        <v>215</v>
      </c>
      <c r="F402" t="s">
        <v>189</v>
      </c>
      <c r="G402" s="9"/>
      <c r="H402" s="9">
        <v>45547</v>
      </c>
      <c r="I402" t="s">
        <v>17</v>
      </c>
    </row>
    <row r="403" spans="1:9" x14ac:dyDescent="0.3">
      <c r="A403" t="s">
        <v>400</v>
      </c>
      <c r="B403" t="s">
        <v>21</v>
      </c>
      <c r="C403" t="s">
        <v>21</v>
      </c>
      <c r="D403" t="s">
        <v>58</v>
      </c>
      <c r="E403" t="s">
        <v>215</v>
      </c>
      <c r="G403" s="9"/>
      <c r="H403" s="9">
        <v>46204</v>
      </c>
      <c r="I403" t="s">
        <v>17</v>
      </c>
    </row>
    <row r="404" spans="1:9" x14ac:dyDescent="0.3">
      <c r="A404" t="s">
        <v>400</v>
      </c>
      <c r="B404" t="s">
        <v>21</v>
      </c>
      <c r="C404" t="s">
        <v>21</v>
      </c>
      <c r="D404" t="s">
        <v>399</v>
      </c>
      <c r="E404" t="s">
        <v>215</v>
      </c>
      <c r="F404" t="s">
        <v>189</v>
      </c>
      <c r="G404" s="9">
        <v>46232</v>
      </c>
      <c r="H404" s="9">
        <v>46232</v>
      </c>
      <c r="I404" t="s">
        <v>17</v>
      </c>
    </row>
    <row r="405" spans="1:9" x14ac:dyDescent="0.3">
      <c r="A405" t="s">
        <v>400</v>
      </c>
      <c r="B405" t="s">
        <v>21</v>
      </c>
      <c r="C405" t="s">
        <v>21</v>
      </c>
      <c r="D405" t="s">
        <v>58</v>
      </c>
      <c r="E405" t="s">
        <v>215</v>
      </c>
      <c r="G405" s="9"/>
      <c r="H405" s="9">
        <v>46246</v>
      </c>
      <c r="I405" t="s">
        <v>17</v>
      </c>
    </row>
    <row r="406" spans="1:9" x14ac:dyDescent="0.3">
      <c r="A406" t="s">
        <v>402</v>
      </c>
      <c r="B406" t="s">
        <v>21</v>
      </c>
      <c r="G406" s="9">
        <v>46065</v>
      </c>
      <c r="H406" s="9">
        <v>46147</v>
      </c>
    </row>
    <row r="407" spans="1:9" x14ac:dyDescent="0.3">
      <c r="A407" t="s">
        <v>402</v>
      </c>
      <c r="B407" t="s">
        <v>21</v>
      </c>
      <c r="C407" t="s">
        <v>21</v>
      </c>
      <c r="D407" t="s">
        <v>191</v>
      </c>
      <c r="F407" t="s">
        <v>306</v>
      </c>
      <c r="G407" s="9">
        <v>46065</v>
      </c>
      <c r="H407" s="9">
        <v>46065</v>
      </c>
      <c r="I407" t="s">
        <v>31</v>
      </c>
    </row>
    <row r="408" spans="1:9" x14ac:dyDescent="0.3">
      <c r="A408" t="s">
        <v>402</v>
      </c>
      <c r="B408" t="s">
        <v>21</v>
      </c>
      <c r="C408" t="s">
        <v>21</v>
      </c>
      <c r="D408" t="s">
        <v>58</v>
      </c>
      <c r="G408" s="9"/>
      <c r="H408" s="9">
        <v>46147</v>
      </c>
      <c r="I408" t="s">
        <v>31</v>
      </c>
    </row>
    <row r="409" spans="1:9" x14ac:dyDescent="0.3">
      <c r="G409" s="9"/>
      <c r="H409" s="9"/>
    </row>
  </sheetData>
  <autoFilter ref="A3:N312" xr:uid="{00000000-0001-0000-0700-000000000000}"/>
  <mergeCells count="1">
    <mergeCell ref="A2:N2"/>
  </mergeCells>
  <conditionalFormatting sqref="A4:A2000">
    <cfRule type="expression" dxfId="109" priority="22" stopIfTrue="1">
      <formula>A4=""</formula>
    </cfRule>
    <cfRule type="expression" dxfId="108" priority="24">
      <formula>C4=""</formula>
    </cfRule>
  </conditionalFormatting>
  <conditionalFormatting sqref="B4:H2000">
    <cfRule type="expression" dxfId="107" priority="9" stopIfTrue="1">
      <formula>$A4=""</formula>
    </cfRule>
    <cfRule type="expression" dxfId="106" priority="10">
      <formula>$C4=""</formula>
    </cfRule>
  </conditionalFormatting>
  <conditionalFormatting sqref="I4:I142">
    <cfRule type="expression" dxfId="105" priority="7">
      <formula>EXACT($I4,"Completed")</formula>
    </cfRule>
    <cfRule type="expression" dxfId="104" priority="8">
      <formula>EXACT($I4,"Inprogress")</formula>
    </cfRule>
    <cfRule type="expression" dxfId="103" priority="29">
      <formula>EXACT($I4,"Overdue")</formula>
    </cfRule>
    <cfRule type="expression" dxfId="102" priority="28">
      <formula>EXACT($I4,"Not Started")</formula>
    </cfRule>
  </conditionalFormatting>
  <conditionalFormatting sqref="I4:I2000">
    <cfRule type="expression" dxfId="101" priority="31">
      <formula>$C4=""</formula>
    </cfRule>
    <cfRule type="expression" dxfId="100" priority="30" stopIfTrue="1">
      <formula>$A4=""</formula>
    </cfRule>
  </conditionalFormatting>
  <conditionalFormatting sqref="J4:J2000">
    <cfRule type="expression" dxfId="99" priority="5" stopIfTrue="1">
      <formula>$A4=""</formula>
    </cfRule>
    <cfRule type="expression" dxfId="98" priority="6">
      <formula>$C4=""</formula>
    </cfRule>
  </conditionalFormatting>
  <conditionalFormatting sqref="K4:K243">
    <cfRule type="expression" dxfId="97" priority="3">
      <formula>EXACT($K4,"No")</formula>
    </cfRule>
    <cfRule type="expression" dxfId="96" priority="4">
      <formula>EXACT($K4,"Yes")</formula>
    </cfRule>
    <cfRule type="expression" dxfId="95" priority="32">
      <formula>EXACT($K4,"-")</formula>
    </cfRule>
  </conditionalFormatting>
  <conditionalFormatting sqref="K4:K2000">
    <cfRule type="expression" dxfId="94" priority="34">
      <formula>$C4=""</formula>
    </cfRule>
    <cfRule type="expression" dxfId="93" priority="33" stopIfTrue="1">
      <formula>$A4=""</formula>
    </cfRule>
  </conditionalFormatting>
  <conditionalFormatting sqref="L4:L2000">
    <cfRule type="expression" dxfId="92" priority="1" stopIfTrue="1">
      <formula>$A4=""</formula>
    </cfRule>
    <cfRule type="expression" dxfId="91" priority="2">
      <formula>$C4=""</formula>
    </cfRule>
  </conditionalFormatting>
  <conditionalFormatting sqref="M4:M312">
    <cfRule type="cellIs" dxfId="90" priority="25" operator="equal">
      <formula>"Green"</formula>
    </cfRule>
    <cfRule type="cellIs" dxfId="89" priority="26" operator="equal">
      <formula>"Amber"</formula>
    </cfRule>
    <cfRule type="cellIs" dxfId="88" priority="27" operator="equal">
      <formula>"Red"</formula>
    </cfRule>
  </conditionalFormatting>
  <dataValidations count="1">
    <dataValidation type="list" allowBlank="1" sqref="I4:I312" xr:uid="{5D3B7CAA-9A65-4F21-AD33-1188CD2816B9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3DD3-81D3-4A8E-B0D2-75A901CC1C6F}">
  <sheetPr codeName="Sheet4">
    <tabColor rgb="FF777777"/>
  </sheetPr>
  <dimension ref="A1:R312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" sqref="I1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5.109375" bestFit="1" customWidth="1"/>
    <col min="8" max="8" width="16.77734375" customWidth="1"/>
    <col min="9" max="9" width="12" customWidth="1"/>
    <col min="10" max="11" width="8" customWidth="1"/>
    <col min="12" max="13" width="7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138</v>
      </c>
      <c r="B1" s="10"/>
      <c r="C1" s="10"/>
      <c r="D1" s="10"/>
      <c r="E1" s="10"/>
      <c r="F1" s="10"/>
      <c r="G1" s="11">
        <f>+MAX(G4:G2000)</f>
        <v>46156</v>
      </c>
      <c r="H1" s="11">
        <f>+MAX(H4:H2000)</f>
        <v>46250</v>
      </c>
      <c r="I1" s="12">
        <f t="shared" ref="I1" si="0">IF(OR($G1="",$H1=""),"",$H1-$G1)</f>
        <v>94</v>
      </c>
      <c r="J1" s="10"/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141</v>
      </c>
      <c r="B4" s="2" t="s">
        <v>21</v>
      </c>
      <c r="C4" s="3"/>
      <c r="D4" s="3"/>
      <c r="E4" s="2"/>
      <c r="F4" s="2"/>
      <c r="G4" s="5">
        <v>46035</v>
      </c>
      <c r="H4" s="5">
        <v>46166</v>
      </c>
      <c r="I4" s="2"/>
      <c r="J4" s="6">
        <f t="shared" ref="J4:J67" si="1">IF(OR($G4="",$H4=""),"",$H4-$G4)</f>
        <v>131</v>
      </c>
      <c r="K4" s="4" t="str">
        <f t="shared" ref="K4:K67" ca="1" si="2">IF(C4="","",IF(H4="","",IF($I4="completed","-",IF($H4&gt;TODAY(),"No","Yes"))))</f>
        <v/>
      </c>
      <c r="L4" s="7">
        <f>IF(I4="Completed","0",IF($H4="","",$H4-'[2]Read Me'!$B$4))</f>
        <v>-21</v>
      </c>
      <c r="M4" s="4" t="str">
        <f>IF($I4="Complete","Green",IF($H4="","Amber",IF($H4&lt;'[2]Read Me'!$B$4,"Red",IF($H4-'[2]Read Me'!$B$4&lt;=21,"Amber","Green"))))</f>
        <v>Red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141</v>
      </c>
      <c r="B5" s="2" t="s">
        <v>21</v>
      </c>
      <c r="C5" s="3" t="s">
        <v>141</v>
      </c>
      <c r="D5" s="3" t="s">
        <v>16</v>
      </c>
      <c r="E5" s="2"/>
      <c r="F5" s="2" t="s">
        <v>79</v>
      </c>
      <c r="G5" s="5">
        <v>45990</v>
      </c>
      <c r="H5" s="5">
        <v>46037</v>
      </c>
      <c r="I5" s="2" t="s">
        <v>31</v>
      </c>
      <c r="J5" s="6">
        <f t="shared" si="1"/>
        <v>47</v>
      </c>
      <c r="K5" s="4" t="str">
        <f t="shared" ca="1" si="2"/>
        <v>-</v>
      </c>
      <c r="L5" s="7" t="str">
        <f>IF(I5="Completed","0",IF($H5="","",$H5-'[2]Read Me'!$B$4))</f>
        <v>0</v>
      </c>
      <c r="M5" s="4" t="str">
        <f>IF($I5="Complete","Green",IF($H5="","Amber",IF($H5&lt;'[2]Read Me'!$B$4,"Red",IF($H5-'[2]Read Me'!$B$4&lt;=21,"Amber","Green"))))</f>
        <v>Red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141</v>
      </c>
      <c r="B6" s="2" t="s">
        <v>21</v>
      </c>
      <c r="C6" s="3" t="s">
        <v>141</v>
      </c>
      <c r="D6" s="3" t="s">
        <v>58</v>
      </c>
      <c r="E6" s="2"/>
      <c r="F6" s="2"/>
      <c r="G6" s="5">
        <v>46005</v>
      </c>
      <c r="H6" s="5">
        <v>46138</v>
      </c>
      <c r="I6" s="2" t="s">
        <v>31</v>
      </c>
      <c r="J6" s="6">
        <f t="shared" si="1"/>
        <v>133</v>
      </c>
      <c r="K6" s="4" t="str">
        <f t="shared" ca="1" si="2"/>
        <v>-</v>
      </c>
      <c r="L6" s="7" t="str">
        <f>IF(I6="Completed","0",IF($H6="","",$H6-'[2]Read Me'!$B$4))</f>
        <v>0</v>
      </c>
      <c r="M6" s="4" t="str">
        <f>IF($I6="Complete","Green",IF($H6="","Amber",IF($H6&lt;'[2]Read Me'!$B$4,"Red",IF($H6-'[2]Read Me'!$B$4&lt;=21,"Amber","Green"))))</f>
        <v>Red</v>
      </c>
      <c r="N6" s="3"/>
      <c r="O6" t="str">
        <f>IF($I6&lt;&gt;"Complete",IF(COUNTIFS($A$4:$A5,$A6,$B$4:$B5,$B6,$I$4:$I5,"&lt;&gt;Complete")=0,$A6&amp;"|"&amp;$B6,""),"")</f>
        <v/>
      </c>
      <c r="P6" t="str">
        <f ca="1">IF($K6="Yes",COUNTIFS($K$4:$K6,"Yes"),"")</f>
        <v/>
      </c>
      <c r="Q6">
        <f t="shared" ca="1" si="3"/>
        <v>0</v>
      </c>
      <c r="R6" t="str">
        <f ca="1">IF($Q6=1,SUM($Q$4:$Q6),"")</f>
        <v/>
      </c>
    </row>
    <row r="7" spans="1:18" ht="33.75" customHeight="1" x14ac:dyDescent="0.3">
      <c r="A7" s="2" t="s">
        <v>141</v>
      </c>
      <c r="B7" s="2" t="s">
        <v>21</v>
      </c>
      <c r="C7" s="3" t="s">
        <v>141</v>
      </c>
      <c r="D7" s="3" t="s">
        <v>142</v>
      </c>
      <c r="E7" s="2"/>
      <c r="F7" s="2"/>
      <c r="G7" s="5">
        <v>46027</v>
      </c>
      <c r="H7" s="5">
        <v>46159</v>
      </c>
      <c r="I7" s="2" t="s">
        <v>17</v>
      </c>
      <c r="J7" s="6">
        <f t="shared" si="1"/>
        <v>132</v>
      </c>
      <c r="K7" s="4" t="str">
        <f t="shared" ca="1" si="2"/>
        <v>Yes</v>
      </c>
      <c r="L7" s="7">
        <f>IF(I7="Completed","0",IF($H7="","",$H7-'[2]Read Me'!$B$4))</f>
        <v>-28</v>
      </c>
      <c r="M7" s="4" t="str">
        <f>IF($I7="Complete","Green",IF($H7="","Amber",IF($H7&lt;'[2]Read Me'!$B$4,"Red",IF($H7-'[2]Read Me'!$B$4&lt;=21,"Amber","Green"))))</f>
        <v>Red</v>
      </c>
      <c r="N7" s="3"/>
      <c r="O7" t="str">
        <f>IF($I7&lt;&gt;"Complete",IF(COUNTIFS($A$4:$A6,$A7,$B$4:$B6,$B7,$I$4:$I6,"&lt;&gt;Complete")=0,$A7&amp;"|"&amp;$B7,""),"")</f>
        <v/>
      </c>
      <c r="P7">
        <f ca="1">IF($K7="Yes",COUNTIFS($K$4:$K7,"Yes"),"")</f>
        <v>1</v>
      </c>
      <c r="Q7">
        <f t="shared" ca="1" si="3"/>
        <v>1</v>
      </c>
      <c r="R7">
        <f ca="1">IF($Q7=1,SUM($Q$4:$Q7),"")</f>
        <v>1</v>
      </c>
    </row>
    <row r="8" spans="1:18" ht="33.75" customHeight="1" x14ac:dyDescent="0.3">
      <c r="A8" s="2" t="s">
        <v>141</v>
      </c>
      <c r="B8" s="2" t="s">
        <v>21</v>
      </c>
      <c r="C8" s="3" t="s">
        <v>141</v>
      </c>
      <c r="D8" s="3" t="s">
        <v>143</v>
      </c>
      <c r="E8" s="2"/>
      <c r="F8" s="2"/>
      <c r="G8" s="5">
        <v>46035</v>
      </c>
      <c r="H8" s="5">
        <v>46166</v>
      </c>
      <c r="I8" s="2" t="s">
        <v>17</v>
      </c>
      <c r="J8" s="6">
        <f t="shared" si="1"/>
        <v>131</v>
      </c>
      <c r="K8" s="4" t="str">
        <f t="shared" ca="1" si="2"/>
        <v>Yes</v>
      </c>
      <c r="L8" s="7">
        <f>IF(I8="Completed","0",IF($H8="","",$H8-'[2]Read Me'!$B$4))</f>
        <v>-21</v>
      </c>
      <c r="M8" s="4" t="str">
        <f>IF($I8="Complete","Green",IF($H8="","Amber",IF($H8&lt;'[2]Read Me'!$B$4,"Red",IF($H8-'[2]Read Me'!$B$4&lt;=21,"Amber","Green"))))</f>
        <v>Red</v>
      </c>
      <c r="N8" s="3"/>
      <c r="O8" t="str">
        <f>IF($I8&lt;&gt;"Complete",IF(COUNTIFS($A$4:$A7,$A8,$B$4:$B7,$B8,$I$4:$I7,"&lt;&gt;Complete")=0,$A8&amp;"|"&amp;$B8,""),"")</f>
        <v/>
      </c>
      <c r="P8">
        <f ca="1">IF($K8="Yes",COUNTIFS($K$4:$K8,"Yes"),"")</f>
        <v>2</v>
      </c>
      <c r="Q8">
        <f t="shared" ca="1" si="3"/>
        <v>1</v>
      </c>
      <c r="R8">
        <f ca="1">IF($Q8=1,SUM($Q$4:$Q8),"")</f>
        <v>2</v>
      </c>
    </row>
    <row r="9" spans="1:18" ht="33.75" customHeight="1" x14ac:dyDescent="0.3">
      <c r="A9" s="2" t="s">
        <v>141</v>
      </c>
      <c r="B9" s="2" t="s">
        <v>21</v>
      </c>
      <c r="C9" s="3" t="s">
        <v>141</v>
      </c>
      <c r="D9" s="3" t="s">
        <v>144</v>
      </c>
      <c r="E9" s="2"/>
      <c r="F9" s="2"/>
      <c r="G9" s="5">
        <v>46120</v>
      </c>
      <c r="H9" s="5">
        <v>46250</v>
      </c>
      <c r="I9" s="2" t="s">
        <v>17</v>
      </c>
      <c r="J9" s="6">
        <f t="shared" si="1"/>
        <v>130</v>
      </c>
      <c r="K9" s="4" t="str">
        <f t="shared" ca="1" si="2"/>
        <v>No</v>
      </c>
      <c r="L9" s="7">
        <f>IF(I9="Completed","0",IF($H9="","",$H9-'[2]Read Me'!$B$4))</f>
        <v>63</v>
      </c>
      <c r="M9" s="4" t="str">
        <f>IF($I9="Complete","Green",IF($H9="","Amber",IF($H9&lt;'[2]Read Me'!$B$4,"Red",IF($H9-'[2]Read Me'!$B$4&lt;=21,"Amber","Green"))))</f>
        <v>Green</v>
      </c>
      <c r="N9" s="3"/>
      <c r="O9" t="str">
        <f>IF($I9&lt;&gt;"Complete",IF(COUNTIFS($A$4:$A8,$A9,$B$4:$B8,$B9,$I$4:$I8,"&lt;&gt;Complete")=0,$A9&amp;"|"&amp;$B9,""),"")</f>
        <v/>
      </c>
      <c r="P9" t="str">
        <f ca="1">IF($K9="Yes",COUNTIFS($K$4:$K9,"Yes"),"")</f>
        <v/>
      </c>
      <c r="Q9">
        <f t="shared" ca="1" si="3"/>
        <v>0</v>
      </c>
      <c r="R9" t="str">
        <f ca="1">IF($Q9=1,SUM($Q$4:$Q9),"")</f>
        <v/>
      </c>
    </row>
    <row r="10" spans="1:18" ht="33.75" customHeight="1" x14ac:dyDescent="0.3">
      <c r="A10" s="2" t="s">
        <v>145</v>
      </c>
      <c r="B10" s="2" t="s">
        <v>62</v>
      </c>
      <c r="C10" s="3"/>
      <c r="D10" s="3"/>
      <c r="E10" s="2"/>
      <c r="F10" s="2"/>
      <c r="G10" s="5">
        <v>46021</v>
      </c>
      <c r="H10" s="5">
        <v>46071</v>
      </c>
      <c r="I10" s="2"/>
      <c r="J10" s="6">
        <f t="shared" si="1"/>
        <v>50</v>
      </c>
      <c r="K10" s="4" t="str">
        <f t="shared" ca="1" si="2"/>
        <v/>
      </c>
      <c r="L10" s="7">
        <f>IF(I10="Completed","0",IF($H10="","",$H10-'[2]Read Me'!$B$4))</f>
        <v>-116</v>
      </c>
      <c r="M10" s="4" t="str">
        <f>IF($I10="Complete","Green",IF($H10="","Amber",IF($H10&lt;'[2]Read Me'!$B$4,"Red",IF($H10-'[2]Read Me'!$B$4&lt;=21,"Amber","Green"))))</f>
        <v>Red</v>
      </c>
      <c r="N10" s="3"/>
      <c r="O10" t="str">
        <f>IF($I10&lt;&gt;"Complete",IF(COUNTIFS($A$4:$A9,$A10,$B$4:$B9,$B10,$I$4:$I9,"&lt;&gt;Complete")=0,$A10&amp;"|"&amp;$B10,""),"")</f>
        <v>FM-Building|Buildings</v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145</v>
      </c>
      <c r="B11" s="2" t="s">
        <v>62</v>
      </c>
      <c r="C11" s="3" t="s">
        <v>145</v>
      </c>
      <c r="D11" s="3" t="s">
        <v>146</v>
      </c>
      <c r="E11" s="2"/>
      <c r="F11" s="2"/>
      <c r="G11" s="5">
        <v>46000</v>
      </c>
      <c r="H11" s="5">
        <v>46000</v>
      </c>
      <c r="I11" s="2" t="s">
        <v>31</v>
      </c>
      <c r="J11" s="6">
        <f t="shared" si="1"/>
        <v>0</v>
      </c>
      <c r="K11" s="4" t="str">
        <f t="shared" ca="1" si="2"/>
        <v>-</v>
      </c>
      <c r="L11" s="7" t="str">
        <f>IF(I11="Completed","0",IF($H11="","",$H11-'[2]Read Me'!$B$4))</f>
        <v>0</v>
      </c>
      <c r="M11" s="4" t="str">
        <f>IF($I11="Complete","Green",IF($H11="","Amber",IF($H11&lt;'[2]Read Me'!$B$4,"Red",IF($H11-'[2]Read Me'!$B$4&lt;=21,"Amber","Green"))))</f>
        <v>Red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145</v>
      </c>
      <c r="B12" s="2" t="s">
        <v>62</v>
      </c>
      <c r="C12" s="3" t="s">
        <v>145</v>
      </c>
      <c r="D12" s="3" t="s">
        <v>147</v>
      </c>
      <c r="E12" s="2"/>
      <c r="F12" s="2"/>
      <c r="G12" s="5">
        <v>46007</v>
      </c>
      <c r="H12" s="5">
        <v>46016</v>
      </c>
      <c r="I12" s="2" t="s">
        <v>31</v>
      </c>
      <c r="J12" s="6">
        <f t="shared" si="1"/>
        <v>9</v>
      </c>
      <c r="K12" s="4" t="str">
        <f t="shared" ca="1" si="2"/>
        <v>-</v>
      </c>
      <c r="L12" s="7" t="str">
        <f>IF(I12="Completed","0",IF($H12="","",$H12-'[2]Read Me'!$B$4))</f>
        <v>0</v>
      </c>
      <c r="M12" s="4" t="str">
        <f>IF($I12="Complete","Green",IF($H12="","Amber",IF($H12&lt;'[2]Read Me'!$B$4,"Red",IF($H12-'[2]Read Me'!$B$4&lt;=21,"Amber","Green"))))</f>
        <v>Red</v>
      </c>
      <c r="N12" s="3"/>
      <c r="O12" t="str">
        <f>IF($I12&lt;&gt;"Complete",IF(COUNTIFS($A$4:$A11,$A12,$B$4:$B11,$B12,$I$4:$I11,"&lt;&gt;Complete")=0,$A12&amp;"|"&amp;$B12,""),"")</f>
        <v/>
      </c>
      <c r="P12" t="str">
        <f ca="1">IF($K12="Yes",COUNTIFS($K$4:$K12,"Yes"),"")</f>
        <v/>
      </c>
      <c r="Q12">
        <f t="shared" ca="1" si="3"/>
        <v>0</v>
      </c>
      <c r="R12" t="str">
        <f ca="1">IF($Q12=1,SUM($Q$4:$Q12),"")</f>
        <v/>
      </c>
    </row>
    <row r="13" spans="1:18" ht="33.75" customHeight="1" x14ac:dyDescent="0.3">
      <c r="A13" s="2" t="s">
        <v>145</v>
      </c>
      <c r="B13" s="2" t="s">
        <v>62</v>
      </c>
      <c r="C13" s="3" t="s">
        <v>145</v>
      </c>
      <c r="D13" s="3" t="s">
        <v>143</v>
      </c>
      <c r="E13" s="2"/>
      <c r="F13" s="2"/>
      <c r="G13" s="5">
        <v>46021</v>
      </c>
      <c r="H13" s="5">
        <v>46071</v>
      </c>
      <c r="I13" s="2" t="s">
        <v>31</v>
      </c>
      <c r="J13" s="6">
        <f t="shared" si="1"/>
        <v>50</v>
      </c>
      <c r="K13" s="4" t="str">
        <f t="shared" ca="1" si="2"/>
        <v>-</v>
      </c>
      <c r="L13" s="7" t="str">
        <f>IF(I13="Completed","0",IF($H13="","",$H13-'[2]Read Me'!$B$4))</f>
        <v>0</v>
      </c>
      <c r="M13" s="4" t="str">
        <f>IF($I13="Complete","Green",IF($H13="","Amber",IF($H13&lt;'[2]Read Me'!$B$4,"Red",IF($H13-'[2]Read Me'!$B$4&lt;=21,"Amber","Green"))))</f>
        <v>Red</v>
      </c>
      <c r="N13" s="3"/>
      <c r="O13" t="str">
        <f>IF($I13&lt;&gt;"Complete",IF(COUNTIFS($A$4:$A12,$A13,$B$4:$B12,$B13,$I$4:$I12,"&lt;&gt;Complete")=0,$A13&amp;"|"&amp;$B13,""),"")</f>
        <v/>
      </c>
      <c r="P13" t="str">
        <f ca="1">IF($K13="Yes",COUNTIFS($K$4:$K13,"Yes"),"")</f>
        <v/>
      </c>
      <c r="Q13">
        <f t="shared" ca="1" si="3"/>
        <v>0</v>
      </c>
      <c r="R13" t="str">
        <f ca="1">IF($Q13=1,SUM($Q$4:$Q13),"")</f>
        <v/>
      </c>
    </row>
    <row r="14" spans="1:18" ht="33.75" customHeight="1" x14ac:dyDescent="0.3">
      <c r="A14" s="2" t="s">
        <v>148</v>
      </c>
      <c r="B14" s="2" t="s">
        <v>148</v>
      </c>
      <c r="C14" s="3"/>
      <c r="D14" s="3"/>
      <c r="E14" s="2"/>
      <c r="F14" s="2"/>
      <c r="G14" s="5">
        <v>45964</v>
      </c>
      <c r="H14" s="5">
        <v>46028</v>
      </c>
      <c r="I14" s="2"/>
      <c r="J14" s="6">
        <f t="shared" si="1"/>
        <v>64</v>
      </c>
      <c r="K14" s="4" t="str">
        <f t="shared" ca="1" si="2"/>
        <v/>
      </c>
      <c r="L14" s="7">
        <f>IF(I14="Completed","0",IF($H14="","",$H14-'[2]Read Me'!$B$4))</f>
        <v>-159</v>
      </c>
      <c r="M14" s="4" t="str">
        <f>IF($I14="Complete","Green",IF($H14="","Amber",IF($H14&lt;'[2]Read Me'!$B$4,"Red",IF($H14-'[2]Read Me'!$B$4&lt;=21,"Amber","Green"))))</f>
        <v>Red</v>
      </c>
      <c r="N14" s="3"/>
      <c r="O14" t="str">
        <f>IF($I14&lt;&gt;"Complete",IF(COUNTIFS($A$4:$A13,$A14,$B$4:$B13,$B14,$I$4:$I13,"&lt;&gt;Complete")=0,$A14&amp;"|"&amp;$B14,""),"")</f>
        <v>General|General</v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148</v>
      </c>
      <c r="B15" s="2" t="s">
        <v>148</v>
      </c>
      <c r="C15" s="3" t="s">
        <v>148</v>
      </c>
      <c r="D15" s="3" t="s">
        <v>149</v>
      </c>
      <c r="E15" s="2"/>
      <c r="F15" s="2"/>
      <c r="G15" s="5">
        <v>45928</v>
      </c>
      <c r="H15" s="5">
        <v>45928</v>
      </c>
      <c r="I15" s="2" t="s">
        <v>31</v>
      </c>
      <c r="J15" s="6">
        <f t="shared" si="1"/>
        <v>0</v>
      </c>
      <c r="K15" s="4" t="str">
        <f t="shared" ca="1" si="2"/>
        <v>-</v>
      </c>
      <c r="L15" s="7" t="str">
        <f>IF(I15="Completed","0",IF($H15="","",$H15-'[2]Read Me'!$B$4))</f>
        <v>0</v>
      </c>
      <c r="M15" s="4" t="str">
        <f>IF($I15="Complete","Green",IF($H15="","Amber",IF($H15&lt;'[2]Read Me'!$B$4,"Red",IF($H15-'[2]Read Me'!$B$4&lt;=21,"Amber","Green"))))</f>
        <v>Red</v>
      </c>
      <c r="N15" s="3"/>
      <c r="O15" t="str">
        <f>IF($I15&lt;&gt;"Complete",IF(COUNTIFS($A$4:$A14,$A15,$B$4:$B14,$B15,$I$4:$I14,"&lt;&gt;Complete")=0,$A15&amp;"|"&amp;$B15,""),"")</f>
        <v/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148</v>
      </c>
      <c r="B16" s="2" t="s">
        <v>148</v>
      </c>
      <c r="C16" s="3" t="s">
        <v>148</v>
      </c>
      <c r="D16" s="3" t="s">
        <v>150</v>
      </c>
      <c r="E16" s="2"/>
      <c r="F16" s="2"/>
      <c r="G16" s="5">
        <v>45935</v>
      </c>
      <c r="H16" s="5">
        <v>45935</v>
      </c>
      <c r="I16" s="2" t="s">
        <v>31</v>
      </c>
      <c r="J16" s="6">
        <f t="shared" si="1"/>
        <v>0</v>
      </c>
      <c r="K16" s="4" t="str">
        <f t="shared" ca="1" si="2"/>
        <v>-</v>
      </c>
      <c r="L16" s="7" t="str">
        <f>IF(I16="Completed","0",IF($H16="","",$H16-'[2]Read Me'!$B$4))</f>
        <v>0</v>
      </c>
      <c r="M16" s="4" t="str">
        <f>IF($I16="Complete","Green",IF($H16="","Amber",IF($H16&lt;'[2]Read Me'!$B$4,"Red",IF($H16-'[2]Read Me'!$B$4&lt;=21,"Amber","Green"))))</f>
        <v>Red</v>
      </c>
      <c r="N16" s="3"/>
      <c r="O16" t="str">
        <f>IF($I16&lt;&gt;"Complete",IF(COUNTIFS($A$4:$A15,$A16,$B$4:$B15,$B16,$I$4:$I15,"&lt;&gt;Complete")=0,$A16&amp;"|"&amp;$B16,""),"")</f>
        <v/>
      </c>
      <c r="P16" t="str">
        <f ca="1">IF($K16="Yes",COUNTIFS($K$4:$K16,"Yes"),"")</f>
        <v/>
      </c>
      <c r="Q16">
        <f t="shared" ca="1" si="3"/>
        <v>0</v>
      </c>
      <c r="R16" t="str">
        <f ca="1">IF($Q16=1,SUM($Q$4:$Q16),"")</f>
        <v/>
      </c>
    </row>
    <row r="17" spans="1:18" ht="33.75" customHeight="1" x14ac:dyDescent="0.3">
      <c r="A17" s="2" t="s">
        <v>148</v>
      </c>
      <c r="B17" s="2" t="s">
        <v>148</v>
      </c>
      <c r="C17" s="3" t="s">
        <v>148</v>
      </c>
      <c r="D17" s="3" t="s">
        <v>151</v>
      </c>
      <c r="E17" s="2"/>
      <c r="F17" s="2"/>
      <c r="G17" s="5">
        <v>45942</v>
      </c>
      <c r="H17" s="5">
        <v>45942</v>
      </c>
      <c r="I17" s="2" t="s">
        <v>31</v>
      </c>
      <c r="J17" s="6">
        <f t="shared" si="1"/>
        <v>0</v>
      </c>
      <c r="K17" s="4" t="str">
        <f t="shared" ca="1" si="2"/>
        <v>-</v>
      </c>
      <c r="L17" s="7" t="str">
        <f>IF(I17="Completed","0",IF($H17="","",$H17-'[2]Read Me'!$B$4))</f>
        <v>0</v>
      </c>
      <c r="M17" s="4" t="str">
        <f>IF($I17="Complete","Green",IF($H17="","Amber",IF($H17&lt;'[2]Read Me'!$B$4,"Red",IF($H17-'[2]Read Me'!$B$4&lt;=21,"Amber","Green"))))</f>
        <v>Red</v>
      </c>
      <c r="N17" s="3"/>
      <c r="O17" t="str">
        <f>IF($I17&lt;&gt;"Complete",IF(COUNTIFS($A$4:$A16,$A17,$B$4:$B16,$B17,$I$4:$I16,"&lt;&gt;Complete")=0,$A17&amp;"|"&amp;$B17,""),"")</f>
        <v/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148</v>
      </c>
      <c r="B18" s="2" t="s">
        <v>148</v>
      </c>
      <c r="C18" s="3" t="s">
        <v>148</v>
      </c>
      <c r="D18" s="3" t="s">
        <v>152</v>
      </c>
      <c r="E18" s="2"/>
      <c r="F18" s="2"/>
      <c r="G18" s="5">
        <v>45964</v>
      </c>
      <c r="H18" s="5">
        <v>46028</v>
      </c>
      <c r="I18" s="2" t="s">
        <v>31</v>
      </c>
      <c r="J18" s="6">
        <f t="shared" si="1"/>
        <v>64</v>
      </c>
      <c r="K18" s="4" t="str">
        <f t="shared" ca="1" si="2"/>
        <v>-</v>
      </c>
      <c r="L18" s="7" t="str">
        <f>IF(I18="Completed","0",IF($H18="","",$H18-'[2]Read Me'!$B$4))</f>
        <v>0</v>
      </c>
      <c r="M18" s="4" t="str">
        <f>IF($I18="Complete","Green",IF($H18="","Amber",IF($H18&lt;'[2]Read Me'!$B$4,"Red",IF($H18-'[2]Read Me'!$B$4&lt;=21,"Amber","Green"))))</f>
        <v>Red</v>
      </c>
      <c r="N18" s="3"/>
      <c r="O18" t="str">
        <f>IF($I18&lt;&gt;"Complete",IF(COUNTIFS($A$4:$A17,$A18,$B$4:$B17,$B18,$I$4:$I17,"&lt;&gt;Complete")=0,$A18&amp;"|"&amp;$B18,""),"")</f>
        <v/>
      </c>
      <c r="P18" t="str">
        <f ca="1">IF($K18="Yes",COUNTIFS($K$4:$K18,"Yes"),"")</f>
        <v/>
      </c>
      <c r="Q18">
        <f t="shared" ca="1" si="3"/>
        <v>0</v>
      </c>
      <c r="R18" t="str">
        <f ca="1">IF($Q18=1,SUM($Q$4:$Q18),"")</f>
        <v/>
      </c>
    </row>
    <row r="19" spans="1:18" ht="33.75" customHeight="1" x14ac:dyDescent="0.3">
      <c r="A19" s="2" t="s">
        <v>148</v>
      </c>
      <c r="B19" s="2" t="s">
        <v>148</v>
      </c>
      <c r="C19" s="3" t="s">
        <v>148</v>
      </c>
      <c r="D19" s="3" t="s">
        <v>153</v>
      </c>
      <c r="E19" s="2"/>
      <c r="F19" s="2"/>
      <c r="G19" s="5">
        <v>45964</v>
      </c>
      <c r="H19" s="5">
        <v>46028</v>
      </c>
      <c r="I19" s="2" t="s">
        <v>31</v>
      </c>
      <c r="J19" s="6">
        <f t="shared" si="1"/>
        <v>64</v>
      </c>
      <c r="K19" s="4" t="str">
        <f t="shared" ca="1" si="2"/>
        <v>-</v>
      </c>
      <c r="L19" s="7" t="str">
        <f>IF(I19="Completed","0",IF($H19="","",$H19-'[2]Read Me'!$B$4))</f>
        <v>0</v>
      </c>
      <c r="M19" s="4" t="str">
        <f>IF($I19="Complete","Green",IF($H19="","Amber",IF($H19&lt;'[2]Read Me'!$B$4,"Red",IF($H19-'[2]Read Me'!$B$4&lt;=21,"Amber","Green"))))</f>
        <v>Red</v>
      </c>
      <c r="N19" s="3"/>
      <c r="O19" t="str">
        <f>IF($I19&lt;&gt;"Complete",IF(COUNTIFS($A$4:$A18,$A19,$B$4:$B18,$B19,$I$4:$I18,"&lt;&gt;Complete")=0,$A19&amp;"|"&amp;$B19,""),"")</f>
        <v/>
      </c>
      <c r="P19" t="str">
        <f ca="1">IF($K19="Yes",COUNTIFS($K$4:$K19,"Yes"),"")</f>
        <v/>
      </c>
      <c r="Q19">
        <f t="shared" ca="1" si="3"/>
        <v>0</v>
      </c>
      <c r="R19" t="str">
        <f ca="1">IF($Q19=1,SUM($Q$4:$Q19),"")</f>
        <v/>
      </c>
    </row>
    <row r="20" spans="1:18" ht="33.75" customHeight="1" x14ac:dyDescent="0.3">
      <c r="A20" s="2" t="s">
        <v>122</v>
      </c>
      <c r="B20" s="2" t="s">
        <v>122</v>
      </c>
      <c r="C20" s="3"/>
      <c r="D20" s="3"/>
      <c r="E20" s="2"/>
      <c r="F20" s="2"/>
      <c r="G20" s="5">
        <v>46116</v>
      </c>
      <c r="H20" s="5">
        <v>46155</v>
      </c>
      <c r="I20" s="2"/>
      <c r="J20" s="6">
        <f t="shared" si="1"/>
        <v>39</v>
      </c>
      <c r="K20" s="4" t="str">
        <f t="shared" ca="1" si="2"/>
        <v/>
      </c>
      <c r="L20" s="7">
        <f>IF(I20="Completed","0",IF($H20="","",$H20-'[2]Read Me'!$B$4))</f>
        <v>-32</v>
      </c>
      <c r="M20" s="4" t="str">
        <f>IF($I20="Complete","Green",IF($H20="","Amber",IF($H20&lt;'[2]Read Me'!$B$4,"Red",IF($H20-'[2]Read Me'!$B$4&lt;=21,"Amber","Green"))))</f>
        <v>Red</v>
      </c>
      <c r="N20" s="3"/>
      <c r="O20" t="str">
        <f>IF($I20&lt;&gt;"Complete",IF(COUNTIFS($A$4:$A19,$A20,$B$4:$B19,$B20,$I$4:$I19,"&lt;&gt;Complete")=0,$A20&amp;"|"&amp;$B20,""),"")</f>
        <v>Master Plan|Master Plan</v>
      </c>
      <c r="P20" t="str">
        <f ca="1">IF($K20="Yes",COUNTIFS($K$4:$K20,"Yes"),"")</f>
        <v/>
      </c>
      <c r="Q20">
        <f t="shared" ca="1" si="3"/>
        <v>0</v>
      </c>
      <c r="R20" t="str">
        <f ca="1">IF($Q20=1,SUM($Q$4:$Q20),"")</f>
        <v/>
      </c>
    </row>
    <row r="21" spans="1:18" ht="33.75" customHeight="1" x14ac:dyDescent="0.3">
      <c r="A21" s="2" t="s">
        <v>122</v>
      </c>
      <c r="B21" s="2" t="s">
        <v>122</v>
      </c>
      <c r="C21" s="3" t="s">
        <v>122</v>
      </c>
      <c r="D21" s="3" t="s">
        <v>154</v>
      </c>
      <c r="E21" s="2"/>
      <c r="F21" s="2" t="s">
        <v>155</v>
      </c>
      <c r="G21" s="5">
        <v>46075</v>
      </c>
      <c r="H21" s="5">
        <v>46075</v>
      </c>
      <c r="I21" s="2" t="s">
        <v>31</v>
      </c>
      <c r="J21" s="6">
        <f t="shared" si="1"/>
        <v>0</v>
      </c>
      <c r="K21" s="4" t="str">
        <f t="shared" ca="1" si="2"/>
        <v>-</v>
      </c>
      <c r="L21" s="7" t="str">
        <f>IF(I21="Completed","0",IF($H21="","",$H21-'[2]Read Me'!$B$4))</f>
        <v>0</v>
      </c>
      <c r="M21" s="4" t="str">
        <f>IF($I21="Complete","Green",IF($H21="","Amber",IF($H21&lt;'[2]Read Me'!$B$4,"Red",IF($H21-'[2]Read Me'!$B$4&lt;=21,"Amber","Green"))))</f>
        <v>Red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122</v>
      </c>
      <c r="B22" s="2" t="s">
        <v>122</v>
      </c>
      <c r="C22" s="3" t="s">
        <v>122</v>
      </c>
      <c r="D22" s="3" t="s">
        <v>58</v>
      </c>
      <c r="E22" s="2"/>
      <c r="F22" s="2"/>
      <c r="G22" s="5">
        <v>46079</v>
      </c>
      <c r="H22" s="5">
        <v>46079</v>
      </c>
      <c r="I22" s="2" t="s">
        <v>31</v>
      </c>
      <c r="J22" s="6">
        <f t="shared" si="1"/>
        <v>0</v>
      </c>
      <c r="K22" s="4" t="str">
        <f t="shared" ca="1" si="2"/>
        <v>-</v>
      </c>
      <c r="L22" s="7" t="str">
        <f>IF(I22="Completed","0",IF($H22="","",$H22-'[2]Read Me'!$B$4))</f>
        <v>0</v>
      </c>
      <c r="M22" s="4" t="str">
        <f>IF($I22="Complete","Green",IF($H22="","Amber",IF($H22&lt;'[2]Read Me'!$B$4,"Red",IF($H22-'[2]Read Me'!$B$4&lt;=21,"Amber","Green"))))</f>
        <v>Red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122</v>
      </c>
      <c r="B23" s="2" t="s">
        <v>122</v>
      </c>
      <c r="C23" s="3" t="s">
        <v>122</v>
      </c>
      <c r="D23" s="3" t="s">
        <v>156</v>
      </c>
      <c r="E23" s="2"/>
      <c r="F23" s="2" t="s">
        <v>155</v>
      </c>
      <c r="G23" s="5">
        <v>46093</v>
      </c>
      <c r="H23" s="5">
        <v>46096</v>
      </c>
      <c r="I23" s="2" t="s">
        <v>31</v>
      </c>
      <c r="J23" s="6">
        <f t="shared" si="1"/>
        <v>3</v>
      </c>
      <c r="K23" s="4" t="str">
        <f t="shared" ca="1" si="2"/>
        <v>-</v>
      </c>
      <c r="L23" s="7" t="str">
        <f>IF(I23="Completed","0",IF($H23="","",$H23-'[2]Read Me'!$B$4))</f>
        <v>0</v>
      </c>
      <c r="M23" s="4" t="str">
        <f>IF($I23="Complete","Green",IF($H23="","Amber",IF($H23&lt;'[2]Read Me'!$B$4,"Red",IF($H23-'[2]Read Me'!$B$4&lt;=21,"Amber","Green"))))</f>
        <v>Red</v>
      </c>
      <c r="N23" s="3"/>
      <c r="O23" t="str">
        <f>IF($I23&lt;&gt;"Complete",IF(COUNTIFS($A$4:$A22,$A23,$B$4:$B22,$B23,$I$4:$I22,"&lt;&gt;Complete")=0,$A23&amp;"|"&amp;$B23,""),"")</f>
        <v/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122</v>
      </c>
      <c r="B24" s="2" t="s">
        <v>122</v>
      </c>
      <c r="C24" s="3" t="s">
        <v>122</v>
      </c>
      <c r="D24" s="3" t="s">
        <v>58</v>
      </c>
      <c r="E24" s="2"/>
      <c r="F24" s="2"/>
      <c r="G24" s="5">
        <v>46100</v>
      </c>
      <c r="H24" s="5">
        <v>46099</v>
      </c>
      <c r="I24" s="2" t="s">
        <v>31</v>
      </c>
      <c r="J24" s="6">
        <f t="shared" si="1"/>
        <v>-1</v>
      </c>
      <c r="K24" s="4" t="str">
        <f t="shared" ca="1" si="2"/>
        <v>-</v>
      </c>
      <c r="L24" s="7" t="str">
        <f>IF(I24="Completed","0",IF($H24="","",$H24-'[2]Read Me'!$B$4))</f>
        <v>0</v>
      </c>
      <c r="M24" s="4" t="str">
        <f>IF($I24="Complete","Green",IF($H24="","Amber",IF($H24&lt;'[2]Read Me'!$B$4,"Red",IF($H24-'[2]Read Me'!$B$4&lt;=21,"Amber","Green"))))</f>
        <v>Red</v>
      </c>
      <c r="N24" s="3"/>
      <c r="O24" t="str">
        <f>IF($I24&lt;&gt;"Complete",IF(COUNTIFS($A$4:$A23,$A24,$B$4:$B23,$B24,$I$4:$I23,"&lt;&gt;Complete")=0,$A24&amp;"|"&amp;$B24,""),"")</f>
        <v/>
      </c>
      <c r="P24" t="str">
        <f ca="1">IF($K24="Yes",COUNTIFS($K$4:$K24,"Yes"),"")</f>
        <v/>
      </c>
      <c r="Q24">
        <f t="shared" ca="1" si="3"/>
        <v>0</v>
      </c>
      <c r="R24" t="str">
        <f ca="1">IF($Q24=1,SUM($Q$4:$Q24),"")</f>
        <v/>
      </c>
    </row>
    <row r="25" spans="1:18" ht="33.75" customHeight="1" x14ac:dyDescent="0.3">
      <c r="A25" s="2" t="s">
        <v>122</v>
      </c>
      <c r="B25" s="2" t="s">
        <v>122</v>
      </c>
      <c r="C25" s="3" t="s">
        <v>122</v>
      </c>
      <c r="D25" s="3" t="s">
        <v>157</v>
      </c>
      <c r="E25" s="2"/>
      <c r="F25" s="2" t="s">
        <v>155</v>
      </c>
      <c r="G25" s="5">
        <v>46109</v>
      </c>
      <c r="H25" s="5">
        <v>46148</v>
      </c>
      <c r="I25" s="2" t="s">
        <v>46</v>
      </c>
      <c r="J25" s="6">
        <f t="shared" si="1"/>
        <v>39</v>
      </c>
      <c r="K25" s="4" t="str">
        <f t="shared" ca="1" si="2"/>
        <v>Yes</v>
      </c>
      <c r="L25" s="7">
        <f>IF(I25="Completed","0",IF($H25="","",$H25-'[2]Read Me'!$B$4))</f>
        <v>-39</v>
      </c>
      <c r="M25" s="4" t="str">
        <f>IF($I25="Complete","Green",IF($H25="","Amber",IF($H25&lt;'[2]Read Me'!$B$4,"Red",IF($H25-'[2]Read Me'!$B$4&lt;=21,"Amber","Green"))))</f>
        <v>Red</v>
      </c>
      <c r="N25" s="3"/>
      <c r="O25" t="str">
        <f>IF($I25&lt;&gt;"Complete",IF(COUNTIFS($A$4:$A24,$A25,$B$4:$B24,$B25,$I$4:$I24,"&lt;&gt;Complete")=0,$A25&amp;"|"&amp;$B25,""),"")</f>
        <v/>
      </c>
      <c r="P25">
        <f ca="1">IF($K25="Yes",COUNTIFS($K$4:$K25,"Yes"),"")</f>
        <v>3</v>
      </c>
      <c r="Q25">
        <f t="shared" ca="1" si="3"/>
        <v>1</v>
      </c>
      <c r="R25">
        <f ca="1">IF($Q25=1,SUM($Q$4:$Q25),"")</f>
        <v>3</v>
      </c>
    </row>
    <row r="26" spans="1:18" ht="33.75" customHeight="1" x14ac:dyDescent="0.3">
      <c r="A26" s="2" t="s">
        <v>122</v>
      </c>
      <c r="B26" s="2" t="s">
        <v>122</v>
      </c>
      <c r="C26" s="3" t="s">
        <v>122</v>
      </c>
      <c r="D26" s="3" t="s">
        <v>58</v>
      </c>
      <c r="E26" s="2"/>
      <c r="F26" s="2"/>
      <c r="G26" s="5">
        <v>46116</v>
      </c>
      <c r="H26" s="5">
        <v>46155</v>
      </c>
      <c r="I26" s="2" t="s">
        <v>17</v>
      </c>
      <c r="J26" s="6">
        <f t="shared" si="1"/>
        <v>39</v>
      </c>
      <c r="K26" s="4" t="str">
        <f t="shared" ca="1" si="2"/>
        <v>Yes</v>
      </c>
      <c r="L26" s="7">
        <f>IF(I26="Completed","0",IF($H26="","",$H26-'[2]Read Me'!$B$4))</f>
        <v>-32</v>
      </c>
      <c r="M26" s="4" t="str">
        <f>IF($I26="Complete","Green",IF($H26="","Amber",IF($H26&lt;'[2]Read Me'!$B$4,"Red",IF($H26-'[2]Read Me'!$B$4&lt;=21,"Amber","Green"))))</f>
        <v>Red</v>
      </c>
      <c r="N26" s="3"/>
      <c r="O26" t="str">
        <f>IF($I26&lt;&gt;"Complete",IF(COUNTIFS($A$4:$A25,$A26,$B$4:$B25,$B26,$I$4:$I25,"&lt;&gt;Complete")=0,$A26&amp;"|"&amp;$B26,""),"")</f>
        <v/>
      </c>
      <c r="P26">
        <f ca="1">IF($K26="Yes",COUNTIFS($K$4:$K26,"Yes"),"")</f>
        <v>4</v>
      </c>
      <c r="Q26">
        <f t="shared" ca="1" si="3"/>
        <v>1</v>
      </c>
      <c r="R26">
        <f ca="1">IF($Q26=1,SUM($Q$4:$Q26),"")</f>
        <v>4</v>
      </c>
    </row>
    <row r="27" spans="1:18" ht="33.75" customHeight="1" x14ac:dyDescent="0.3">
      <c r="A27" s="2" t="s">
        <v>62</v>
      </c>
      <c r="B27" s="2" t="s">
        <v>62</v>
      </c>
      <c r="C27" s="3"/>
      <c r="D27" s="3"/>
      <c r="E27" s="2"/>
      <c r="F27" s="2"/>
      <c r="G27" s="5">
        <v>46114</v>
      </c>
      <c r="H27" s="5">
        <v>46190</v>
      </c>
      <c r="I27" s="2"/>
      <c r="J27" s="6">
        <f t="shared" si="1"/>
        <v>76</v>
      </c>
      <c r="K27" s="4" t="str">
        <f t="shared" ca="1" si="2"/>
        <v/>
      </c>
      <c r="L27" s="7">
        <f>IF(I27="Completed","0",IF($H27="","",$H27-'[2]Read Me'!$B$4))</f>
        <v>3</v>
      </c>
      <c r="M27" s="4" t="str">
        <f>IF($I27="Complete","Green",IF($H27="","Amber",IF($H27&lt;'[2]Read Me'!$B$4,"Red",IF($H27-'[2]Read Me'!$B$4&lt;=21,"Amber","Green"))))</f>
        <v>Amber</v>
      </c>
      <c r="N27" s="3"/>
      <c r="O27" t="str">
        <f>IF($I27&lt;&gt;"Complete",IF(COUNTIFS($A$4:$A26,$A27,$B$4:$B26,$B27,$I$4:$I26,"&lt;&gt;Complete")=0,$A27&amp;"|"&amp;$B27,""),"")</f>
        <v>Buildings|Buildings</v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62</v>
      </c>
      <c r="B28" s="2" t="s">
        <v>62</v>
      </c>
      <c r="C28" s="3" t="s">
        <v>62</v>
      </c>
      <c r="D28" s="3" t="s">
        <v>154</v>
      </c>
      <c r="E28" s="2"/>
      <c r="F28" s="2"/>
      <c r="G28" s="5">
        <v>46079</v>
      </c>
      <c r="H28" s="5">
        <v>46096</v>
      </c>
      <c r="I28" s="2" t="s">
        <v>31</v>
      </c>
      <c r="J28" s="6">
        <f t="shared" si="1"/>
        <v>17</v>
      </c>
      <c r="K28" s="4" t="str">
        <f t="shared" ca="1" si="2"/>
        <v>-</v>
      </c>
      <c r="L28" s="7" t="str">
        <f>IF(I28="Completed","0",IF($H28="","",$H28-'[2]Read Me'!$B$4))</f>
        <v>0</v>
      </c>
      <c r="M28" s="4" t="str">
        <f>IF($I28="Complete","Green",IF($H28="","Amber",IF($H28&lt;'[2]Read Me'!$B$4,"Red",IF($H28-'[2]Read Me'!$B$4&lt;=21,"Amber","Green"))))</f>
        <v>Red</v>
      </c>
      <c r="N28" s="3"/>
      <c r="O28" t="str">
        <f>IF($I28&lt;&gt;"Complete",IF(COUNTIFS($A$4:$A27,$A28,$B$4:$B27,$B28,$I$4:$I27,"&lt;&gt;Complete")=0,$A28&amp;"|"&amp;$B28,""),"")</f>
        <v/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62</v>
      </c>
      <c r="B29" s="2" t="s">
        <v>62</v>
      </c>
      <c r="C29" s="3" t="s">
        <v>62</v>
      </c>
      <c r="D29" s="3" t="s">
        <v>58</v>
      </c>
      <c r="E29" s="2"/>
      <c r="F29" s="2"/>
      <c r="G29" s="5">
        <v>46086</v>
      </c>
      <c r="H29" s="5">
        <v>46099</v>
      </c>
      <c r="I29" s="2" t="s">
        <v>31</v>
      </c>
      <c r="J29" s="6">
        <f t="shared" si="1"/>
        <v>13</v>
      </c>
      <c r="K29" s="4" t="str">
        <f t="shared" ca="1" si="2"/>
        <v>-</v>
      </c>
      <c r="L29" s="7" t="str">
        <f>IF(I29="Completed","0",IF($H29="","",$H29-'[2]Read Me'!$B$4))</f>
        <v>0</v>
      </c>
      <c r="M29" s="4" t="str">
        <f>IF($I29="Complete","Green",IF($H29="","Amber",IF($H29&lt;'[2]Read Me'!$B$4,"Red",IF($H29-'[2]Read Me'!$B$4&lt;=21,"Amber","Green"))))</f>
        <v>Red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62</v>
      </c>
      <c r="B30" s="2" t="s">
        <v>62</v>
      </c>
      <c r="C30" s="3" t="s">
        <v>62</v>
      </c>
      <c r="D30" s="3" t="s">
        <v>156</v>
      </c>
      <c r="E30" s="2"/>
      <c r="F30" s="2"/>
      <c r="G30" s="5">
        <v>46093</v>
      </c>
      <c r="H30" s="5">
        <v>46148</v>
      </c>
      <c r="I30" s="2" t="s">
        <v>46</v>
      </c>
      <c r="J30" s="6">
        <f t="shared" si="1"/>
        <v>55</v>
      </c>
      <c r="K30" s="4" t="str">
        <f t="shared" ca="1" si="2"/>
        <v>Yes</v>
      </c>
      <c r="L30" s="7">
        <f>IF(I30="Completed","0",IF($H30="","",$H30-'[2]Read Me'!$B$4))</f>
        <v>-39</v>
      </c>
      <c r="M30" s="4" t="str">
        <f>IF($I30="Complete","Green",IF($H30="","Amber",IF($H30&lt;'[2]Read Me'!$B$4,"Red",IF($H30-'[2]Read Me'!$B$4&lt;=21,"Amber","Green"))))</f>
        <v>Red</v>
      </c>
      <c r="N30" s="3"/>
      <c r="O30" t="str">
        <f>IF($I30&lt;&gt;"Complete",IF(COUNTIFS($A$4:$A29,$A30,$B$4:$B29,$B30,$I$4:$I29,"&lt;&gt;Complete")=0,$A30&amp;"|"&amp;$B30,""),"")</f>
        <v/>
      </c>
      <c r="P30">
        <f ca="1">IF($K30="Yes",COUNTIFS($K$4:$K30,"Yes"),"")</f>
        <v>5</v>
      </c>
      <c r="Q30">
        <f t="shared" ca="1" si="3"/>
        <v>1</v>
      </c>
      <c r="R30">
        <f ca="1">IF($Q30=1,SUM($Q$4:$Q30),"")</f>
        <v>5</v>
      </c>
    </row>
    <row r="31" spans="1:18" ht="14.25" customHeight="1" x14ac:dyDescent="0.3">
      <c r="A31" s="2" t="s">
        <v>62</v>
      </c>
      <c r="B31" s="2" t="s">
        <v>62</v>
      </c>
      <c r="C31" s="3" t="s">
        <v>62</v>
      </c>
      <c r="D31" s="3" t="s">
        <v>58</v>
      </c>
      <c r="E31" s="2"/>
      <c r="F31" s="2"/>
      <c r="G31" s="5">
        <v>46100</v>
      </c>
      <c r="H31" s="5">
        <v>46155</v>
      </c>
      <c r="I31" s="2" t="s">
        <v>17</v>
      </c>
      <c r="J31" s="6">
        <f t="shared" si="1"/>
        <v>55</v>
      </c>
      <c r="K31" s="4" t="str">
        <f t="shared" ca="1" si="2"/>
        <v>Yes</v>
      </c>
      <c r="L31" s="7">
        <f>IF(I31="Completed","0",IF($H31="","",$H31-'[2]Read Me'!$B$4))</f>
        <v>-32</v>
      </c>
      <c r="M31" s="4" t="str">
        <f>IF($I31="Complete","Green",IF($H31="","Amber",IF($H31&lt;'[2]Read Me'!$B$4,"Red",IF($H31-'[2]Read Me'!$B$4&lt;=21,"Amber","Green"))))</f>
        <v>Red</v>
      </c>
      <c r="N31" s="3"/>
      <c r="O31" t="str">
        <f>IF($I31&lt;&gt;"Complete",IF(COUNTIFS($A$4:$A30,$A31,$B$4:$B30,$B31,$I$4:$I30,"&lt;&gt;Complete")=0,$A31&amp;"|"&amp;$B31,""),"")</f>
        <v/>
      </c>
      <c r="P31">
        <f ca="1">IF($K31="Yes",COUNTIFS($K$4:$K31,"Yes"),"")</f>
        <v>6</v>
      </c>
      <c r="Q31">
        <f t="shared" ca="1" si="3"/>
        <v>1</v>
      </c>
      <c r="R31">
        <f ca="1">IF($Q31=1,SUM($Q$4:$Q31),"")</f>
        <v>6</v>
      </c>
    </row>
    <row r="32" spans="1:18" ht="14.25" customHeight="1" x14ac:dyDescent="0.3">
      <c r="A32" s="2" t="s">
        <v>62</v>
      </c>
      <c r="B32" s="2" t="s">
        <v>62</v>
      </c>
      <c r="C32" s="3" t="s">
        <v>62</v>
      </c>
      <c r="D32" s="3" t="s">
        <v>157</v>
      </c>
      <c r="E32" s="2"/>
      <c r="F32" s="2"/>
      <c r="G32" s="5">
        <v>46107</v>
      </c>
      <c r="H32" s="5">
        <v>46183</v>
      </c>
      <c r="I32" s="2" t="s">
        <v>17</v>
      </c>
      <c r="J32" s="6">
        <f t="shared" si="1"/>
        <v>76</v>
      </c>
      <c r="K32" s="4" t="str">
        <f t="shared" ca="1" si="2"/>
        <v>Yes</v>
      </c>
      <c r="L32" s="7">
        <f>IF(I32="Completed","0",IF($H32="","",$H32-'[2]Read Me'!$B$4))</f>
        <v>-4</v>
      </c>
      <c r="M32" s="4" t="str">
        <f>IF($I32="Complete","Green",IF($H32="","Amber",IF($H32&lt;'[2]Read Me'!$B$4,"Red",IF($H32-'[2]Read Me'!$B$4&lt;=21,"Amber","Green"))))</f>
        <v>Red</v>
      </c>
      <c r="N32" s="3"/>
      <c r="O32" t="str">
        <f>IF($I32&lt;&gt;"Complete",IF(COUNTIFS($A$4:$A31,$A32,$B$4:$B31,$B32,$I$4:$I31,"&lt;&gt;Complete")=0,$A32&amp;"|"&amp;$B32,""),"")</f>
        <v/>
      </c>
      <c r="P32">
        <f ca="1">IF($K32="Yes",COUNTIFS($K$4:$K32,"Yes"),"")</f>
        <v>7</v>
      </c>
      <c r="Q32">
        <f t="shared" ca="1" si="3"/>
        <v>1</v>
      </c>
      <c r="R32">
        <f ca="1">IF($Q32=1,SUM($Q$4:$Q32),"")</f>
        <v>7</v>
      </c>
    </row>
    <row r="33" spans="1:18" ht="14.25" customHeight="1" x14ac:dyDescent="0.3">
      <c r="A33" s="2" t="s">
        <v>62</v>
      </c>
      <c r="B33" s="2" t="s">
        <v>62</v>
      </c>
      <c r="C33" s="3" t="s">
        <v>62</v>
      </c>
      <c r="D33" s="3" t="s">
        <v>58</v>
      </c>
      <c r="E33" s="2"/>
      <c r="F33" s="2"/>
      <c r="G33" s="5">
        <v>46114</v>
      </c>
      <c r="H33" s="5">
        <v>46190</v>
      </c>
      <c r="I33" s="2" t="s">
        <v>17</v>
      </c>
      <c r="J33" s="6">
        <f t="shared" si="1"/>
        <v>76</v>
      </c>
      <c r="K33" s="4" t="str">
        <f t="shared" ca="1" si="2"/>
        <v>Yes</v>
      </c>
      <c r="L33" s="7">
        <f>IF(I33="Completed","0",IF($H33="","",$H33-'[2]Read Me'!$B$4))</f>
        <v>3</v>
      </c>
      <c r="M33" s="4" t="str">
        <f>IF($I33="Complete","Green",IF($H33="","Amber",IF($H33&lt;'[2]Read Me'!$B$4,"Red",IF($H33-'[2]Read Me'!$B$4&lt;=21,"Amber","Green"))))</f>
        <v>Amber</v>
      </c>
      <c r="N33" s="3"/>
      <c r="O33" t="str">
        <f>IF($I33&lt;&gt;"Complete",IF(COUNTIFS($A$4:$A32,$A33,$B$4:$B32,$B33,$I$4:$I32,"&lt;&gt;Complete")=0,$A33&amp;"|"&amp;$B33,""),"")</f>
        <v/>
      </c>
      <c r="P33">
        <f ca="1">IF($K33="Yes",COUNTIFS($K$4:$K33,"Yes"),"")</f>
        <v>8</v>
      </c>
      <c r="Q33">
        <f t="shared" ca="1" si="3"/>
        <v>1</v>
      </c>
      <c r="R33">
        <f ca="1">IF($Q33=1,SUM($Q$4:$Q33),"")</f>
        <v>8</v>
      </c>
    </row>
    <row r="34" spans="1:18" ht="14.25" customHeight="1" x14ac:dyDescent="0.3">
      <c r="A34" s="2" t="s">
        <v>158</v>
      </c>
      <c r="B34" s="2" t="s">
        <v>41</v>
      </c>
      <c r="C34" s="3"/>
      <c r="D34" s="3"/>
      <c r="E34" s="2"/>
      <c r="F34" s="2"/>
      <c r="G34" s="5">
        <v>46156</v>
      </c>
      <c r="H34" s="5">
        <v>46225</v>
      </c>
      <c r="I34" s="2"/>
      <c r="J34" s="6">
        <f t="shared" si="1"/>
        <v>69</v>
      </c>
      <c r="K34" s="4" t="str">
        <f t="shared" ca="1" si="2"/>
        <v/>
      </c>
      <c r="L34" s="7">
        <f>IF(I34="Completed","0",IF($H34="","",$H34-'[2]Read Me'!$B$4))</f>
        <v>38</v>
      </c>
      <c r="M34" s="4" t="str">
        <f>IF($I34="Complete","Green",IF($H34="","Amber",IF($H34&lt;'[2]Read Me'!$B$4,"Red",IF($H34-'[2]Read Me'!$B$4&lt;=21,"Amber","Green"))))</f>
        <v>Green</v>
      </c>
      <c r="N34" s="3"/>
      <c r="O34" t="str">
        <f>IF($I34&lt;&gt;"Complete",IF(COUNTIFS($A$4:$A33,$A34,$B$4:$B33,$B34,$I$4:$I33,"&lt;&gt;Complete")=0,$A34&amp;"|"&amp;$B34,""),"")</f>
        <v>Interior|Fit-out</v>
      </c>
      <c r="P34" t="str">
        <f ca="1">IF($K34="Yes",COUNTIFS($K$4:$K34,"Yes"),"")</f>
        <v/>
      </c>
      <c r="Q34">
        <f t="shared" ca="1" si="3"/>
        <v>0</v>
      </c>
      <c r="R34" t="str">
        <f ca="1">IF($Q34=1,SUM($Q$4:$Q34),"")</f>
        <v/>
      </c>
    </row>
    <row r="35" spans="1:18" ht="14.25" customHeight="1" x14ac:dyDescent="0.3">
      <c r="A35" s="2" t="s">
        <v>158</v>
      </c>
      <c r="B35" s="2" t="s">
        <v>41</v>
      </c>
      <c r="C35" s="3" t="s">
        <v>158</v>
      </c>
      <c r="D35" s="3" t="s">
        <v>154</v>
      </c>
      <c r="E35" s="2"/>
      <c r="F35" s="2" t="s">
        <v>159</v>
      </c>
      <c r="G35" s="5">
        <v>46114</v>
      </c>
      <c r="H35" s="5">
        <v>46169</v>
      </c>
      <c r="I35" s="2" t="s">
        <v>17</v>
      </c>
      <c r="J35" s="6">
        <f t="shared" si="1"/>
        <v>55</v>
      </c>
      <c r="K35" s="4" t="str">
        <f t="shared" ca="1" si="2"/>
        <v>Yes</v>
      </c>
      <c r="L35" s="7">
        <f>IF(I35="Completed","0",IF($H35="","",$H35-'[2]Read Me'!$B$4))</f>
        <v>-18</v>
      </c>
      <c r="M35" s="4" t="str">
        <f>IF($I35="Complete","Green",IF($H35="","Amber",IF($H35&lt;'[2]Read Me'!$B$4,"Red",IF($H35-'[2]Read Me'!$B$4&lt;=21,"Amber","Green"))))</f>
        <v>Red</v>
      </c>
      <c r="N35" s="3"/>
      <c r="O35" t="str">
        <f>IF($I35&lt;&gt;"Complete",IF(COUNTIFS($A$4:$A34,$A35,$B$4:$B34,$B35,$I$4:$I34,"&lt;&gt;Complete")=0,$A35&amp;"|"&amp;$B35,""),"")</f>
        <v/>
      </c>
      <c r="P35">
        <f ca="1">IF($K35="Yes",COUNTIFS($K$4:$K35,"Yes"),"")</f>
        <v>9</v>
      </c>
      <c r="Q35">
        <f t="shared" ca="1" si="3"/>
        <v>1</v>
      </c>
      <c r="R35">
        <f ca="1">IF($Q35=1,SUM($Q$4:$Q35),"")</f>
        <v>9</v>
      </c>
    </row>
    <row r="36" spans="1:18" ht="14.25" customHeight="1" x14ac:dyDescent="0.3">
      <c r="A36" s="2" t="s">
        <v>158</v>
      </c>
      <c r="B36" s="2" t="s">
        <v>41</v>
      </c>
      <c r="C36" s="3" t="s">
        <v>158</v>
      </c>
      <c r="D36" s="3" t="s">
        <v>58</v>
      </c>
      <c r="E36" s="2"/>
      <c r="F36" s="2"/>
      <c r="G36" s="5">
        <v>46121</v>
      </c>
      <c r="H36" s="5">
        <v>46176</v>
      </c>
      <c r="I36" s="2" t="s">
        <v>17</v>
      </c>
      <c r="J36" s="6">
        <f t="shared" si="1"/>
        <v>55</v>
      </c>
      <c r="K36" s="4" t="str">
        <f t="shared" ca="1" si="2"/>
        <v>Yes</v>
      </c>
      <c r="L36" s="7">
        <f>IF(I36="Completed","0",IF($H36="","",$H36-'[2]Read Me'!$B$4))</f>
        <v>-11</v>
      </c>
      <c r="M36" s="4" t="str">
        <f>IF($I36="Complete","Green",IF($H36="","Amber",IF($H36&lt;'[2]Read Me'!$B$4,"Red",IF($H36-'[2]Read Me'!$B$4&lt;=21,"Amber","Green"))))</f>
        <v>Red</v>
      </c>
      <c r="N36" s="3"/>
      <c r="O36" t="str">
        <f>IF($I36&lt;&gt;"Complete",IF(COUNTIFS($A$4:$A35,$A36,$B$4:$B35,$B36,$I$4:$I35,"&lt;&gt;Complete")=0,$A36&amp;"|"&amp;$B36,""),"")</f>
        <v/>
      </c>
      <c r="P36">
        <f ca="1">IF($K36="Yes",COUNTIFS($K$4:$K36,"Yes"),"")</f>
        <v>10</v>
      </c>
      <c r="Q36">
        <f t="shared" ca="1" si="3"/>
        <v>1</v>
      </c>
      <c r="R36">
        <f ca="1">IF($Q36=1,SUM($Q$4:$Q36),"")</f>
        <v>10</v>
      </c>
    </row>
    <row r="37" spans="1:18" ht="14.25" customHeight="1" x14ac:dyDescent="0.3">
      <c r="A37" s="2" t="s">
        <v>158</v>
      </c>
      <c r="B37" s="2" t="s">
        <v>41</v>
      </c>
      <c r="C37" s="3" t="s">
        <v>158</v>
      </c>
      <c r="D37" s="3" t="s">
        <v>160</v>
      </c>
      <c r="E37" s="2"/>
      <c r="F37" s="2" t="s">
        <v>159</v>
      </c>
      <c r="G37" s="5">
        <v>46135</v>
      </c>
      <c r="H37" s="5">
        <v>46204</v>
      </c>
      <c r="I37" s="2" t="s">
        <v>17</v>
      </c>
      <c r="J37" s="6">
        <f t="shared" si="1"/>
        <v>69</v>
      </c>
      <c r="K37" s="4" t="str">
        <f t="shared" ca="1" si="2"/>
        <v>Yes</v>
      </c>
      <c r="L37" s="7">
        <f>IF(I37="Completed","0",IF($H37="","",$H37-'[2]Read Me'!$B$4))</f>
        <v>17</v>
      </c>
      <c r="M37" s="4" t="str">
        <f>IF($I37="Complete","Green",IF($H37="","Amber",IF($H37&lt;'[2]Read Me'!$B$4,"Red",IF($H37-'[2]Read Me'!$B$4&lt;=21,"Amber","Green"))))</f>
        <v>Amber</v>
      </c>
      <c r="N37" s="3"/>
      <c r="O37" t="str">
        <f>IF($I37&lt;&gt;"Complete",IF(COUNTIFS($A$4:$A36,$A37,$B$4:$B36,$B37,$I$4:$I36,"&lt;&gt;Complete")=0,$A37&amp;"|"&amp;$B37,""),"")</f>
        <v/>
      </c>
      <c r="P37">
        <f ca="1">IF($K37="Yes",COUNTIFS($K$4:$K37,"Yes"),"")</f>
        <v>11</v>
      </c>
      <c r="Q37">
        <f t="shared" ca="1" si="3"/>
        <v>1</v>
      </c>
      <c r="R37">
        <f ca="1">IF($Q37=1,SUM($Q$4:$Q37),"")</f>
        <v>11</v>
      </c>
    </row>
    <row r="38" spans="1:18" ht="14.25" customHeight="1" x14ac:dyDescent="0.3">
      <c r="A38" s="2" t="s">
        <v>158</v>
      </c>
      <c r="B38" s="2" t="s">
        <v>41</v>
      </c>
      <c r="C38" s="3" t="s">
        <v>158</v>
      </c>
      <c r="D38" s="3" t="s">
        <v>58</v>
      </c>
      <c r="E38" s="2"/>
      <c r="F38" s="2"/>
      <c r="G38" s="5">
        <v>46142</v>
      </c>
      <c r="H38" s="5">
        <v>46211</v>
      </c>
      <c r="I38" s="2" t="s">
        <v>17</v>
      </c>
      <c r="J38" s="6">
        <f t="shared" si="1"/>
        <v>69</v>
      </c>
      <c r="K38" s="4" t="str">
        <f t="shared" ca="1" si="2"/>
        <v>No</v>
      </c>
      <c r="L38" s="7">
        <f>IF(I38="Completed","0",IF($H38="","",$H38-'[2]Read Me'!$B$4))</f>
        <v>24</v>
      </c>
      <c r="M38" s="4" t="str">
        <f>IF($I38="Complete","Green",IF($H38="","Amber",IF($H38&lt;'[2]Read Me'!$B$4,"Red",IF($H38-'[2]Read Me'!$B$4&lt;=21,"Amber","Green"))))</f>
        <v>Green</v>
      </c>
      <c r="N38" s="3"/>
      <c r="O38" t="str">
        <f>IF($I38&lt;&gt;"Complete",IF(COUNTIFS($A$4:$A37,$A38,$B$4:$B37,$B38,$I$4:$I37,"&lt;&gt;Complete")=0,$A38&amp;"|"&amp;$B38,""),"")</f>
        <v/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158</v>
      </c>
      <c r="B39" s="2" t="s">
        <v>41</v>
      </c>
      <c r="C39" s="3" t="s">
        <v>158</v>
      </c>
      <c r="D39" s="3" t="s">
        <v>157</v>
      </c>
      <c r="E39" s="2"/>
      <c r="F39" s="2"/>
      <c r="G39" s="5">
        <v>46149</v>
      </c>
      <c r="H39" s="5">
        <v>46218</v>
      </c>
      <c r="I39" s="2" t="s">
        <v>17</v>
      </c>
      <c r="J39" s="6">
        <f t="shared" si="1"/>
        <v>69</v>
      </c>
      <c r="K39" s="4" t="str">
        <f t="shared" ca="1" si="2"/>
        <v>No</v>
      </c>
      <c r="L39" s="7">
        <f>IF(I39="Completed","0",IF($H39="","",$H39-'[2]Read Me'!$B$4))</f>
        <v>31</v>
      </c>
      <c r="M39" s="4" t="str">
        <f>IF($I39="Complete","Green",IF($H39="","Amber",IF($H39&lt;'[2]Read Me'!$B$4,"Red",IF($H39-'[2]Read Me'!$B$4&lt;=21,"Amber","Green"))))</f>
        <v>Green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 t="s">
        <v>158</v>
      </c>
      <c r="B40" s="2" t="s">
        <v>41</v>
      </c>
      <c r="C40" s="3" t="s">
        <v>158</v>
      </c>
      <c r="D40" s="3" t="s">
        <v>58</v>
      </c>
      <c r="E40" s="2"/>
      <c r="F40" s="2" t="s">
        <v>159</v>
      </c>
      <c r="G40" s="5">
        <v>46156</v>
      </c>
      <c r="H40" s="5">
        <v>46225</v>
      </c>
      <c r="I40" s="2" t="s">
        <v>17</v>
      </c>
      <c r="J40" s="6">
        <f t="shared" si="1"/>
        <v>69</v>
      </c>
      <c r="K40" s="4" t="str">
        <f t="shared" ca="1" si="2"/>
        <v>No</v>
      </c>
      <c r="L40" s="7">
        <f>IF(I40="Completed","0",IF($H40="","",$H40-'[2]Read Me'!$B$4))</f>
        <v>38</v>
      </c>
      <c r="M40" s="4" t="str">
        <f>IF($I40="Complete","Green",IF($H40="","Amber",IF($H40&lt;'[2]Read Me'!$B$4,"Red",IF($H40-'[2]Read Me'!$B$4&lt;=21,"Amber","Green"))))</f>
        <v>Green</v>
      </c>
      <c r="N40" s="3"/>
      <c r="O40" t="str">
        <f>IF($I40&lt;&gt;"Complete",IF(COUNTIFS($A$4:$A39,$A40,$B$4:$B39,$B40,$I$4:$I39,"&lt;&gt;Complete")=0,$A40&amp;"|"&amp;$B40,""),"")</f>
        <v/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 t="s">
        <v>21</v>
      </c>
      <c r="B41" s="2" t="s">
        <v>21</v>
      </c>
      <c r="C41" s="3"/>
      <c r="D41" s="3"/>
      <c r="E41" s="2"/>
      <c r="F41" s="2"/>
      <c r="G41" s="5">
        <v>46114</v>
      </c>
      <c r="H41" s="5">
        <v>46236</v>
      </c>
      <c r="I41" s="2"/>
      <c r="J41" s="6">
        <f t="shared" si="1"/>
        <v>122</v>
      </c>
      <c r="K41" s="4" t="str">
        <f t="shared" ca="1" si="2"/>
        <v/>
      </c>
      <c r="L41" s="7">
        <f>IF(I41="Completed","0",IF($H41="","",$H41-'[2]Read Me'!$B$4))</f>
        <v>49</v>
      </c>
      <c r="M41" s="4" t="str">
        <f>IF($I41="Complete","Green",IF($H41="","Amber",IF($H41&lt;'[2]Read Me'!$B$4,"Red",IF($H41-'[2]Read Me'!$B$4&lt;=21,"Amber","Green"))))</f>
        <v>Green</v>
      </c>
      <c r="N41" s="3"/>
      <c r="O41" t="str">
        <f>IF($I41&lt;&gt;"Complete",IF(COUNTIFS($A$4:$A40,$A41,$B$4:$B40,$B41,$I$4:$I40,"&lt;&gt;Complete")=0,$A41&amp;"|"&amp;$B41,""),"")</f>
        <v>Landscape|Landscape</v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 t="s">
        <v>21</v>
      </c>
      <c r="B42" s="2" t="s">
        <v>21</v>
      </c>
      <c r="C42" s="3" t="s">
        <v>21</v>
      </c>
      <c r="D42" s="3" t="s">
        <v>154</v>
      </c>
      <c r="E42" s="2"/>
      <c r="F42" s="2" t="s">
        <v>155</v>
      </c>
      <c r="G42" s="5">
        <v>46086</v>
      </c>
      <c r="H42" s="5">
        <v>46145</v>
      </c>
      <c r="I42" s="2" t="s">
        <v>46</v>
      </c>
      <c r="J42" s="6">
        <f t="shared" si="1"/>
        <v>59</v>
      </c>
      <c r="K42" s="4" t="str">
        <f t="shared" ca="1" si="2"/>
        <v>Yes</v>
      </c>
      <c r="L42" s="7">
        <f>IF(I42="Completed","0",IF($H42="","",$H42-'[2]Read Me'!$B$4))</f>
        <v>-42</v>
      </c>
      <c r="M42" s="4" t="str">
        <f>IF($I42="Complete","Green",IF($H42="","Amber",IF($H42&lt;'[2]Read Me'!$B$4,"Red",IF($H42-'[2]Read Me'!$B$4&lt;=21,"Amber","Green"))))</f>
        <v>Red</v>
      </c>
      <c r="N42" s="3"/>
      <c r="O42" t="str">
        <f>IF($I42&lt;&gt;"Complete",IF(COUNTIFS($A$4:$A41,$A42,$B$4:$B41,$B42,$I$4:$I41,"&lt;&gt;Complete")=0,$A42&amp;"|"&amp;$B42,""),"")</f>
        <v/>
      </c>
      <c r="P42">
        <f ca="1">IF($K42="Yes",COUNTIFS($K$4:$K42,"Yes"),"")</f>
        <v>12</v>
      </c>
      <c r="Q42">
        <f t="shared" ca="1" si="3"/>
        <v>1</v>
      </c>
      <c r="R42">
        <f ca="1">IF($Q42=1,SUM($Q$4:$Q42),"")</f>
        <v>12</v>
      </c>
    </row>
    <row r="43" spans="1:18" ht="22.5" customHeight="1" x14ac:dyDescent="0.3">
      <c r="A43" s="2" t="s">
        <v>21</v>
      </c>
      <c r="B43" s="2" t="s">
        <v>21</v>
      </c>
      <c r="C43" s="3" t="s">
        <v>21</v>
      </c>
      <c r="D43" s="3" t="s">
        <v>58</v>
      </c>
      <c r="E43" s="2"/>
      <c r="F43" s="2"/>
      <c r="G43" s="5">
        <v>46093</v>
      </c>
      <c r="H43" s="5">
        <v>46152</v>
      </c>
      <c r="I43" s="2" t="s">
        <v>17</v>
      </c>
      <c r="J43" s="6">
        <f t="shared" si="1"/>
        <v>59</v>
      </c>
      <c r="K43" s="4" t="str">
        <f t="shared" ca="1" si="2"/>
        <v>Yes</v>
      </c>
      <c r="L43" s="7">
        <f>IF(I43="Completed","0",IF($H43="","",$H43-'[2]Read Me'!$B$4))</f>
        <v>-35</v>
      </c>
      <c r="M43" s="4" t="str">
        <f>IF($I43="Complete","Green",IF($H43="","Amber",IF($H43&lt;'[2]Read Me'!$B$4,"Red",IF($H43-'[2]Read Me'!$B$4&lt;=21,"Amber","Green"))))</f>
        <v>Red</v>
      </c>
      <c r="N43" s="3"/>
      <c r="O43" t="str">
        <f>IF($I43&lt;&gt;"Complete",IF(COUNTIFS($A$4:$A42,$A43,$B$4:$B42,$B43,$I$4:$I42,"&lt;&gt;Complete")=0,$A43&amp;"|"&amp;$B43,""),"")</f>
        <v/>
      </c>
      <c r="P43">
        <f ca="1">IF($K43="Yes",COUNTIFS($K$4:$K43,"Yes"),"")</f>
        <v>13</v>
      </c>
      <c r="Q43">
        <f t="shared" ca="1" si="3"/>
        <v>1</v>
      </c>
      <c r="R43">
        <f ca="1">IF($Q43=1,SUM($Q$4:$Q43),"")</f>
        <v>13</v>
      </c>
    </row>
    <row r="44" spans="1:18" ht="14.25" customHeight="1" x14ac:dyDescent="0.3">
      <c r="A44" s="2" t="s">
        <v>21</v>
      </c>
      <c r="B44" s="2" t="s">
        <v>21</v>
      </c>
      <c r="C44" s="3" t="s">
        <v>21</v>
      </c>
      <c r="D44" s="3" t="s">
        <v>97</v>
      </c>
      <c r="E44" s="2"/>
      <c r="F44" s="2" t="s">
        <v>155</v>
      </c>
      <c r="G44" s="5">
        <v>46093</v>
      </c>
      <c r="H44" s="5">
        <v>46173</v>
      </c>
      <c r="I44" s="4" t="s">
        <v>17</v>
      </c>
      <c r="J44" s="6">
        <f t="shared" si="1"/>
        <v>80</v>
      </c>
      <c r="K44" s="4" t="str">
        <f t="shared" ca="1" si="2"/>
        <v>Yes</v>
      </c>
      <c r="L44" s="7">
        <f>IF(I44="Completed","0",IF($H44="","",$H44-'[2]Read Me'!$B$4))</f>
        <v>-14</v>
      </c>
      <c r="M44" s="4" t="str">
        <f>IF($I44="Complete","Green",IF($H44="","Amber",IF($H44&lt;'[2]Read Me'!$B$4,"Red",IF($H44-'[2]Read Me'!$B$4&lt;=21,"Amber","Green"))))</f>
        <v>Red</v>
      </c>
      <c r="N44" s="3"/>
      <c r="O44" t="str">
        <f>IF($I44&lt;&gt;"Complete",IF(COUNTIFS($A$4:$A43,$A44,$B$4:$B43,$B44,$I$4:$I43,"&lt;&gt;Complete")=0,$A44&amp;"|"&amp;$B44,""),"")</f>
        <v/>
      </c>
      <c r="P44">
        <f ca="1">IF($K44="Yes",COUNTIFS($K$4:$K44,"Yes"),"")</f>
        <v>14</v>
      </c>
      <c r="Q44">
        <f t="shared" ca="1" si="3"/>
        <v>1</v>
      </c>
      <c r="R44">
        <f ca="1">IF($Q44=1,SUM($Q$4:$Q44),"")</f>
        <v>14</v>
      </c>
    </row>
    <row r="45" spans="1:18" ht="14.25" customHeight="1" x14ac:dyDescent="0.3">
      <c r="A45" s="2" t="s">
        <v>21</v>
      </c>
      <c r="B45" s="2" t="s">
        <v>21</v>
      </c>
      <c r="C45" s="3" t="s">
        <v>21</v>
      </c>
      <c r="D45" s="3" t="s">
        <v>58</v>
      </c>
      <c r="E45" s="2"/>
      <c r="F45" s="2"/>
      <c r="G45" s="5">
        <v>46100</v>
      </c>
      <c r="H45" s="5">
        <v>46180</v>
      </c>
      <c r="I45" s="4" t="s">
        <v>17</v>
      </c>
      <c r="J45" s="6">
        <f t="shared" si="1"/>
        <v>80</v>
      </c>
      <c r="K45" s="4" t="str">
        <f t="shared" ca="1" si="2"/>
        <v>Yes</v>
      </c>
      <c r="L45" s="7">
        <f>IF(I45="Completed","0",IF($H45="","",$H45-'[2]Read Me'!$B$4))</f>
        <v>-7</v>
      </c>
      <c r="M45" s="4" t="str">
        <f>IF($I45="Complete","Green",IF($H45="","Amber",IF($H45&lt;'[2]Read Me'!$B$4,"Red",IF($H45-'[2]Read Me'!$B$4&lt;=21,"Amber","Green"))))</f>
        <v>Red</v>
      </c>
      <c r="N45" s="3"/>
      <c r="O45" t="str">
        <f>IF($I45&lt;&gt;"Complete",IF(COUNTIFS($A$4:$A44,$A45,$B$4:$B44,$B45,$I$4:$I44,"&lt;&gt;Complete")=0,$A45&amp;"|"&amp;$B45,""),"")</f>
        <v/>
      </c>
      <c r="P45">
        <f ca="1">IF($K45="Yes",COUNTIFS($K$4:$K45,"Yes"),"")</f>
        <v>15</v>
      </c>
      <c r="Q45">
        <f t="shared" ca="1" si="3"/>
        <v>1</v>
      </c>
      <c r="R45">
        <f ca="1">IF($Q45=1,SUM($Q$4:$Q45),"")</f>
        <v>15</v>
      </c>
    </row>
    <row r="46" spans="1:18" ht="22.5" customHeight="1" x14ac:dyDescent="0.3">
      <c r="A46" s="2" t="s">
        <v>21</v>
      </c>
      <c r="B46" s="2" t="s">
        <v>21</v>
      </c>
      <c r="C46" s="3" t="s">
        <v>21</v>
      </c>
      <c r="D46" s="3" t="s">
        <v>161</v>
      </c>
      <c r="E46" s="2"/>
      <c r="F46" s="2" t="s">
        <v>155</v>
      </c>
      <c r="G46" s="5">
        <v>46107</v>
      </c>
      <c r="H46" s="5">
        <v>46222</v>
      </c>
      <c r="I46" s="4" t="s">
        <v>17</v>
      </c>
      <c r="J46" s="6">
        <f t="shared" si="1"/>
        <v>115</v>
      </c>
      <c r="K46" s="4" t="str">
        <f t="shared" ca="1" si="2"/>
        <v>No</v>
      </c>
      <c r="L46" s="7">
        <f>IF(I46="Completed","0",IF($H46="","",$H46-'[2]Read Me'!$B$4))</f>
        <v>35</v>
      </c>
      <c r="M46" s="4" t="str">
        <f>IF($I46="Complete","Green",IF($H46="","Amber",IF($H46&lt;'[2]Read Me'!$B$4,"Red",IF($H46-'[2]Read Me'!$B$4&lt;=21,"Amber","Green"))))</f>
        <v>Green</v>
      </c>
      <c r="N46" s="3"/>
      <c r="O46" t="str">
        <f>IF($I46&lt;&gt;"Complete",IF(COUNTIFS($A$4:$A45,$A46,$B$4:$B45,$B46,$I$4:$I45,"&lt;&gt;Complete")=0,$A46&amp;"|"&amp;$B46,""),"")</f>
        <v/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 t="s">
        <v>21</v>
      </c>
      <c r="B47" s="2" t="s">
        <v>21</v>
      </c>
      <c r="C47" s="3" t="s">
        <v>21</v>
      </c>
      <c r="D47" s="3" t="s">
        <v>58</v>
      </c>
      <c r="E47" s="2"/>
      <c r="F47" s="2"/>
      <c r="G47" s="5">
        <v>46114</v>
      </c>
      <c r="H47" s="5">
        <v>46236</v>
      </c>
      <c r="I47" s="4" t="s">
        <v>17</v>
      </c>
      <c r="J47" s="6">
        <f t="shared" si="1"/>
        <v>122</v>
      </c>
      <c r="K47" s="4" t="str">
        <f t="shared" ca="1" si="2"/>
        <v>No</v>
      </c>
      <c r="L47" s="7">
        <f>IF(I47="Completed","0",IF($H47="","",$H47-'[2]Read Me'!$B$4))</f>
        <v>49</v>
      </c>
      <c r="M47" s="4" t="str">
        <f>IF($I47="Complete","Green",IF($H47="","Amber",IF($H47&lt;'[2]Read Me'!$B$4,"Red",IF($H47-'[2]Read Me'!$B$4&lt;=21,"Amber","Green"))))</f>
        <v>Green</v>
      </c>
      <c r="N47" s="3"/>
      <c r="O47" t="str">
        <f>IF($I47&lt;&gt;"Complete",IF(COUNTIFS($A$4:$A46,$A47,$B$4:$B46,$B47,$I$4:$I46,"&lt;&gt;Complete")=0,$A47&amp;"|"&amp;$B47,""),"")</f>
        <v/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/>
      <c r="B48" s="2"/>
      <c r="C48" s="3"/>
      <c r="D48" s="3"/>
      <c r="E48" s="2"/>
      <c r="F48" s="2"/>
      <c r="G48" s="5"/>
      <c r="H48" s="5"/>
      <c r="I48" s="4"/>
      <c r="J48" s="6" t="str">
        <f t="shared" si="1"/>
        <v/>
      </c>
      <c r="K48" s="4" t="str">
        <f t="shared" ca="1" si="2"/>
        <v/>
      </c>
      <c r="L48" s="7" t="str">
        <f>IF(I48="Completed","0",IF($H48="","",$H48-'[2]Read Me'!$B$4))</f>
        <v/>
      </c>
      <c r="M48" s="4" t="str">
        <f>IF($I48="Complete","Green",IF($H48="","Amber",IF($H48&lt;'[2]Read Me'!$B$4,"Red",IF($H48-'[2]Read Me'!$B$4&lt;=21,"Amber","Green"))))</f>
        <v>Amber</v>
      </c>
      <c r="N48" s="3"/>
      <c r="O48" t="str">
        <f>IF($I48&lt;&gt;"Complete",IF(COUNTIFS($A$4:$A47,$A48,$B$4:$B47,$B48,$I$4:$I47,"&lt;&gt;Complete")=0,$A48&amp;"|"&amp;$B48,""),"")</f>
        <v>|</v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/>
      <c r="B49" s="2"/>
      <c r="C49" s="3"/>
      <c r="D49" s="3"/>
      <c r="E49" s="2"/>
      <c r="F49" s="2"/>
      <c r="G49" s="5"/>
      <c r="H49" s="5"/>
      <c r="I49" s="4"/>
      <c r="J49" s="6" t="str">
        <f t="shared" si="1"/>
        <v/>
      </c>
      <c r="K49" s="4" t="str">
        <f t="shared" ca="1" si="2"/>
        <v/>
      </c>
      <c r="L49" s="7" t="str">
        <f>IF(I49="Completed","0",IF($H49="","",$H49-'[2]Read Me'!$B$4))</f>
        <v/>
      </c>
      <c r="M49" s="4" t="str">
        <f>IF($I49="Complete","Green",IF($H49="","Amber",IF($H49&lt;'[2]Read Me'!$B$4,"Red",IF($H49-'[2]Read Me'!$B$4&lt;=21,"Amber","Green"))))</f>
        <v>Amber</v>
      </c>
      <c r="N49" s="3"/>
      <c r="O49" t="str">
        <f>IF($I49&lt;&gt;"Complete",IF(COUNTIFS($A$4:$A48,$A49,$B$4:$B48,$B49,$I$4:$I48,"&lt;&gt;Complete")=0,$A49&amp;"|"&amp;$B49,""),"")</f>
        <v>|</v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/>
      <c r="B50" s="2"/>
      <c r="C50" s="3"/>
      <c r="D50" s="3"/>
      <c r="E50" s="2"/>
      <c r="F50" s="2"/>
      <c r="G50" s="5"/>
      <c r="H50" s="5"/>
      <c r="I50" s="4"/>
      <c r="J50" s="6" t="str">
        <f t="shared" si="1"/>
        <v/>
      </c>
      <c r="K50" s="4" t="str">
        <f t="shared" ca="1" si="2"/>
        <v/>
      </c>
      <c r="L50" s="7" t="str">
        <f>IF(I50="Completed","0",IF($H50="","",$H50-'[2]Read Me'!$B$4))</f>
        <v/>
      </c>
      <c r="M50" s="4" t="str">
        <f>IF($I50="Complete","Green",IF($H50="","Amber",IF($H50&lt;'[2]Read Me'!$B$4,"Red",IF($H50-'[2]Read Me'!$B$4&lt;=21,"Amber","Green"))))</f>
        <v>Amber</v>
      </c>
      <c r="N50" s="3"/>
      <c r="O50" t="str">
        <f>IF($I50&lt;&gt;"Complete",IF(COUNTIFS($A$4:$A49,$A50,$B$4:$B49,$B50,$I$4:$I49,"&lt;&gt;Complete")=0,$A50&amp;"|"&amp;$B50,""),"")</f>
        <v>|</v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/>
      <c r="B51" s="2"/>
      <c r="C51" s="3"/>
      <c r="D51" s="3"/>
      <c r="E51" s="2"/>
      <c r="F51" s="2"/>
      <c r="G51" s="5"/>
      <c r="H51" s="5"/>
      <c r="I51" s="4"/>
      <c r="J51" s="6" t="str">
        <f t="shared" si="1"/>
        <v/>
      </c>
      <c r="K51" s="4" t="str">
        <f t="shared" ca="1" si="2"/>
        <v/>
      </c>
      <c r="L51" s="7" t="str">
        <f>IF(I51="Completed","0",IF($H51="","",$H51-'[2]Read Me'!$B$4))</f>
        <v/>
      </c>
      <c r="M51" s="4" t="str">
        <f>IF($I51="Complete","Green",IF($H51="","Amber",IF($H51&lt;'[2]Read Me'!$B$4,"Red",IF($H51-'[2]Read Me'!$B$4&lt;=21,"Amber","Green"))))</f>
        <v>Amber</v>
      </c>
      <c r="N51" s="3"/>
      <c r="O51" t="str">
        <f>IF($I51&lt;&gt;"Complete",IF(COUNTIFS($A$4:$A50,$A51,$B$4:$B50,$B51,$I$4:$I50,"&lt;&gt;Complete")=0,$A51&amp;"|"&amp;$B51,""),"")</f>
        <v>|</v>
      </c>
      <c r="P51" t="str">
        <f ca="1">IF($K51="Yes",COUNTIFS($K$4:$K51,"Yes"),"")</f>
        <v/>
      </c>
      <c r="Q51">
        <f t="shared" ca="1" si="3"/>
        <v>0</v>
      </c>
      <c r="R51" t="str">
        <f ca="1">IF($Q51=1,SUM($Q$4:$Q51),"")</f>
        <v/>
      </c>
    </row>
    <row r="52" spans="1:18" ht="33.75" customHeight="1" x14ac:dyDescent="0.3">
      <c r="A52" s="2"/>
      <c r="B52" s="2"/>
      <c r="C52" s="3"/>
      <c r="D52" s="3"/>
      <c r="E52" s="2"/>
      <c r="F52" s="2"/>
      <c r="G52" s="5"/>
      <c r="H52" s="5"/>
      <c r="I52" s="4"/>
      <c r="J52" s="6" t="str">
        <f t="shared" si="1"/>
        <v/>
      </c>
      <c r="K52" s="4" t="str">
        <f t="shared" ca="1" si="2"/>
        <v/>
      </c>
      <c r="L52" s="7" t="str">
        <f>IF(I52="Completed","0",IF($H52="","",$H52-'[2]Read Me'!$B$4))</f>
        <v/>
      </c>
      <c r="M52" s="4" t="str">
        <f>IF($I52="Complete","Green",IF($H52="","Amber",IF($H52&lt;'[2]Read Me'!$B$4,"Red",IF($H52-'[2]Read Me'!$B$4&lt;=21,"Amber","Green"))))</f>
        <v>Amber</v>
      </c>
      <c r="N52" s="3"/>
      <c r="O52" t="str">
        <f>IF($I52&lt;&gt;"Complete",IF(COUNTIFS($A$4:$A51,$A52,$B$4:$B51,$B52,$I$4:$I51,"&lt;&gt;Complete")=0,$A52&amp;"|"&amp;$B52,""),"")</f>
        <v>|</v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/>
      <c r="B53" s="2"/>
      <c r="C53" s="3"/>
      <c r="D53" s="3"/>
      <c r="E53" s="2"/>
      <c r="F53" s="2"/>
      <c r="G53" s="5"/>
      <c r="H53" s="5"/>
      <c r="I53" s="4"/>
      <c r="J53" s="6" t="str">
        <f t="shared" si="1"/>
        <v/>
      </c>
      <c r="K53" s="4" t="str">
        <f t="shared" ca="1" si="2"/>
        <v/>
      </c>
      <c r="L53" s="7" t="str">
        <f>IF(I53="Completed","0",IF($H53="","",$H53-'[2]Read Me'!$B$4))</f>
        <v/>
      </c>
      <c r="M53" s="4" t="str">
        <f>IF($I53="Complete","Green",IF($H53="","Amber",IF($H53&lt;'[2]Read Me'!$B$4,"Red",IF($H53-'[2]Read Me'!$B$4&lt;=21,"Amber","Green"))))</f>
        <v>Amber</v>
      </c>
      <c r="N53" s="3"/>
      <c r="O53" t="str">
        <f>IF($I53&lt;&gt;"Complete",IF(COUNTIFS($A$4:$A52,$A53,$B$4:$B52,$B53,$I$4:$I52,"&lt;&gt;Complete")=0,$A53&amp;"|"&amp;$B53,""),"")</f>
        <v>|</v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/>
      <c r="B54" s="2"/>
      <c r="C54" s="3"/>
      <c r="D54" s="3"/>
      <c r="E54" s="2"/>
      <c r="F54" s="2"/>
      <c r="G54" s="5"/>
      <c r="H54" s="5"/>
      <c r="I54" s="4"/>
      <c r="J54" s="6" t="str">
        <f t="shared" si="1"/>
        <v/>
      </c>
      <c r="K54" s="4" t="str">
        <f t="shared" ca="1" si="2"/>
        <v/>
      </c>
      <c r="L54" s="7" t="str">
        <f>IF(I54="Completed","0",IF($H54="","",$H54-'[2]Read Me'!$B$4))</f>
        <v/>
      </c>
      <c r="M54" s="4" t="str">
        <f>IF($I54="Complete","Green",IF($H54="","Amber",IF($H54&lt;'[2]Read Me'!$B$4,"Red",IF($H54-'[2]Read Me'!$B$4&lt;=21,"Amber","Green"))))</f>
        <v>Amber</v>
      </c>
      <c r="N54" s="3"/>
      <c r="O54" t="str">
        <f>IF($I54&lt;&gt;"Complete",IF(COUNTIFS($A$4:$A53,$A54,$B$4:$B53,$B54,$I$4:$I53,"&lt;&gt;Complete")=0,$A54&amp;"|"&amp;$B54,""),"")</f>
        <v>|</v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/>
      <c r="B55" s="2"/>
      <c r="C55" s="3"/>
      <c r="D55" s="3"/>
      <c r="E55" s="2"/>
      <c r="F55" s="2"/>
      <c r="G55" s="5"/>
      <c r="H55" s="5"/>
      <c r="I55" s="4"/>
      <c r="J55" s="6" t="str">
        <f t="shared" si="1"/>
        <v/>
      </c>
      <c r="K55" s="4" t="str">
        <f t="shared" ca="1" si="2"/>
        <v/>
      </c>
      <c r="L55" s="7" t="str">
        <f>IF(I55="Completed","0",IF($H55="","",$H55-'[2]Read Me'!$B$4))</f>
        <v/>
      </c>
      <c r="M55" s="4" t="str">
        <f>IF($I55="Complete","Green",IF($H55="","Amber",IF($H55&lt;'[2]Read Me'!$B$4,"Red",IF($H55-'[2]Read Me'!$B$4&lt;=21,"Amber","Green"))))</f>
        <v>Amber</v>
      </c>
      <c r="N55" s="3"/>
      <c r="O55" t="str">
        <f>IF($I55&lt;&gt;"Complete",IF(COUNTIFS($A$4:$A54,$A55,$B$4:$B54,$B55,$I$4:$I54,"&lt;&gt;Complete")=0,$A55&amp;"|"&amp;$B55,""),"")</f>
        <v>|</v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/>
      <c r="B56" s="2"/>
      <c r="C56" s="3"/>
      <c r="D56" s="3"/>
      <c r="E56" s="2"/>
      <c r="F56" s="2"/>
      <c r="G56" s="5"/>
      <c r="H56" s="5"/>
      <c r="I56" s="4"/>
      <c r="J56" s="6" t="str">
        <f t="shared" si="1"/>
        <v/>
      </c>
      <c r="K56" s="4" t="str">
        <f t="shared" ca="1" si="2"/>
        <v/>
      </c>
      <c r="L56" s="7" t="str">
        <f>IF(I56="Completed","0",IF($H56="","",$H56-'[2]Read Me'!$B$4))</f>
        <v/>
      </c>
      <c r="M56" s="4" t="str">
        <f>IF($I56="Complete","Green",IF($H56="","Amber",IF($H56&lt;'[2]Read Me'!$B$4,"Red",IF($H56-'[2]Read Me'!$B$4&lt;=21,"Amber","Green"))))</f>
        <v>Amber</v>
      </c>
      <c r="N56" s="3"/>
      <c r="O56" t="str">
        <f>IF($I56&lt;&gt;"Complete",IF(COUNTIFS($A$4:$A55,$A56,$B$4:$B55,$B56,$I$4:$I55,"&lt;&gt;Complete")=0,$A56&amp;"|"&amp;$B56,""),"")</f>
        <v>|</v>
      </c>
      <c r="P56" t="str">
        <f ca="1">IF($K56="Yes",COUNTIFS($K$4:$K56,"Yes"),"")</f>
        <v/>
      </c>
      <c r="Q56">
        <f t="shared" ca="1" si="3"/>
        <v>0</v>
      </c>
      <c r="R56" t="str">
        <f ca="1">IF($Q56=1,SUM($Q$4:$Q56),"")</f>
        <v/>
      </c>
    </row>
    <row r="57" spans="1:18" ht="14.25" customHeight="1" x14ac:dyDescent="0.3">
      <c r="A57" s="2"/>
      <c r="B57" s="2"/>
      <c r="C57" s="3"/>
      <c r="D57" s="3"/>
      <c r="E57" s="2"/>
      <c r="F57" s="2"/>
      <c r="G57" s="5"/>
      <c r="H57" s="5"/>
      <c r="I57" s="4"/>
      <c r="J57" s="6" t="str">
        <f t="shared" si="1"/>
        <v/>
      </c>
      <c r="K57" s="4" t="str">
        <f t="shared" ca="1" si="2"/>
        <v/>
      </c>
      <c r="L57" s="7" t="str">
        <f>IF(I57="Completed","0",IF($H57="","",$H57-'[2]Read Me'!$B$4))</f>
        <v/>
      </c>
      <c r="M57" s="4" t="str">
        <f>IF($I57="Complete","Green",IF($H57="","Amber",IF($H57&lt;'[2]Read Me'!$B$4,"Red",IF($H57-'[2]Read Me'!$B$4&lt;=21,"Amber","Green"))))</f>
        <v>Amber</v>
      </c>
      <c r="N57" s="3"/>
      <c r="O57" t="str">
        <f>IF($I57&lt;&gt;"Complete",IF(COUNTIFS($A$4:$A56,$A57,$B$4:$B56,$B57,$I$4:$I56,"&lt;&gt;Complete")=0,$A57&amp;"|"&amp;$B57,""),"")</f>
        <v>|</v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/>
      <c r="B58" s="2"/>
      <c r="C58" s="3"/>
      <c r="D58" s="3"/>
      <c r="E58" s="2"/>
      <c r="F58" s="2"/>
      <c r="G58" s="5"/>
      <c r="H58" s="5"/>
      <c r="I58" s="4"/>
      <c r="J58" s="6" t="str">
        <f t="shared" si="1"/>
        <v/>
      </c>
      <c r="K58" s="4" t="str">
        <f t="shared" ca="1" si="2"/>
        <v/>
      </c>
      <c r="L58" s="7" t="str">
        <f>IF(I58="Completed","0",IF($H58="","",$H58-'[2]Read Me'!$B$4))</f>
        <v/>
      </c>
      <c r="M58" s="4" t="str">
        <f>IF($I58="Complete","Green",IF($H58="","Amber",IF($H58&lt;'[2]Read Me'!$B$4,"Red",IF($H58-'[2]Read Me'!$B$4&lt;=21,"Amber","Green"))))</f>
        <v>Amber</v>
      </c>
      <c r="N58" s="3"/>
      <c r="O58" t="str">
        <f>IF($I58&lt;&gt;"Complete",IF(COUNTIFS($A$4:$A57,$A58,$B$4:$B57,$B58,$I$4:$I57,"&lt;&gt;Complete")=0,$A58&amp;"|"&amp;$B58,""),"")</f>
        <v>|</v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/>
      <c r="B59" s="2"/>
      <c r="C59" s="3"/>
      <c r="D59" s="3"/>
      <c r="E59" s="2"/>
      <c r="F59" s="2"/>
      <c r="G59" s="5"/>
      <c r="H59" s="5"/>
      <c r="I59" s="4"/>
      <c r="J59" s="6" t="str">
        <f t="shared" si="1"/>
        <v/>
      </c>
      <c r="K59" s="4" t="str">
        <f t="shared" ca="1" si="2"/>
        <v/>
      </c>
      <c r="L59" s="7" t="str">
        <f>IF(I59="Completed","0",IF($H59="","",$H59-'[2]Read Me'!$B$4))</f>
        <v/>
      </c>
      <c r="M59" s="4" t="str">
        <f>IF($I59="Complete","Green",IF($H59="","Amber",IF($H59&lt;'[2]Read Me'!$B$4,"Red",IF($H59-'[2]Read Me'!$B$4&lt;=21,"Amber","Green"))))</f>
        <v>Amber</v>
      </c>
      <c r="N59" s="3"/>
      <c r="O59" t="str">
        <f>IF($I59&lt;&gt;"Complete",IF(COUNTIFS($A$4:$A58,$A59,$B$4:$B58,$B59,$I$4:$I58,"&lt;&gt;Complete")=0,$A59&amp;"|"&amp;$B59,""),"")</f>
        <v>|</v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/>
      <c r="B60" s="2"/>
      <c r="C60" s="3"/>
      <c r="D60" s="3"/>
      <c r="E60" s="2"/>
      <c r="F60" s="2"/>
      <c r="G60" s="5"/>
      <c r="H60" s="5"/>
      <c r="I60" s="4"/>
      <c r="J60" s="6" t="str">
        <f t="shared" si="1"/>
        <v/>
      </c>
      <c r="K60" s="4" t="str">
        <f t="shared" ca="1" si="2"/>
        <v/>
      </c>
      <c r="L60" s="7" t="str">
        <f>IF(I60="Completed","0",IF($H60="","",$H60-'[2]Read Me'!$B$4))</f>
        <v/>
      </c>
      <c r="M60" s="4" t="str">
        <f>IF($I60="Complete","Green",IF($H60="","Amber",IF($H60&lt;'[2]Read Me'!$B$4,"Red",IF($H60-'[2]Read Me'!$B$4&lt;=21,"Amber","Green"))))</f>
        <v>Amber</v>
      </c>
      <c r="N60" s="3"/>
      <c r="O60" t="str">
        <f>IF($I60&lt;&gt;"Complete",IF(COUNTIFS($A$4:$A59,$A60,$B$4:$B59,$B60,$I$4:$I59,"&lt;&gt;Complete")=0,$A60&amp;"|"&amp;$B60,""),"")</f>
        <v>|</v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/>
      <c r="B61" s="2"/>
      <c r="C61" s="3"/>
      <c r="D61" s="3"/>
      <c r="E61" s="2"/>
      <c r="F61" s="2"/>
      <c r="G61" s="5"/>
      <c r="H61" s="5"/>
      <c r="I61" s="4"/>
      <c r="J61" s="6" t="str">
        <f t="shared" si="1"/>
        <v/>
      </c>
      <c r="K61" s="4" t="str">
        <f t="shared" ca="1" si="2"/>
        <v/>
      </c>
      <c r="L61" s="7" t="str">
        <f>IF(I61="Completed","0",IF($H61="","",$H61-'[2]Read Me'!$B$4))</f>
        <v/>
      </c>
      <c r="M61" s="4" t="str">
        <f>IF($I61="Complete","Green",IF($H61="","Amber",IF($H61&lt;'[2]Read Me'!$B$4,"Red",IF($H61-'[2]Read Me'!$B$4&lt;=21,"Amber","Green"))))</f>
        <v>Amber</v>
      </c>
      <c r="N61" s="3"/>
      <c r="O61" t="str">
        <f>IF($I61&lt;&gt;"Complete",IF(COUNTIFS($A$4:$A60,$A61,$B$4:$B60,$B61,$I$4:$I60,"&lt;&gt;Complete")=0,$A61&amp;"|"&amp;$B61,""),"")</f>
        <v>|</v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/>
      <c r="B62" s="2"/>
      <c r="C62" s="3"/>
      <c r="D62" s="3"/>
      <c r="E62" s="2"/>
      <c r="F62" s="2"/>
      <c r="G62" s="5"/>
      <c r="H62" s="5"/>
      <c r="I62" s="4"/>
      <c r="J62" s="6" t="str">
        <f t="shared" si="1"/>
        <v/>
      </c>
      <c r="K62" s="4" t="str">
        <f t="shared" ca="1" si="2"/>
        <v/>
      </c>
      <c r="L62" s="7" t="str">
        <f>IF(I62="Completed","0",IF($H62="","",$H62-'[2]Read Me'!$B$4))</f>
        <v/>
      </c>
      <c r="M62" s="4" t="str">
        <f>IF($I62="Complete","Green",IF($H62="","Amber",IF($H62&lt;'[2]Read Me'!$B$4,"Red",IF($H62-'[2]Read Me'!$B$4&lt;=21,"Amber","Green"))))</f>
        <v>Amber</v>
      </c>
      <c r="N62" s="3"/>
      <c r="O62" t="str">
        <f>IF($I62&lt;&gt;"Complete",IF(COUNTIFS($A$4:$A61,$A62,$B$4:$B61,$B62,$I$4:$I61,"&lt;&gt;Complete")=0,$A62&amp;"|"&amp;$B62,""),"")</f>
        <v>|</v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/>
      <c r="B63" s="2"/>
      <c r="C63" s="3"/>
      <c r="D63" s="3"/>
      <c r="E63" s="2"/>
      <c r="F63" s="2"/>
      <c r="G63" s="5"/>
      <c r="H63" s="5"/>
      <c r="I63" s="4"/>
      <c r="J63" s="6" t="str">
        <f t="shared" si="1"/>
        <v/>
      </c>
      <c r="K63" s="4" t="str">
        <f t="shared" ca="1" si="2"/>
        <v/>
      </c>
      <c r="L63" s="7" t="str">
        <f>IF(I63="Completed","0",IF($H63="","",$H63-'[2]Read Me'!$B$4))</f>
        <v/>
      </c>
      <c r="M63" s="4" t="str">
        <f>IF($I63="Complete","Green",IF($H63="","Amber",IF($H63&lt;'[2]Read Me'!$B$4,"Red",IF($H63-'[2]Read Me'!$B$4&lt;=21,"Amber","Green"))))</f>
        <v>Amber</v>
      </c>
      <c r="N63" s="3"/>
      <c r="O63" t="str">
        <f>IF($I63&lt;&gt;"Complete",IF(COUNTIFS($A$4:$A62,$A63,$B$4:$B62,$B63,$I$4:$I62,"&lt;&gt;Complete")=0,$A63&amp;"|"&amp;$B63,""),"")</f>
        <v>|</v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/>
      <c r="B64" s="2"/>
      <c r="C64" s="3"/>
      <c r="D64" s="3"/>
      <c r="E64" s="2"/>
      <c r="F64" s="2"/>
      <c r="G64" s="5"/>
      <c r="H64" s="5"/>
      <c r="I64" s="4"/>
      <c r="J64" s="6" t="str">
        <f t="shared" si="1"/>
        <v/>
      </c>
      <c r="K64" s="4" t="str">
        <f t="shared" ca="1" si="2"/>
        <v/>
      </c>
      <c r="L64" s="7" t="str">
        <f>IF(I64="Completed","0",IF($H64="","",$H64-'[2]Read Me'!$B$4))</f>
        <v/>
      </c>
      <c r="M64" s="4" t="str">
        <f>IF($I64="Complete","Green",IF($H64="","Amber",IF($H64&lt;'[2]Read Me'!$B$4,"Red",IF($H64-'[2]Read Me'!$B$4&lt;=21,"Amber","Green"))))</f>
        <v>Amber</v>
      </c>
      <c r="N64" s="3"/>
      <c r="O64" t="str">
        <f>IF($I64&lt;&gt;"Complete",IF(COUNTIFS($A$4:$A63,$A64,$B$4:$B63,$B64,$I$4:$I63,"&lt;&gt;Complete")=0,$A64&amp;"|"&amp;$B64,""),"")</f>
        <v>|</v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/>
      <c r="B65" s="2"/>
      <c r="C65" s="3"/>
      <c r="D65" s="3"/>
      <c r="E65" s="2"/>
      <c r="F65" s="2"/>
      <c r="G65" s="5"/>
      <c r="H65" s="5"/>
      <c r="I65" s="4"/>
      <c r="J65" s="6" t="str">
        <f t="shared" si="1"/>
        <v/>
      </c>
      <c r="K65" s="4" t="str">
        <f t="shared" ca="1" si="2"/>
        <v/>
      </c>
      <c r="L65" s="7" t="str">
        <f>IF(I65="Completed","0",IF($H65="","",$H65-'[2]Read Me'!$B$4))</f>
        <v/>
      </c>
      <c r="M65" s="4" t="str">
        <f>IF($I65="Complete","Green",IF($H65="","Amber",IF($H65&lt;'[2]Read Me'!$B$4,"Red",IF($H65-'[2]Read Me'!$B$4&lt;=21,"Amber","Green"))))</f>
        <v>Amber</v>
      </c>
      <c r="N65" s="3"/>
      <c r="O65" t="str">
        <f>IF($I65&lt;&gt;"Complete",IF(COUNTIFS($A$4:$A64,$A65,$B$4:$B64,$B65,$I$4:$I64,"&lt;&gt;Complete")=0,$A65&amp;"|"&amp;$B65,""),"")</f>
        <v>|</v>
      </c>
      <c r="P65" t="str">
        <f ca="1">IF($K65="Yes",COUNTIFS($K$4:$K65,"Yes"),"")</f>
        <v/>
      </c>
      <c r="Q65">
        <f t="shared" ca="1" si="3"/>
        <v>0</v>
      </c>
      <c r="R65" t="str">
        <f ca="1">IF($Q65=1,SUM($Q$4:$Q65),"")</f>
        <v/>
      </c>
    </row>
    <row r="66" spans="1:18" ht="22.5" customHeight="1" x14ac:dyDescent="0.3">
      <c r="A66" s="2"/>
      <c r="B66" s="2"/>
      <c r="C66" s="3"/>
      <c r="D66" s="3"/>
      <c r="E66" s="2"/>
      <c r="F66" s="2"/>
      <c r="G66" s="5"/>
      <c r="H66" s="5"/>
      <c r="I66" s="4"/>
      <c r="J66" s="6" t="str">
        <f t="shared" si="1"/>
        <v/>
      </c>
      <c r="K66" s="4" t="str">
        <f t="shared" ca="1" si="2"/>
        <v/>
      </c>
      <c r="L66" s="7" t="str">
        <f>IF(I66="Completed","0",IF($H66="","",$H66-'[2]Read Me'!$B$4))</f>
        <v/>
      </c>
      <c r="M66" s="4" t="str">
        <f>IF($I66="Complete","Green",IF($H66="","Amber",IF($H66&lt;'[2]Read Me'!$B$4,"Red",IF($H66-'[2]Read Me'!$B$4&lt;=21,"Amber","Green"))))</f>
        <v>Amber</v>
      </c>
      <c r="N66" s="3"/>
      <c r="O66" t="str">
        <f>IF($I66&lt;&gt;"Complete",IF(COUNTIFS($A$4:$A65,$A66,$B$4:$B65,$B66,$I$4:$I65,"&lt;&gt;Complete")=0,$A66&amp;"|"&amp;$B66,""),"")</f>
        <v>|</v>
      </c>
      <c r="P66" t="str">
        <f ca="1">IF($K66="Yes",COUNTIFS($K$4:$K66,"Yes"),"")</f>
        <v/>
      </c>
      <c r="Q66">
        <f t="shared" ca="1" si="3"/>
        <v>0</v>
      </c>
      <c r="R66" t="str">
        <f ca="1">IF($Q66=1,SUM($Q$4:$Q66),"")</f>
        <v/>
      </c>
    </row>
    <row r="67" spans="1:18" ht="22.5" customHeight="1" x14ac:dyDescent="0.3">
      <c r="A67" s="2"/>
      <c r="B67" s="2"/>
      <c r="C67" s="3"/>
      <c r="D67" s="3"/>
      <c r="E67" s="2"/>
      <c r="F67" s="2"/>
      <c r="G67" s="5"/>
      <c r="H67" s="5"/>
      <c r="I67" s="4"/>
      <c r="J67" s="6" t="str">
        <f t="shared" si="1"/>
        <v/>
      </c>
      <c r="K67" s="4" t="str">
        <f t="shared" ca="1" si="2"/>
        <v/>
      </c>
      <c r="L67" s="7" t="str">
        <f>IF(I67="Completed","0",IF($H67="","",$H67-'[2]Read Me'!$B$4))</f>
        <v/>
      </c>
      <c r="M67" s="4" t="str">
        <f>IF($I67="Complete","Green",IF($H67="","Amber",IF($H67&lt;'[2]Read Me'!$B$4,"Red",IF($H67-'[2]Read Me'!$B$4&lt;=21,"Amber","Green"))))</f>
        <v>Amber</v>
      </c>
      <c r="N67" s="3"/>
      <c r="O67" t="str">
        <f>IF($I67&lt;&gt;"Complete",IF(COUNTIFS($A$4:$A66,$A67,$B$4:$B66,$B67,$I$4:$I66,"&lt;&gt;Complete")=0,$A67&amp;"|"&amp;$B67,""),"")</f>
        <v>|</v>
      </c>
      <c r="P67" t="str">
        <f ca="1">IF($K67="Yes",COUNTIFS($K$4:$K67,"Yes"),"")</f>
        <v/>
      </c>
      <c r="Q67">
        <f t="shared" ca="1" si="3"/>
        <v>0</v>
      </c>
      <c r="R67" t="str">
        <f ca="1">IF($Q67=1,SUM($Q$4:$Q67),"")</f>
        <v/>
      </c>
    </row>
    <row r="68" spans="1:18" ht="22.5" customHeight="1" x14ac:dyDescent="0.3">
      <c r="A68" s="2"/>
      <c r="B68" s="2"/>
      <c r="C68" s="3"/>
      <c r="D68" s="3"/>
      <c r="E68" s="2"/>
      <c r="F68" s="2"/>
      <c r="G68" s="5"/>
      <c r="H68" s="5"/>
      <c r="I68" s="4"/>
      <c r="J68" s="6" t="str">
        <f t="shared" ref="J68:J131" si="4">IF(OR($G68="",$H68=""),"",$H68-$G68)</f>
        <v/>
      </c>
      <c r="K68" s="4" t="str">
        <f t="shared" ref="K68:K131" ca="1" si="5">IF(C68="","",IF(H68="","",IF($I68="completed","-",IF($H68&gt;TODAY(),"No","Yes"))))</f>
        <v/>
      </c>
      <c r="L68" s="7" t="str">
        <f>IF(I68="Completed","0",IF($H68="","",$H68-'[2]Read Me'!$B$4))</f>
        <v/>
      </c>
      <c r="M68" s="4" t="str">
        <f>IF($I68="Complete","Green",IF($H68="","Amber",IF($H68&lt;'[2]Read Me'!$B$4,"Red",IF($H68-'[2]Read Me'!$B$4&lt;=21,"Amber","Green"))))</f>
        <v>Amber</v>
      </c>
      <c r="N68" s="3"/>
      <c r="O68" t="str">
        <f>IF($I68&lt;&gt;"Complete",IF(COUNTIFS($A$4:$A67,$A68,$B$4:$B67,$B68,$I$4:$I67,"&lt;&gt;Complete")=0,$A68&amp;"|"&amp;$B68,""),"")</f>
        <v>|</v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/>
      <c r="B69" s="2"/>
      <c r="C69" s="3"/>
      <c r="D69" s="3"/>
      <c r="E69" s="2"/>
      <c r="F69" s="2"/>
      <c r="G69" s="5"/>
      <c r="H69" s="5"/>
      <c r="I69" s="4"/>
      <c r="J69" s="6" t="str">
        <f t="shared" si="4"/>
        <v/>
      </c>
      <c r="K69" s="4" t="str">
        <f t="shared" ca="1" si="5"/>
        <v/>
      </c>
      <c r="L69" s="7" t="str">
        <f>IF(I69="Completed","0",IF($H69="","",$H69-'[2]Read Me'!$B$4))</f>
        <v/>
      </c>
      <c r="M69" s="4" t="str">
        <f>IF($I69="Complete","Green",IF($H69="","Amber",IF($H69&lt;'[2]Read Me'!$B$4,"Red",IF($H69-'[2]Read Me'!$B$4&lt;=21,"Amber","Green"))))</f>
        <v>Amber</v>
      </c>
      <c r="N69" s="3"/>
      <c r="O69" t="str">
        <f>IF($I69&lt;&gt;"Complete",IF(COUNTIFS($A$4:$A68,$A69,$B$4:$B68,$B69,$I$4:$I68,"&lt;&gt;Complete")=0,$A69&amp;"|"&amp;$B69,""),"")</f>
        <v>|</v>
      </c>
      <c r="P69" t="str">
        <f ca="1">IF($K69="Yes",COUNTIFS($K$4:$K69,"Yes"),"")</f>
        <v/>
      </c>
      <c r="Q69">
        <f t="shared" ca="1" si="6"/>
        <v>0</v>
      </c>
      <c r="R69" t="str">
        <f ca="1">IF($Q69=1,SUM($Q$4:$Q69),"")</f>
        <v/>
      </c>
    </row>
    <row r="70" spans="1:18" ht="22.5" customHeight="1" x14ac:dyDescent="0.3">
      <c r="A70" s="2"/>
      <c r="B70" s="2"/>
      <c r="C70" s="3"/>
      <c r="D70" s="3"/>
      <c r="E70" s="2"/>
      <c r="F70" s="2"/>
      <c r="G70" s="5"/>
      <c r="H70" s="5"/>
      <c r="I70" s="4"/>
      <c r="J70" s="6" t="str">
        <f t="shared" si="4"/>
        <v/>
      </c>
      <c r="K70" s="4" t="str">
        <f t="shared" ca="1" si="5"/>
        <v/>
      </c>
      <c r="L70" s="7" t="str">
        <f>IF(I70="Completed","0",IF($H70="","",$H70-'[2]Read Me'!$B$4))</f>
        <v/>
      </c>
      <c r="M70" s="4" t="str">
        <f>IF($I70="Complete","Green",IF($H70="","Amber",IF($H70&lt;'[2]Read Me'!$B$4,"Red",IF($H70-'[2]Read Me'!$B$4&lt;=21,"Amber","Green"))))</f>
        <v>Amber</v>
      </c>
      <c r="N70" s="3"/>
      <c r="O70" t="str">
        <f>IF($I70&lt;&gt;"Complete",IF(COUNTIFS($A$4:$A69,$A70,$B$4:$B69,$B70,$I$4:$I69,"&lt;&gt;Complete")=0,$A70&amp;"|"&amp;$B70,""),"")</f>
        <v>|</v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/>
      <c r="B71" s="2"/>
      <c r="C71" s="3"/>
      <c r="D71" s="3"/>
      <c r="E71" s="2"/>
      <c r="F71" s="2"/>
      <c r="G71" s="5"/>
      <c r="H71" s="5"/>
      <c r="I71" s="4"/>
      <c r="J71" s="6" t="str">
        <f t="shared" si="4"/>
        <v/>
      </c>
      <c r="K71" s="4" t="str">
        <f t="shared" ca="1" si="5"/>
        <v/>
      </c>
      <c r="L71" s="7" t="str">
        <f>IF(I71="Completed","0",IF($H71="","",$H71-'[2]Read Me'!$B$4))</f>
        <v/>
      </c>
      <c r="M71" s="4" t="str">
        <f>IF($I71="Complete","Green",IF($H71="","Amber",IF($H71&lt;'[2]Read Me'!$B$4,"Red",IF($H71-'[2]Read Me'!$B$4&lt;=21,"Amber","Green"))))</f>
        <v>Amber</v>
      </c>
      <c r="N71" s="3"/>
      <c r="O71" t="str">
        <f>IF($I71&lt;&gt;"Complete",IF(COUNTIFS($A$4:$A70,$A71,$B$4:$B70,$B71,$I$4:$I70,"&lt;&gt;Complete")=0,$A71&amp;"|"&amp;$B71,""),"")</f>
        <v>|</v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/>
      <c r="B72" s="2"/>
      <c r="C72" s="3"/>
      <c r="D72" s="3"/>
      <c r="E72" s="2"/>
      <c r="F72" s="2"/>
      <c r="G72" s="5"/>
      <c r="H72" s="5"/>
      <c r="I72" s="4"/>
      <c r="J72" s="6" t="str">
        <f t="shared" si="4"/>
        <v/>
      </c>
      <c r="K72" s="4" t="str">
        <f t="shared" ca="1" si="5"/>
        <v/>
      </c>
      <c r="L72" s="7" t="str">
        <f>IF(I72="Completed","0",IF($H72="","",$H72-'[2]Read Me'!$B$4))</f>
        <v/>
      </c>
      <c r="M72" s="4" t="str">
        <f>IF($I72="Complete","Green",IF($H72="","Amber",IF($H72&lt;'[2]Read Me'!$B$4,"Red",IF($H72-'[2]Read Me'!$B$4&lt;=21,"Amber","Green"))))</f>
        <v>Amber</v>
      </c>
      <c r="N72" s="3"/>
      <c r="O72" t="str">
        <f>IF($I72&lt;&gt;"Complete",IF(COUNTIFS($A$4:$A71,$A72,$B$4:$B71,$B72,$I$4:$I71,"&lt;&gt;Complete")=0,$A72&amp;"|"&amp;$B72,""),"")</f>
        <v>|</v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/>
      <c r="B73" s="2"/>
      <c r="C73" s="3"/>
      <c r="D73" s="3"/>
      <c r="E73" s="2"/>
      <c r="F73" s="2"/>
      <c r="G73" s="5"/>
      <c r="H73" s="5"/>
      <c r="I73" s="4"/>
      <c r="J73" s="6" t="str">
        <f t="shared" si="4"/>
        <v/>
      </c>
      <c r="K73" s="4" t="str">
        <f t="shared" ca="1" si="5"/>
        <v/>
      </c>
      <c r="L73" s="7" t="str">
        <f>IF(I73="Completed","0",IF($H73="","",$H73-'[2]Read Me'!$B$4))</f>
        <v/>
      </c>
      <c r="M73" s="4" t="str">
        <f>IF($I73="Complete","Green",IF($H73="","Amber",IF($H73&lt;'[2]Read Me'!$B$4,"Red",IF($H73-'[2]Read Me'!$B$4&lt;=21,"Amber","Green"))))</f>
        <v>Amber</v>
      </c>
      <c r="N73" s="3"/>
      <c r="O73" t="str">
        <f>IF($I73&lt;&gt;"Complete",IF(COUNTIFS($A$4:$A72,$A73,$B$4:$B72,$B73,$I$4:$I72,"&lt;&gt;Complete")=0,$A73&amp;"|"&amp;$B73,""),"")</f>
        <v>|</v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/>
      <c r="B74" s="2"/>
      <c r="C74" s="3"/>
      <c r="D74" s="3"/>
      <c r="E74" s="2"/>
      <c r="F74" s="2"/>
      <c r="G74" s="5"/>
      <c r="H74" s="5"/>
      <c r="I74" s="4"/>
      <c r="J74" s="6" t="str">
        <f t="shared" si="4"/>
        <v/>
      </c>
      <c r="K74" s="4" t="str">
        <f t="shared" ca="1" si="5"/>
        <v/>
      </c>
      <c r="L74" s="7" t="str">
        <f>IF(I74="Completed","0",IF($H74="","",$H74-'[2]Read Me'!$B$4))</f>
        <v/>
      </c>
      <c r="M74" s="4" t="str">
        <f>IF($I74="Complete","Green",IF($H74="","Amber",IF($H74&lt;'[2]Read Me'!$B$4,"Red",IF($H74-'[2]Read Me'!$B$4&lt;=21,"Amber","Green"))))</f>
        <v>Amber</v>
      </c>
      <c r="N74" s="3"/>
      <c r="O74" t="str">
        <f>IF($I74&lt;&gt;"Complete",IF(COUNTIFS($A$4:$A73,$A74,$B$4:$B73,$B74,$I$4:$I73,"&lt;&gt;Complete")=0,$A74&amp;"|"&amp;$B74,""),"")</f>
        <v>|</v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/>
      <c r="B75" s="2"/>
      <c r="C75" s="3"/>
      <c r="D75" s="3"/>
      <c r="E75" s="2"/>
      <c r="F75" s="2"/>
      <c r="G75" s="5"/>
      <c r="H75" s="5"/>
      <c r="I75" s="4"/>
      <c r="J75" s="6" t="str">
        <f t="shared" si="4"/>
        <v/>
      </c>
      <c r="K75" s="4" t="str">
        <f t="shared" ca="1" si="5"/>
        <v/>
      </c>
      <c r="L75" s="7" t="str">
        <f>IF(I75="Completed","0",IF($H75="","",$H75-'[2]Read Me'!$B$4))</f>
        <v/>
      </c>
      <c r="M75" s="4" t="str">
        <f>IF($I75="Complete","Green",IF($H75="","Amber",IF($H75&lt;'[2]Read Me'!$B$4,"Red",IF($H75-'[2]Read Me'!$B$4&lt;=21,"Amber","Green"))))</f>
        <v>Amber</v>
      </c>
      <c r="N75" s="3"/>
      <c r="O75" t="str">
        <f>IF($I75&lt;&gt;"Complete",IF(COUNTIFS($A$4:$A74,$A75,$B$4:$B74,$B75,$I$4:$I74,"&lt;&gt;Complete")=0,$A75&amp;"|"&amp;$B75,""),"")</f>
        <v>|</v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/>
      <c r="B76" s="2"/>
      <c r="C76" s="3"/>
      <c r="D76" s="3"/>
      <c r="E76" s="2"/>
      <c r="F76" s="2"/>
      <c r="G76" s="5"/>
      <c r="H76" s="5"/>
      <c r="I76" s="4"/>
      <c r="J76" s="6" t="str">
        <f t="shared" si="4"/>
        <v/>
      </c>
      <c r="K76" s="4" t="str">
        <f t="shared" ca="1" si="5"/>
        <v/>
      </c>
      <c r="L76" s="7" t="str">
        <f>IF(I76="Completed","0",IF($H76="","",$H76-'[2]Read Me'!$B$4))</f>
        <v/>
      </c>
      <c r="M76" s="4" t="str">
        <f>IF($I76="Complete","Green",IF($H76="","Amber",IF($H76&lt;'[2]Read Me'!$B$4,"Red",IF($H76-'[2]Read Me'!$B$4&lt;=21,"Amber","Green"))))</f>
        <v>Amber</v>
      </c>
      <c r="N76" s="3"/>
      <c r="O76" t="str">
        <f>IF($I76&lt;&gt;"Complete",IF(COUNTIFS($A$4:$A75,$A76,$B$4:$B75,$B76,$I$4:$I75,"&lt;&gt;Complete")=0,$A76&amp;"|"&amp;$B76,""),"")</f>
        <v>|</v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/>
      <c r="B77" s="2"/>
      <c r="C77" s="3"/>
      <c r="D77" s="3"/>
      <c r="E77" s="2"/>
      <c r="F77" s="2"/>
      <c r="G77" s="5"/>
      <c r="H77" s="5"/>
      <c r="I77" s="4"/>
      <c r="J77" s="6" t="str">
        <f t="shared" si="4"/>
        <v/>
      </c>
      <c r="K77" s="4" t="str">
        <f t="shared" ca="1" si="5"/>
        <v/>
      </c>
      <c r="L77" s="7" t="str">
        <f>IF(I77="Completed","0",IF($H77="","",$H77-'[2]Read Me'!$B$4))</f>
        <v/>
      </c>
      <c r="M77" s="4" t="str">
        <f>IF($I77="Complete","Green",IF($H77="","Amber",IF($H77&lt;'[2]Read Me'!$B$4,"Red",IF($H77-'[2]Read Me'!$B$4&lt;=21,"Amber","Green"))))</f>
        <v>Amber</v>
      </c>
      <c r="N77" s="3"/>
      <c r="O77" t="str">
        <f>IF($I77&lt;&gt;"Complete",IF(COUNTIFS($A$4:$A76,$A77,$B$4:$B76,$B77,$I$4:$I76,"&lt;&gt;Complete")=0,$A77&amp;"|"&amp;$B77,""),"")</f>
        <v>|</v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/>
      <c r="B78" s="2"/>
      <c r="C78" s="3"/>
      <c r="D78" s="3"/>
      <c r="E78" s="2"/>
      <c r="F78" s="2"/>
      <c r="G78" s="5"/>
      <c r="H78" s="5"/>
      <c r="I78" s="4"/>
      <c r="J78" s="6" t="str">
        <f t="shared" si="4"/>
        <v/>
      </c>
      <c r="K78" s="4" t="str">
        <f t="shared" ca="1" si="5"/>
        <v/>
      </c>
      <c r="L78" s="7" t="str">
        <f>IF(I78="Completed","0",IF($H78="","",$H78-'[2]Read Me'!$B$4))</f>
        <v/>
      </c>
      <c r="M78" s="4" t="str">
        <f>IF($I78="Complete","Green",IF($H78="","Amber",IF($H78&lt;'[2]Read Me'!$B$4,"Red",IF($H78-'[2]Read Me'!$B$4&lt;=21,"Amber","Green"))))</f>
        <v>Amber</v>
      </c>
      <c r="N78" s="3"/>
      <c r="O78" t="str">
        <f>IF($I78&lt;&gt;"Complete",IF(COUNTIFS($A$4:$A77,$A78,$B$4:$B77,$B78,$I$4:$I77,"&lt;&gt;Complete")=0,$A78&amp;"|"&amp;$B78,""),"")</f>
        <v>|</v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/>
      <c r="B79" s="2"/>
      <c r="C79" s="3"/>
      <c r="D79" s="3"/>
      <c r="E79" s="2"/>
      <c r="F79" s="2"/>
      <c r="G79" s="5"/>
      <c r="H79" s="5"/>
      <c r="I79" s="4"/>
      <c r="J79" s="6" t="str">
        <f t="shared" si="4"/>
        <v/>
      </c>
      <c r="K79" s="4" t="str">
        <f t="shared" ca="1" si="5"/>
        <v/>
      </c>
      <c r="L79" s="7" t="str">
        <f>IF(I79="Completed","0",IF($H79="","",$H79-'[2]Read Me'!$B$4))</f>
        <v/>
      </c>
      <c r="M79" s="4" t="str">
        <f>IF($I79="Complete","Green",IF($H79="","Amber",IF($H79&lt;'[2]Read Me'!$B$4,"Red",IF($H79-'[2]Read Me'!$B$4&lt;=21,"Amber","Green"))))</f>
        <v>Amber</v>
      </c>
      <c r="N79" s="3"/>
      <c r="O79" t="str">
        <f>IF($I79&lt;&gt;"Complete",IF(COUNTIFS($A$4:$A78,$A79,$B$4:$B78,$B79,$I$4:$I78,"&lt;&gt;Complete")=0,$A79&amp;"|"&amp;$B79,""),"")</f>
        <v>|</v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/>
      <c r="B80" s="2"/>
      <c r="C80" s="3"/>
      <c r="D80" s="3"/>
      <c r="E80" s="2"/>
      <c r="F80" s="2"/>
      <c r="G80" s="5"/>
      <c r="H80" s="5"/>
      <c r="I80" s="4"/>
      <c r="J80" s="6" t="str">
        <f t="shared" si="4"/>
        <v/>
      </c>
      <c r="K80" s="4" t="str">
        <f t="shared" ca="1" si="5"/>
        <v/>
      </c>
      <c r="L80" s="7" t="str">
        <f>IF(I80="Completed","0",IF($H80="","",$H80-'[2]Read Me'!$B$4))</f>
        <v/>
      </c>
      <c r="M80" s="4" t="str">
        <f>IF($I80="Complete","Green",IF($H80="","Amber",IF($H80&lt;'[2]Read Me'!$B$4,"Red",IF($H80-'[2]Read Me'!$B$4&lt;=21,"Amber","Green"))))</f>
        <v>Amber</v>
      </c>
      <c r="N80" s="3"/>
      <c r="O80" t="str">
        <f>IF($I80&lt;&gt;"Complete",IF(COUNTIFS($A$4:$A79,$A80,$B$4:$B79,$B80,$I$4:$I79,"&lt;&gt;Complete")=0,$A80&amp;"|"&amp;$B80,""),"")</f>
        <v>|</v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/>
      <c r="B81" s="2"/>
      <c r="C81" s="3"/>
      <c r="D81" s="3"/>
      <c r="E81" s="2"/>
      <c r="F81" s="2"/>
      <c r="G81" s="5"/>
      <c r="H81" s="5"/>
      <c r="I81" s="4"/>
      <c r="J81" s="6" t="str">
        <f t="shared" si="4"/>
        <v/>
      </c>
      <c r="K81" s="4" t="str">
        <f t="shared" ca="1" si="5"/>
        <v/>
      </c>
      <c r="L81" s="7" t="str">
        <f>IF(I81="Completed","0",IF($H81="","",$H81-'[2]Read Me'!$B$4))</f>
        <v/>
      </c>
      <c r="M81" s="4" t="str">
        <f>IF($I81="Complete","Green",IF($H81="","Amber",IF($H81&lt;'[2]Read Me'!$B$4,"Red",IF($H81-'[2]Read Me'!$B$4&lt;=21,"Amber","Green"))))</f>
        <v>Amber</v>
      </c>
      <c r="N81" s="3"/>
      <c r="O81" t="str">
        <f>IF($I81&lt;&gt;"Complete",IF(COUNTIFS($A$4:$A80,$A81,$B$4:$B80,$B81,$I$4:$I80,"&lt;&gt;Complete")=0,$A81&amp;"|"&amp;$B81,""),"")</f>
        <v>|</v>
      </c>
      <c r="P81" t="str">
        <f ca="1">IF($K81="Yes",COUNTIFS($K$4:$K81,"Yes"),"")</f>
        <v/>
      </c>
      <c r="Q81">
        <f t="shared" ca="1" si="6"/>
        <v>0</v>
      </c>
      <c r="R81" t="str">
        <f ca="1">IF($Q81=1,SUM($Q$4:$Q81),"")</f>
        <v/>
      </c>
    </row>
    <row r="82" spans="1:18" ht="33.75" customHeight="1" x14ac:dyDescent="0.3">
      <c r="A82" s="2"/>
      <c r="B82" s="2"/>
      <c r="C82" s="3"/>
      <c r="D82" s="3"/>
      <c r="E82" s="2"/>
      <c r="F82" s="2"/>
      <c r="G82" s="5"/>
      <c r="H82" s="5"/>
      <c r="I82" s="4"/>
      <c r="J82" s="6" t="str">
        <f t="shared" si="4"/>
        <v/>
      </c>
      <c r="K82" s="4" t="str">
        <f t="shared" ca="1" si="5"/>
        <v/>
      </c>
      <c r="L82" s="7" t="str">
        <f>IF(I82="Completed","0",IF($H82="","",$H82-'[2]Read Me'!$B$4))</f>
        <v/>
      </c>
      <c r="M82" s="4" t="str">
        <f>IF($I82="Complete","Green",IF($H82="","Amber",IF($H82&lt;'[2]Read Me'!$B$4,"Red",IF($H82-'[2]Read Me'!$B$4&lt;=21,"Amber","Green"))))</f>
        <v>Amber</v>
      </c>
      <c r="N82" s="3"/>
      <c r="O82" t="str">
        <f>IF($I82&lt;&gt;"Complete",IF(COUNTIFS($A$4:$A81,$A82,$B$4:$B81,$B82,$I$4:$I81,"&lt;&gt;Complete")=0,$A82&amp;"|"&amp;$B82,""),"")</f>
        <v>|</v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/>
      <c r="B83" s="2"/>
      <c r="C83" s="3"/>
      <c r="D83" s="3"/>
      <c r="E83" s="2"/>
      <c r="F83" s="2"/>
      <c r="G83" s="5"/>
      <c r="H83" s="5"/>
      <c r="I83" s="4"/>
      <c r="J83" s="6" t="str">
        <f t="shared" si="4"/>
        <v/>
      </c>
      <c r="K83" s="4" t="str">
        <f t="shared" ca="1" si="5"/>
        <v/>
      </c>
      <c r="L83" s="7" t="str">
        <f>IF(I83="Completed","0",IF($H83="","",$H83-'[2]Read Me'!$B$4))</f>
        <v/>
      </c>
      <c r="M83" s="4" t="str">
        <f>IF($I83="Complete","Green",IF($H83="","Amber",IF($H83&lt;'[2]Read Me'!$B$4,"Red",IF($H83-'[2]Read Me'!$B$4&lt;=21,"Amber","Green"))))</f>
        <v>Amber</v>
      </c>
      <c r="N83" s="3"/>
      <c r="O83" t="str">
        <f>IF($I83&lt;&gt;"Complete",IF(COUNTIFS($A$4:$A82,$A83,$B$4:$B82,$B83,$I$4:$I82,"&lt;&gt;Complete")=0,$A83&amp;"|"&amp;$B83,""),"")</f>
        <v>|</v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/>
      <c r="B84" s="2"/>
      <c r="C84" s="3"/>
      <c r="D84" s="3"/>
      <c r="E84" s="2"/>
      <c r="F84" s="2"/>
      <c r="G84" s="5"/>
      <c r="H84" s="5"/>
      <c r="I84" s="4"/>
      <c r="J84" s="6" t="str">
        <f t="shared" si="4"/>
        <v/>
      </c>
      <c r="K84" s="4" t="str">
        <f t="shared" ca="1" si="5"/>
        <v/>
      </c>
      <c r="L84" s="7" t="str">
        <f>IF(I84="Completed","0",IF($H84="","",$H84-'[2]Read Me'!$B$4))</f>
        <v/>
      </c>
      <c r="M84" s="4" t="str">
        <f>IF($I84="Complete","Green",IF($H84="","Amber",IF($H84&lt;'[2]Read Me'!$B$4,"Red",IF($H84-'[2]Read Me'!$B$4&lt;=21,"Amber","Green"))))</f>
        <v>Amber</v>
      </c>
      <c r="N84" s="3"/>
      <c r="O84" t="str">
        <f>IF($I84&lt;&gt;"Complete",IF(COUNTIFS($A$4:$A83,$A84,$B$4:$B83,$B84,$I$4:$I83,"&lt;&gt;Complete")=0,$A84&amp;"|"&amp;$B84,""),"")</f>
        <v>|</v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/>
      <c r="B85" s="2"/>
      <c r="C85" s="3"/>
      <c r="D85" s="3"/>
      <c r="E85" s="2"/>
      <c r="F85" s="2"/>
      <c r="G85" s="5"/>
      <c r="H85" s="5"/>
      <c r="I85" s="4"/>
      <c r="J85" s="6" t="str">
        <f t="shared" si="4"/>
        <v/>
      </c>
      <c r="K85" s="4" t="str">
        <f t="shared" ca="1" si="5"/>
        <v/>
      </c>
      <c r="L85" s="7" t="str">
        <f>IF(I85="Completed","0",IF($H85="","",$H85-'[2]Read Me'!$B$4))</f>
        <v/>
      </c>
      <c r="M85" s="4" t="str">
        <f>IF($I85="Complete","Green",IF($H85="","Amber",IF($H85&lt;'[2]Read Me'!$B$4,"Red",IF($H85-'[2]Read Me'!$B$4&lt;=21,"Amber","Green"))))</f>
        <v>Amber</v>
      </c>
      <c r="N85" s="3"/>
      <c r="O85" t="str">
        <f>IF($I85&lt;&gt;"Complete",IF(COUNTIFS($A$4:$A84,$A85,$B$4:$B84,$B85,$I$4:$I84,"&lt;&gt;Complete")=0,$A85&amp;"|"&amp;$B85,""),"")</f>
        <v>|</v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/>
      <c r="B86" s="2"/>
      <c r="C86" s="3"/>
      <c r="D86" s="3"/>
      <c r="E86" s="2"/>
      <c r="F86" s="2"/>
      <c r="G86" s="5"/>
      <c r="H86" s="5"/>
      <c r="I86" s="4"/>
      <c r="J86" s="6" t="str">
        <f t="shared" si="4"/>
        <v/>
      </c>
      <c r="K86" s="4" t="str">
        <f t="shared" ca="1" si="5"/>
        <v/>
      </c>
      <c r="L86" s="7" t="str">
        <f>IF(I86="Completed","0",IF($H86="","",$H86-'[2]Read Me'!$B$4))</f>
        <v/>
      </c>
      <c r="M86" s="4" t="str">
        <f>IF($I86="Complete","Green",IF($H86="","Amber",IF($H86&lt;'[2]Read Me'!$B$4,"Red",IF($H86-'[2]Read Me'!$B$4&lt;=21,"Amber","Green"))))</f>
        <v>Amber</v>
      </c>
      <c r="N86" s="3"/>
      <c r="O86" t="str">
        <f>IF($I86&lt;&gt;"Complete",IF(COUNTIFS($A$4:$A85,$A86,$B$4:$B85,$B86,$I$4:$I85,"&lt;&gt;Complete")=0,$A86&amp;"|"&amp;$B86,""),"")</f>
        <v>|</v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/>
      <c r="B87" s="2"/>
      <c r="C87" s="3"/>
      <c r="D87" s="3"/>
      <c r="E87" s="2"/>
      <c r="F87" s="2"/>
      <c r="G87" s="5"/>
      <c r="H87" s="5"/>
      <c r="I87" s="4"/>
      <c r="J87" s="6" t="str">
        <f t="shared" si="4"/>
        <v/>
      </c>
      <c r="K87" s="4" t="str">
        <f t="shared" ca="1" si="5"/>
        <v/>
      </c>
      <c r="L87" s="7" t="str">
        <f>IF(I87="Completed","0",IF($H87="","",$H87-'[2]Read Me'!$B$4))</f>
        <v/>
      </c>
      <c r="M87" s="4" t="str">
        <f>IF($I87="Complete","Green",IF($H87="","Amber",IF($H87&lt;'[2]Read Me'!$B$4,"Red",IF($H87-'[2]Read Me'!$B$4&lt;=21,"Amber","Green"))))</f>
        <v>Amber</v>
      </c>
      <c r="N87" s="3"/>
      <c r="O87" t="str">
        <f>IF($I87&lt;&gt;"Complete",IF(COUNTIFS($A$4:$A86,$A87,$B$4:$B86,$B87,$I$4:$I86,"&lt;&gt;Complete")=0,$A87&amp;"|"&amp;$B87,""),"")</f>
        <v>|</v>
      </c>
      <c r="P87" t="str">
        <f ca="1">IF($K87="Yes",COUNTIFS($K$4:$K87,"Yes"),"")</f>
        <v/>
      </c>
      <c r="Q87">
        <f t="shared" ca="1" si="6"/>
        <v>0</v>
      </c>
      <c r="R87" t="str">
        <f ca="1">IF($Q87=1,SUM($Q$4:$Q87),"")</f>
        <v/>
      </c>
    </row>
    <row r="88" spans="1:18" ht="33.75" customHeight="1" x14ac:dyDescent="0.3">
      <c r="A88" s="2"/>
      <c r="B88" s="2"/>
      <c r="C88" s="3"/>
      <c r="D88" s="3"/>
      <c r="E88" s="2"/>
      <c r="F88" s="2"/>
      <c r="G88" s="5"/>
      <c r="H88" s="5"/>
      <c r="I88" s="4"/>
      <c r="J88" s="6" t="str">
        <f t="shared" si="4"/>
        <v/>
      </c>
      <c r="K88" s="4" t="str">
        <f t="shared" ca="1" si="5"/>
        <v/>
      </c>
      <c r="L88" s="7" t="str">
        <f>IF(I88="Completed","0",IF($H88="","",$H88-'[2]Read Me'!$B$4))</f>
        <v/>
      </c>
      <c r="M88" s="4" t="str">
        <f>IF($I88="Complete","Green",IF($H88="","Amber",IF($H88&lt;'[2]Read Me'!$B$4,"Red",IF($H88-'[2]Read Me'!$B$4&lt;=21,"Amber","Green"))))</f>
        <v>Amber</v>
      </c>
      <c r="N88" s="3"/>
      <c r="O88" t="str">
        <f>IF($I88&lt;&gt;"Complete",IF(COUNTIFS($A$4:$A87,$A88,$B$4:$B87,$B88,$I$4:$I87,"&lt;&gt;Complete")=0,$A88&amp;"|"&amp;$B88,""),"")</f>
        <v>|</v>
      </c>
      <c r="P88" t="str">
        <f ca="1">IF($K88="Yes",COUNTIFS($K$4:$K88,"Yes"),"")</f>
        <v/>
      </c>
      <c r="Q88">
        <f t="shared" ca="1" si="6"/>
        <v>0</v>
      </c>
      <c r="R88" t="str">
        <f ca="1">IF($Q88=1,SUM($Q$4:$Q88),"")</f>
        <v/>
      </c>
    </row>
    <row r="89" spans="1:18" ht="33.75" customHeight="1" x14ac:dyDescent="0.3">
      <c r="A89" s="2"/>
      <c r="B89" s="2"/>
      <c r="C89" s="3"/>
      <c r="D89" s="3"/>
      <c r="E89" s="2"/>
      <c r="F89" s="2"/>
      <c r="G89" s="5"/>
      <c r="H89" s="5"/>
      <c r="I89" s="4"/>
      <c r="J89" s="6" t="str">
        <f t="shared" si="4"/>
        <v/>
      </c>
      <c r="K89" s="4" t="str">
        <f t="shared" ca="1" si="5"/>
        <v/>
      </c>
      <c r="L89" s="7" t="str">
        <f>IF(I89="Completed","0",IF($H89="","",$H89-'[2]Read Me'!$B$4))</f>
        <v/>
      </c>
      <c r="M89" s="4" t="str">
        <f>IF($I89="Complete","Green",IF($H89="","Amber",IF($H89&lt;'[2]Read Me'!$B$4,"Red",IF($H89-'[2]Read Me'!$B$4&lt;=21,"Amber","Green"))))</f>
        <v>Amber</v>
      </c>
      <c r="N89" s="3"/>
      <c r="O89" t="str">
        <f>IF($I89&lt;&gt;"Complete",IF(COUNTIFS($A$4:$A88,$A89,$B$4:$B88,$B89,$I$4:$I88,"&lt;&gt;Complete")=0,$A89&amp;"|"&amp;$B89,""),"")</f>
        <v>|</v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/>
      <c r="B90" s="2"/>
      <c r="C90" s="3"/>
      <c r="D90" s="3"/>
      <c r="E90" s="2"/>
      <c r="F90" s="2"/>
      <c r="G90" s="5"/>
      <c r="H90" s="5"/>
      <c r="I90" s="4"/>
      <c r="J90" s="6" t="str">
        <f t="shared" si="4"/>
        <v/>
      </c>
      <c r="K90" s="4" t="str">
        <f t="shared" ca="1" si="5"/>
        <v/>
      </c>
      <c r="L90" s="7" t="str">
        <f>IF(I90="Completed","0",IF($H90="","",$H90-'[2]Read Me'!$B$4))</f>
        <v/>
      </c>
      <c r="M90" s="4" t="str">
        <f>IF($I90="Complete","Green",IF($H90="","Amber",IF($H90&lt;'[2]Read Me'!$B$4,"Red",IF($H90-'[2]Read Me'!$B$4&lt;=21,"Amber","Green"))))</f>
        <v>Amber</v>
      </c>
      <c r="N90" s="3"/>
      <c r="O90" t="str">
        <f>IF($I90&lt;&gt;"Complete",IF(COUNTIFS($A$4:$A89,$A90,$B$4:$B89,$B90,$I$4:$I89,"&lt;&gt;Complete")=0,$A90&amp;"|"&amp;$B90,""),"")</f>
        <v>|</v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/>
      <c r="B91" s="2"/>
      <c r="C91" s="3"/>
      <c r="D91" s="3"/>
      <c r="E91" s="2"/>
      <c r="F91" s="2"/>
      <c r="G91" s="5"/>
      <c r="H91" s="5"/>
      <c r="I91" s="4"/>
      <c r="J91" s="6" t="str">
        <f t="shared" si="4"/>
        <v/>
      </c>
      <c r="K91" s="4" t="str">
        <f t="shared" ca="1" si="5"/>
        <v/>
      </c>
      <c r="L91" s="7" t="str">
        <f>IF(I91="Completed","0",IF($H91="","",$H91-'[2]Read Me'!$B$4))</f>
        <v/>
      </c>
      <c r="M91" s="4" t="str">
        <f>IF($I91="Complete","Green",IF($H91="","Amber",IF($H91&lt;'[2]Read Me'!$B$4,"Red",IF($H91-'[2]Read Me'!$B$4&lt;=21,"Amber","Green"))))</f>
        <v>Amber</v>
      </c>
      <c r="N91" s="3"/>
      <c r="O91" t="str">
        <f>IF($I91&lt;&gt;"Complete",IF(COUNTIFS($A$4:$A90,$A91,$B$4:$B90,$B91,$I$4:$I90,"&lt;&gt;Complete")=0,$A91&amp;"|"&amp;$B91,""),"")</f>
        <v>|</v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/>
      <c r="B92" s="2"/>
      <c r="C92" s="3"/>
      <c r="D92" s="3"/>
      <c r="E92" s="2"/>
      <c r="F92" s="2"/>
      <c r="G92" s="5"/>
      <c r="H92" s="5"/>
      <c r="I92" s="4"/>
      <c r="J92" s="6" t="str">
        <f t="shared" si="4"/>
        <v/>
      </c>
      <c r="K92" s="4" t="str">
        <f t="shared" ca="1" si="5"/>
        <v/>
      </c>
      <c r="L92" s="7" t="str">
        <f>IF(I92="Completed","0",IF($H92="","",$H92-'[2]Read Me'!$B$4))</f>
        <v/>
      </c>
      <c r="M92" s="4" t="str">
        <f>IF($I92="Complete","Green",IF($H92="","Amber",IF($H92&lt;'[2]Read Me'!$B$4,"Red",IF($H92-'[2]Read Me'!$B$4&lt;=21,"Amber","Green"))))</f>
        <v>Amber</v>
      </c>
      <c r="N92" s="3"/>
      <c r="O92" t="str">
        <f>IF($I92&lt;&gt;"Complete",IF(COUNTIFS($A$4:$A91,$A92,$B$4:$B91,$B92,$I$4:$I91,"&lt;&gt;Complete")=0,$A92&amp;"|"&amp;$B92,""),"")</f>
        <v>|</v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/>
      <c r="B93" s="2"/>
      <c r="C93" s="3"/>
      <c r="D93" s="3"/>
      <c r="E93" s="2"/>
      <c r="F93" s="2"/>
      <c r="G93" s="5"/>
      <c r="H93" s="5"/>
      <c r="I93" s="4"/>
      <c r="J93" s="6" t="str">
        <f t="shared" si="4"/>
        <v/>
      </c>
      <c r="K93" s="4" t="str">
        <f t="shared" ca="1" si="5"/>
        <v/>
      </c>
      <c r="L93" s="7" t="str">
        <f>IF(I93="Completed","0",IF($H93="","",$H93-'[2]Read Me'!$B$4))</f>
        <v/>
      </c>
      <c r="M93" s="4" t="str">
        <f>IF($I93="Complete","Green",IF($H93="","Amber",IF($H93&lt;'[2]Read Me'!$B$4,"Red",IF($H93-'[2]Read Me'!$B$4&lt;=21,"Amber","Green"))))</f>
        <v>Amber</v>
      </c>
      <c r="N93" s="3"/>
      <c r="O93" t="str">
        <f>IF($I93&lt;&gt;"Complete",IF(COUNTIFS($A$4:$A92,$A93,$B$4:$B92,$B93,$I$4:$I92,"&lt;&gt;Complete")=0,$A93&amp;"|"&amp;$B93,""),"")</f>
        <v>|</v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/>
      <c r="B94" s="2"/>
      <c r="C94" s="3"/>
      <c r="D94" s="3"/>
      <c r="E94" s="2"/>
      <c r="F94" s="2"/>
      <c r="G94" s="5"/>
      <c r="H94" s="5"/>
      <c r="I94" s="4"/>
      <c r="J94" s="6" t="str">
        <f t="shared" si="4"/>
        <v/>
      </c>
      <c r="K94" s="4" t="str">
        <f t="shared" ca="1" si="5"/>
        <v/>
      </c>
      <c r="L94" s="7" t="str">
        <f>IF(I94="Completed","0",IF($H94="","",$H94-'[2]Read Me'!$B$4))</f>
        <v/>
      </c>
      <c r="M94" s="4" t="str">
        <f>IF($I94="Complete","Green",IF($H94="","Amber",IF($H94&lt;'[2]Read Me'!$B$4,"Red",IF($H94-'[2]Read Me'!$B$4&lt;=21,"Amber","Green"))))</f>
        <v>Amber</v>
      </c>
      <c r="N94" s="3"/>
      <c r="O94" t="str">
        <f>IF($I94&lt;&gt;"Complete",IF(COUNTIFS($A$4:$A93,$A94,$B$4:$B93,$B94,$I$4:$I93,"&lt;&gt;Complete")=0,$A94&amp;"|"&amp;$B94,""),"")</f>
        <v>|</v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/>
      <c r="B95" s="2"/>
      <c r="C95" s="3"/>
      <c r="D95" s="3"/>
      <c r="E95" s="2"/>
      <c r="F95" s="2"/>
      <c r="G95" s="5"/>
      <c r="H95" s="5"/>
      <c r="I95" s="4"/>
      <c r="J95" s="6" t="str">
        <f t="shared" si="4"/>
        <v/>
      </c>
      <c r="K95" s="4" t="str">
        <f t="shared" ca="1" si="5"/>
        <v/>
      </c>
      <c r="L95" s="7" t="str">
        <f>IF(I95="Completed","0",IF($H95="","",$H95-'[2]Read Me'!$B$4))</f>
        <v/>
      </c>
      <c r="M95" s="4" t="str">
        <f>IF($I95="Complete","Green",IF($H95="","Amber",IF($H95&lt;'[2]Read Me'!$B$4,"Red",IF($H95-'[2]Read Me'!$B$4&lt;=21,"Amber","Green"))))</f>
        <v>Amber</v>
      </c>
      <c r="N95" s="3"/>
      <c r="O95" t="str">
        <f>IF($I95&lt;&gt;"Complete",IF(COUNTIFS($A$4:$A94,$A95,$B$4:$B94,$B95,$I$4:$I94,"&lt;&gt;Complete")=0,$A95&amp;"|"&amp;$B95,""),"")</f>
        <v>|</v>
      </c>
      <c r="P95" t="str">
        <f ca="1">IF($K95="Yes",COUNTIFS($K$4:$K95,"Yes"),"")</f>
        <v/>
      </c>
      <c r="Q95">
        <f t="shared" ca="1" si="6"/>
        <v>0</v>
      </c>
      <c r="R95" t="str">
        <f ca="1">IF($Q95=1,SUM($Q$4:$Q95),"")</f>
        <v/>
      </c>
    </row>
    <row r="96" spans="1:18" ht="33.75" customHeight="1" x14ac:dyDescent="0.3">
      <c r="A96" s="2"/>
      <c r="B96" s="2"/>
      <c r="C96" s="3"/>
      <c r="D96" s="3"/>
      <c r="E96" s="2"/>
      <c r="F96" s="2"/>
      <c r="G96" s="5"/>
      <c r="H96" s="5"/>
      <c r="I96" s="4"/>
      <c r="J96" s="6" t="str">
        <f t="shared" si="4"/>
        <v/>
      </c>
      <c r="K96" s="4" t="str">
        <f t="shared" ca="1" si="5"/>
        <v/>
      </c>
      <c r="L96" s="7" t="str">
        <f>IF(I96="Completed","0",IF($H96="","",$H96-'[2]Read Me'!$B$4))</f>
        <v/>
      </c>
      <c r="M96" s="4" t="str">
        <f>IF($I96="Complete","Green",IF($H96="","Amber",IF($H96&lt;'[2]Read Me'!$B$4,"Red",IF($H96-'[2]Read Me'!$B$4&lt;=21,"Amber","Green"))))</f>
        <v>Amber</v>
      </c>
      <c r="N96" s="3"/>
      <c r="O96" t="str">
        <f>IF($I96&lt;&gt;"Complete",IF(COUNTIFS($A$4:$A95,$A96,$B$4:$B95,$B96,$I$4:$I95,"&lt;&gt;Complete")=0,$A96&amp;"|"&amp;$B96,""),"")</f>
        <v>|</v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/>
      <c r="B97" s="2"/>
      <c r="C97" s="3"/>
      <c r="D97" s="3"/>
      <c r="E97" s="2"/>
      <c r="F97" s="2"/>
      <c r="G97" s="5"/>
      <c r="H97" s="5"/>
      <c r="I97" s="4"/>
      <c r="J97" s="6" t="str">
        <f t="shared" si="4"/>
        <v/>
      </c>
      <c r="K97" s="4" t="str">
        <f t="shared" ca="1" si="5"/>
        <v/>
      </c>
      <c r="L97" s="7" t="str">
        <f>IF(I97="Completed","0",IF($H97="","",$H97-'[2]Read Me'!$B$4))</f>
        <v/>
      </c>
      <c r="M97" s="4" t="str">
        <f>IF($I97="Complete","Green",IF($H97="","Amber",IF($H97&lt;'[2]Read Me'!$B$4,"Red",IF($H97-'[2]Read Me'!$B$4&lt;=21,"Amber","Green"))))</f>
        <v>Amber</v>
      </c>
      <c r="N97" s="3"/>
      <c r="O97" t="str">
        <f>IF($I97&lt;&gt;"Complete",IF(COUNTIFS($A$4:$A96,$A97,$B$4:$B96,$B97,$I$4:$I96,"&lt;&gt;Complete")=0,$A97&amp;"|"&amp;$B97,""),"")</f>
        <v>|</v>
      </c>
      <c r="P97" t="str">
        <f ca="1">IF($K97="Yes",COUNTIFS($K$4:$K97,"Yes"),"")</f>
        <v/>
      </c>
      <c r="Q97">
        <f t="shared" ca="1" si="6"/>
        <v>0</v>
      </c>
      <c r="R97" t="str">
        <f ca="1">IF($Q97=1,SUM($Q$4:$Q97),"")</f>
        <v/>
      </c>
    </row>
    <row r="98" spans="1:18" ht="33.75" customHeight="1" x14ac:dyDescent="0.3">
      <c r="A98" s="2"/>
      <c r="B98" s="2"/>
      <c r="C98" s="3"/>
      <c r="D98" s="3"/>
      <c r="E98" s="2"/>
      <c r="F98" s="2"/>
      <c r="G98" s="5"/>
      <c r="H98" s="5"/>
      <c r="I98" s="4"/>
      <c r="J98" s="6" t="str">
        <f t="shared" si="4"/>
        <v/>
      </c>
      <c r="K98" s="4" t="str">
        <f t="shared" ca="1" si="5"/>
        <v/>
      </c>
      <c r="L98" s="7" t="str">
        <f>IF(I98="Completed","0",IF($H98="","",$H98-'[2]Read Me'!$B$4))</f>
        <v/>
      </c>
      <c r="M98" s="4" t="str">
        <f>IF($I98="Complete","Green",IF($H98="","Amber",IF($H98&lt;'[2]Read Me'!$B$4,"Red",IF($H98-'[2]Read Me'!$B$4&lt;=21,"Amber","Green"))))</f>
        <v>Amber</v>
      </c>
      <c r="N98" s="3"/>
      <c r="O98" t="str">
        <f>IF($I98&lt;&gt;"Complete",IF(COUNTIFS($A$4:$A97,$A98,$B$4:$B97,$B98,$I$4:$I97,"&lt;&gt;Complete")=0,$A98&amp;"|"&amp;$B98,""),"")</f>
        <v>|</v>
      </c>
      <c r="P98" t="str">
        <f ca="1">IF($K98="Yes",COUNTIFS($K$4:$K98,"Yes"),"")</f>
        <v/>
      </c>
      <c r="Q98">
        <f t="shared" ca="1" si="6"/>
        <v>0</v>
      </c>
      <c r="R98" t="str">
        <f ca="1">IF($Q98=1,SUM($Q$4:$Q98),"")</f>
        <v/>
      </c>
    </row>
    <row r="99" spans="1:18" ht="33.75" customHeight="1" x14ac:dyDescent="0.3">
      <c r="A99" s="2"/>
      <c r="B99" s="2"/>
      <c r="C99" s="3"/>
      <c r="D99" s="3"/>
      <c r="E99" s="2"/>
      <c r="F99" s="2"/>
      <c r="G99" s="5"/>
      <c r="H99" s="5"/>
      <c r="I99" s="4"/>
      <c r="J99" s="6" t="str">
        <f t="shared" si="4"/>
        <v/>
      </c>
      <c r="K99" s="4" t="str">
        <f t="shared" ca="1" si="5"/>
        <v/>
      </c>
      <c r="L99" s="7" t="str">
        <f>IF(I99="Completed","0",IF($H99="","",$H99-'[2]Read Me'!$B$4))</f>
        <v/>
      </c>
      <c r="M99" s="4" t="str">
        <f>IF($I99="Complete","Green",IF($H99="","Amber",IF($H99&lt;'[2]Read Me'!$B$4,"Red",IF($H99-'[2]Read Me'!$B$4&lt;=21,"Amber","Green"))))</f>
        <v>Amber</v>
      </c>
      <c r="N99" s="3"/>
      <c r="O99" t="str">
        <f>IF($I99&lt;&gt;"Complete",IF(COUNTIFS($A$4:$A98,$A99,$B$4:$B98,$B99,$I$4:$I98,"&lt;&gt;Complete")=0,$A99&amp;"|"&amp;$B99,""),"")</f>
        <v>|</v>
      </c>
      <c r="P99" t="str">
        <f ca="1">IF($K99="Yes",COUNTIFS($K$4:$K99,"Yes"),"")</f>
        <v/>
      </c>
      <c r="Q99">
        <f t="shared" ca="1" si="6"/>
        <v>0</v>
      </c>
      <c r="R99" t="str">
        <f ca="1">IF($Q99=1,SUM($Q$4:$Q99),"")</f>
        <v/>
      </c>
    </row>
    <row r="100" spans="1:18" ht="33.75" customHeight="1" x14ac:dyDescent="0.3">
      <c r="A100" s="2"/>
      <c r="B100" s="2"/>
      <c r="C100" s="3"/>
      <c r="D100" s="3"/>
      <c r="E100" s="2"/>
      <c r="F100" s="2"/>
      <c r="G100" s="5"/>
      <c r="H100" s="5"/>
      <c r="I100" s="4"/>
      <c r="J100" s="6" t="str">
        <f t="shared" si="4"/>
        <v/>
      </c>
      <c r="K100" s="4" t="str">
        <f t="shared" ca="1" si="5"/>
        <v/>
      </c>
      <c r="L100" s="7" t="str">
        <f>IF(I100="Completed","0",IF($H100="","",$H100-'[2]Read Me'!$B$4))</f>
        <v/>
      </c>
      <c r="M100" s="4" t="str">
        <f>IF($I100="Complete","Green",IF($H100="","Amber",IF($H100&lt;'[2]Read Me'!$B$4,"Red",IF($H100-'[2]Read Me'!$B$4&lt;=21,"Amber","Green"))))</f>
        <v>Amber</v>
      </c>
      <c r="N100" s="3"/>
      <c r="O100" t="str">
        <f>IF($I100&lt;&gt;"Complete",IF(COUNTIFS($A$4:$A99,$A100,$B$4:$B99,$B100,$I$4:$I99,"&lt;&gt;Complete")=0,$A100&amp;"|"&amp;$B100,""),"")</f>
        <v>|</v>
      </c>
      <c r="P100" t="str">
        <f ca="1">IF($K100="Yes",COUNTIFS($K$4:$K100,"Yes"),"")</f>
        <v/>
      </c>
      <c r="Q100">
        <f t="shared" ca="1" si="6"/>
        <v>0</v>
      </c>
      <c r="R100" t="str">
        <f ca="1">IF($Q100=1,SUM($Q$4:$Q100),"")</f>
        <v/>
      </c>
    </row>
    <row r="101" spans="1:18" ht="33.75" customHeight="1" x14ac:dyDescent="0.3">
      <c r="A101" s="2"/>
      <c r="B101" s="2"/>
      <c r="C101" s="3"/>
      <c r="D101" s="3"/>
      <c r="E101" s="2"/>
      <c r="F101" s="2"/>
      <c r="G101" s="5"/>
      <c r="H101" s="5"/>
      <c r="I101" s="4"/>
      <c r="J101" s="6" t="str">
        <f t="shared" si="4"/>
        <v/>
      </c>
      <c r="K101" s="4" t="str">
        <f t="shared" ca="1" si="5"/>
        <v/>
      </c>
      <c r="L101" s="7" t="str">
        <f>IF(I101="Completed","0",IF($H101="","",$H101-'[2]Read Me'!$B$4))</f>
        <v/>
      </c>
      <c r="M101" s="4" t="str">
        <f>IF($I101="Complete","Green",IF($H101="","Amber",IF($H101&lt;'[2]Read Me'!$B$4,"Red",IF($H101-'[2]Read Me'!$B$4&lt;=21,"Amber","Green"))))</f>
        <v>Amber</v>
      </c>
      <c r="N101" s="3"/>
      <c r="O101" t="str">
        <f>IF($I101&lt;&gt;"Complete",IF(COUNTIFS($A$4:$A100,$A101,$B$4:$B100,$B101,$I$4:$I100,"&lt;&gt;Complete")=0,$A101&amp;"|"&amp;$B101,""),"")</f>
        <v>|</v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/>
      <c r="B102" s="2"/>
      <c r="C102" s="3"/>
      <c r="D102" s="3"/>
      <c r="E102" s="2"/>
      <c r="F102" s="2"/>
      <c r="G102" s="5"/>
      <c r="H102" s="5"/>
      <c r="I102" s="4"/>
      <c r="J102" s="6" t="str">
        <f t="shared" si="4"/>
        <v/>
      </c>
      <c r="K102" s="4" t="str">
        <f t="shared" ca="1" si="5"/>
        <v/>
      </c>
      <c r="L102" s="7" t="str">
        <f>IF(I102="Completed","0",IF($H102="","",$H102-'[2]Read Me'!$B$4))</f>
        <v/>
      </c>
      <c r="M102" s="4" t="str">
        <f>IF($I102="Complete","Green",IF($H102="","Amber",IF($H102&lt;'[2]Read Me'!$B$4,"Red",IF($H102-'[2]Read Me'!$B$4&lt;=21,"Amber","Green"))))</f>
        <v>Amber</v>
      </c>
      <c r="N102" s="3"/>
      <c r="O102" t="str">
        <f>IF($I102&lt;&gt;"Complete",IF(COUNTIFS($A$4:$A101,$A102,$B$4:$B101,$B102,$I$4:$I101,"&lt;&gt;Complete")=0,$A102&amp;"|"&amp;$B102,""),"")</f>
        <v>|</v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/>
      <c r="B103" s="2"/>
      <c r="C103" s="3"/>
      <c r="D103" s="3"/>
      <c r="E103" s="2"/>
      <c r="F103" s="2"/>
      <c r="G103" s="5"/>
      <c r="H103" s="5"/>
      <c r="I103" s="4"/>
      <c r="J103" s="6" t="str">
        <f t="shared" si="4"/>
        <v/>
      </c>
      <c r="K103" s="4" t="str">
        <f t="shared" ca="1" si="5"/>
        <v/>
      </c>
      <c r="L103" s="7" t="str">
        <f>IF(I103="Completed","0",IF($H103="","",$H103-'[2]Read Me'!$B$4))</f>
        <v/>
      </c>
      <c r="M103" s="4" t="str">
        <f>IF($I103="Complete","Green",IF($H103="","Amber",IF($H103&lt;'[2]Read Me'!$B$4,"Red",IF($H103-'[2]Read Me'!$B$4&lt;=21,"Amber","Green"))))</f>
        <v>Amber</v>
      </c>
      <c r="N103" s="3"/>
      <c r="O103" t="str">
        <f>IF($I103&lt;&gt;"Complete",IF(COUNTIFS($A$4:$A102,$A103,$B$4:$B102,$B103,$I$4:$I102,"&lt;&gt;Complete")=0,$A103&amp;"|"&amp;$B103,""),"")</f>
        <v>|</v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/>
      <c r="B104" s="2"/>
      <c r="C104" s="3"/>
      <c r="D104" s="3"/>
      <c r="E104" s="2"/>
      <c r="F104" s="2"/>
      <c r="G104" s="5"/>
      <c r="H104" s="5"/>
      <c r="I104" s="4"/>
      <c r="J104" s="6" t="str">
        <f t="shared" si="4"/>
        <v/>
      </c>
      <c r="K104" s="4" t="str">
        <f t="shared" ca="1" si="5"/>
        <v/>
      </c>
      <c r="L104" s="7" t="str">
        <f>IF(I104="Completed","0",IF($H104="","",$H104-'[2]Read Me'!$B$4))</f>
        <v/>
      </c>
      <c r="M104" s="4" t="str">
        <f>IF($I104="Complete","Green",IF($H104="","Amber",IF($H104&lt;'[2]Read Me'!$B$4,"Red",IF($H104-'[2]Read Me'!$B$4&lt;=21,"Amber","Green"))))</f>
        <v>Amber</v>
      </c>
      <c r="N104" s="3"/>
      <c r="O104" t="str">
        <f>IF($I104&lt;&gt;"Complete",IF(COUNTIFS($A$4:$A103,$A104,$B$4:$B103,$B104,$I$4:$I103,"&lt;&gt;Complete")=0,$A104&amp;"|"&amp;$B104,""),"")</f>
        <v>|</v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/>
      <c r="B105" s="2"/>
      <c r="C105" s="3"/>
      <c r="D105" s="3"/>
      <c r="E105" s="2"/>
      <c r="F105" s="2"/>
      <c r="G105" s="5"/>
      <c r="H105" s="5"/>
      <c r="I105" s="4"/>
      <c r="J105" s="6" t="str">
        <f t="shared" si="4"/>
        <v/>
      </c>
      <c r="K105" s="4" t="str">
        <f t="shared" ca="1" si="5"/>
        <v/>
      </c>
      <c r="L105" s="7" t="str">
        <f>IF(I105="Completed","0",IF($H105="","",$H105-'[2]Read Me'!$B$4))</f>
        <v/>
      </c>
      <c r="M105" s="4" t="str">
        <f>IF($I105="Complete","Green",IF($H105="","Amber",IF($H105&lt;'[2]Read Me'!$B$4,"Red",IF($H105-'[2]Read Me'!$B$4&lt;=21,"Amber","Green"))))</f>
        <v>Amber</v>
      </c>
      <c r="N105" s="3"/>
      <c r="O105" t="str">
        <f>IF($I105&lt;&gt;"Complete",IF(COUNTIFS($A$4:$A104,$A105,$B$4:$B104,$B105,$I$4:$I104,"&lt;&gt;Complete")=0,$A105&amp;"|"&amp;$B105,""),"")</f>
        <v>|</v>
      </c>
      <c r="P105" t="str">
        <f ca="1">IF($K105="Yes",COUNTIFS($K$4:$K105,"Yes"),"")</f>
        <v/>
      </c>
      <c r="Q105">
        <f t="shared" ca="1" si="6"/>
        <v>0</v>
      </c>
      <c r="R105" t="str">
        <f ca="1">IF($Q105=1,SUM($Q$4:$Q105),"")</f>
        <v/>
      </c>
    </row>
    <row r="106" spans="1:18" ht="22.5" customHeight="1" x14ac:dyDescent="0.3">
      <c r="A106" s="2"/>
      <c r="B106" s="2"/>
      <c r="C106" s="3"/>
      <c r="D106" s="3"/>
      <c r="E106" s="2"/>
      <c r="F106" s="2"/>
      <c r="G106" s="5"/>
      <c r="H106" s="5"/>
      <c r="I106" s="4"/>
      <c r="J106" s="6" t="str">
        <f t="shared" si="4"/>
        <v/>
      </c>
      <c r="K106" s="4" t="str">
        <f t="shared" ca="1" si="5"/>
        <v/>
      </c>
      <c r="L106" s="7" t="str">
        <f>IF(I106="Completed","0",IF($H106="","",$H106-'[2]Read Me'!$B$4))</f>
        <v/>
      </c>
      <c r="M106" s="4" t="str">
        <f>IF($I106="Complete","Green",IF($H106="","Amber",IF($H106&lt;'[2]Read Me'!$B$4,"Red",IF($H106-'[2]Read Me'!$B$4&lt;=21,"Amber","Green"))))</f>
        <v>Amber</v>
      </c>
      <c r="N106" s="3"/>
      <c r="O106" t="str">
        <f>IF($I106&lt;&gt;"Complete",IF(COUNTIFS($A$4:$A105,$A106,$B$4:$B105,$B106,$I$4:$I105,"&lt;&gt;Complete")=0,$A106&amp;"|"&amp;$B106,""),"")</f>
        <v>|</v>
      </c>
      <c r="P106" t="str">
        <f ca="1">IF($K106="Yes",COUNTIFS($K$4:$K106,"Yes"),"")</f>
        <v/>
      </c>
      <c r="Q106">
        <f t="shared" ca="1" si="6"/>
        <v>0</v>
      </c>
      <c r="R106" t="str">
        <f ca="1">IF($Q106=1,SUM($Q$4:$Q106),"")</f>
        <v/>
      </c>
    </row>
    <row r="107" spans="1:18" ht="22.5" customHeight="1" x14ac:dyDescent="0.3">
      <c r="A107" s="2"/>
      <c r="B107" s="2"/>
      <c r="C107" s="3"/>
      <c r="D107" s="3"/>
      <c r="E107" s="2"/>
      <c r="F107" s="2"/>
      <c r="G107" s="5"/>
      <c r="H107" s="5"/>
      <c r="I107" s="4"/>
      <c r="J107" s="6" t="str">
        <f t="shared" si="4"/>
        <v/>
      </c>
      <c r="K107" s="4" t="str">
        <f t="shared" ca="1" si="5"/>
        <v/>
      </c>
      <c r="L107" s="7" t="str">
        <f>IF(I107="Completed","0",IF($H107="","",$H107-'[2]Read Me'!$B$4))</f>
        <v/>
      </c>
      <c r="M107" s="4" t="str">
        <f>IF($I107="Complete","Green",IF($H107="","Amber",IF($H107&lt;'[2]Read Me'!$B$4,"Red",IF($H107-'[2]Read Me'!$B$4&lt;=21,"Amber","Green"))))</f>
        <v>Amber</v>
      </c>
      <c r="N107" s="3"/>
      <c r="O107" t="str">
        <f>IF($I107&lt;&gt;"Complete",IF(COUNTIFS($A$4:$A106,$A107,$B$4:$B106,$B107,$I$4:$I106,"&lt;&gt;Complete")=0,$A107&amp;"|"&amp;$B107,""),"")</f>
        <v>|</v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/>
      <c r="B108" s="2"/>
      <c r="C108" s="3"/>
      <c r="D108" s="3"/>
      <c r="E108" s="2"/>
      <c r="F108" s="2"/>
      <c r="G108" s="5"/>
      <c r="H108" s="5"/>
      <c r="I108" s="4"/>
      <c r="J108" s="6" t="str">
        <f t="shared" si="4"/>
        <v/>
      </c>
      <c r="K108" s="4" t="str">
        <f t="shared" ca="1" si="5"/>
        <v/>
      </c>
      <c r="L108" s="7" t="str">
        <f>IF(I108="Completed","0",IF($H108="","",$H108-'[2]Read Me'!$B$4))</f>
        <v/>
      </c>
      <c r="M108" s="4" t="str">
        <f>IF($I108="Complete","Green",IF($H108="","Amber",IF($H108&lt;'[2]Read Me'!$B$4,"Red",IF($H108-'[2]Read Me'!$B$4&lt;=21,"Amber","Green"))))</f>
        <v>Amber</v>
      </c>
      <c r="N108" s="3"/>
      <c r="O108" t="str">
        <f>IF($I108&lt;&gt;"Complete",IF(COUNTIFS($A$4:$A107,$A108,$B$4:$B107,$B108,$I$4:$I107,"&lt;&gt;Complete")=0,$A108&amp;"|"&amp;$B108,""),"")</f>
        <v>|</v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/>
      <c r="B109" s="2"/>
      <c r="C109" s="3"/>
      <c r="D109" s="3"/>
      <c r="E109" s="2"/>
      <c r="F109" s="2"/>
      <c r="G109" s="5"/>
      <c r="H109" s="5"/>
      <c r="I109" s="4"/>
      <c r="J109" s="6" t="str">
        <f t="shared" si="4"/>
        <v/>
      </c>
      <c r="K109" s="4" t="str">
        <f t="shared" ca="1" si="5"/>
        <v/>
      </c>
      <c r="L109" s="7" t="str">
        <f>IF(I109="Completed","0",IF($H109="","",$H109-'[2]Read Me'!$B$4))</f>
        <v/>
      </c>
      <c r="M109" s="4" t="str">
        <f>IF($I109="Complete","Green",IF($H109="","Amber",IF($H109&lt;'[2]Read Me'!$B$4,"Red",IF($H109-'[2]Read Me'!$B$4&lt;=21,"Amber","Green"))))</f>
        <v>Amber</v>
      </c>
      <c r="N109" s="3"/>
      <c r="O109" t="str">
        <f>IF($I109&lt;&gt;"Complete",IF(COUNTIFS($A$4:$A108,$A109,$B$4:$B108,$B109,$I$4:$I108,"&lt;&gt;Complete")=0,$A109&amp;"|"&amp;$B109,""),"")</f>
        <v>|</v>
      </c>
      <c r="P109" t="str">
        <f ca="1">IF($K109="Yes",COUNTIFS($K$4:$K109,"Yes"),"")</f>
        <v/>
      </c>
      <c r="Q109">
        <f t="shared" ca="1" si="6"/>
        <v>0</v>
      </c>
      <c r="R109" t="str">
        <f ca="1">IF($Q109=1,SUM($Q$4:$Q109),"")</f>
        <v/>
      </c>
    </row>
    <row r="110" spans="1:18" ht="22.5" customHeight="1" x14ac:dyDescent="0.3">
      <c r="A110" s="2"/>
      <c r="B110" s="2"/>
      <c r="C110" s="3"/>
      <c r="D110" s="3"/>
      <c r="E110" s="2"/>
      <c r="F110" s="2"/>
      <c r="G110" s="5"/>
      <c r="H110" s="5"/>
      <c r="I110" s="4"/>
      <c r="J110" s="6" t="str">
        <f t="shared" si="4"/>
        <v/>
      </c>
      <c r="K110" s="4" t="str">
        <f t="shared" ca="1" si="5"/>
        <v/>
      </c>
      <c r="L110" s="7" t="str">
        <f>IF(I110="Completed","0",IF($H110="","",$H110-'[2]Read Me'!$B$4))</f>
        <v/>
      </c>
      <c r="M110" s="4" t="str">
        <f>IF($I110="Complete","Green",IF($H110="","Amber",IF($H110&lt;'[2]Read Me'!$B$4,"Red",IF($H110-'[2]Read Me'!$B$4&lt;=21,"Amber","Green"))))</f>
        <v>Amber</v>
      </c>
      <c r="N110" s="3"/>
      <c r="O110" t="str">
        <f>IF($I110&lt;&gt;"Complete",IF(COUNTIFS($A$4:$A109,$A110,$B$4:$B109,$B110,$I$4:$I109,"&lt;&gt;Complete")=0,$A110&amp;"|"&amp;$B110,""),"")</f>
        <v>|</v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/>
      <c r="B111" s="2"/>
      <c r="C111" s="3"/>
      <c r="D111" s="3"/>
      <c r="E111" s="2"/>
      <c r="F111" s="2"/>
      <c r="G111" s="5"/>
      <c r="H111" s="5"/>
      <c r="I111" s="4"/>
      <c r="J111" s="6" t="str">
        <f t="shared" si="4"/>
        <v/>
      </c>
      <c r="K111" s="4" t="str">
        <f t="shared" ca="1" si="5"/>
        <v/>
      </c>
      <c r="L111" s="7" t="str">
        <f>IF(I111="Completed","0",IF($H111="","",$H111-'[2]Read Me'!$B$4))</f>
        <v/>
      </c>
      <c r="M111" s="4" t="str">
        <f>IF($I111="Complete","Green",IF($H111="","Amber",IF($H111&lt;'[2]Read Me'!$B$4,"Red",IF($H111-'[2]Read Me'!$B$4&lt;=21,"Amber","Green"))))</f>
        <v>Amber</v>
      </c>
      <c r="N111" s="3"/>
      <c r="O111" t="str">
        <f>IF($I111&lt;&gt;"Complete",IF(COUNTIFS($A$4:$A110,$A111,$B$4:$B110,$B111,$I$4:$I110,"&lt;&gt;Complete")=0,$A111&amp;"|"&amp;$B111,""),"")</f>
        <v>|</v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/>
      <c r="B112" s="2"/>
      <c r="C112" s="3"/>
      <c r="D112" s="3"/>
      <c r="E112" s="2"/>
      <c r="F112" s="2"/>
      <c r="G112" s="5"/>
      <c r="H112" s="5"/>
      <c r="I112" s="4"/>
      <c r="J112" s="6" t="str">
        <f t="shared" si="4"/>
        <v/>
      </c>
      <c r="K112" s="4" t="str">
        <f t="shared" ca="1" si="5"/>
        <v/>
      </c>
      <c r="L112" s="7" t="str">
        <f>IF(I112="Completed","0",IF($H112="","",$H112-'[2]Read Me'!$B$4))</f>
        <v/>
      </c>
      <c r="M112" s="4" t="str">
        <f>IF($I112="Complete","Green",IF($H112="","Amber",IF($H112&lt;'[2]Read Me'!$B$4,"Red",IF($H112-'[2]Read Me'!$B$4&lt;=21,"Amber","Green"))))</f>
        <v>Amber</v>
      </c>
      <c r="N112" s="3"/>
      <c r="O112" t="str">
        <f>IF($I112&lt;&gt;"Complete",IF(COUNTIFS($A$4:$A111,$A112,$B$4:$B111,$B112,$I$4:$I111,"&lt;&gt;Complete")=0,$A112&amp;"|"&amp;$B112,""),"")</f>
        <v>|</v>
      </c>
      <c r="P112" t="str">
        <f ca="1">IF($K112="Yes",COUNTIFS($K$4:$K112,"Yes"),"")</f>
        <v/>
      </c>
      <c r="Q112">
        <f t="shared" ca="1" si="6"/>
        <v>0</v>
      </c>
      <c r="R112" t="str">
        <f ca="1">IF($Q112=1,SUM($Q$4:$Q112),"")</f>
        <v/>
      </c>
    </row>
    <row r="113" spans="1:18" ht="22.5" customHeight="1" x14ac:dyDescent="0.3">
      <c r="A113" s="2"/>
      <c r="B113" s="2"/>
      <c r="C113" s="3"/>
      <c r="D113" s="3"/>
      <c r="E113" s="2"/>
      <c r="F113" s="2"/>
      <c r="G113" s="5"/>
      <c r="H113" s="5"/>
      <c r="I113" s="4"/>
      <c r="J113" s="6" t="str">
        <f t="shared" si="4"/>
        <v/>
      </c>
      <c r="K113" s="4" t="str">
        <f t="shared" ca="1" si="5"/>
        <v/>
      </c>
      <c r="L113" s="7" t="str">
        <f>IF(I113="Completed","0",IF($H113="","",$H113-'[2]Read Me'!$B$4))</f>
        <v/>
      </c>
      <c r="M113" s="4" t="str">
        <f>IF($I113="Complete","Green",IF($H113="","Amber",IF($H113&lt;'[2]Read Me'!$B$4,"Red",IF($H113-'[2]Read Me'!$B$4&lt;=21,"Amber","Green"))))</f>
        <v>Amber</v>
      </c>
      <c r="N113" s="3"/>
      <c r="O113" t="str">
        <f>IF($I113&lt;&gt;"Complete",IF(COUNTIFS($A$4:$A112,$A113,$B$4:$B112,$B113,$I$4:$I112,"&lt;&gt;Complete")=0,$A113&amp;"|"&amp;$B113,""),"")</f>
        <v>|</v>
      </c>
      <c r="P113" t="str">
        <f ca="1">IF($K113="Yes",COUNTIFS($K$4:$K113,"Yes"),"")</f>
        <v/>
      </c>
      <c r="Q113">
        <f t="shared" ca="1" si="6"/>
        <v>0</v>
      </c>
      <c r="R113" t="str">
        <f ca="1">IF($Q113=1,SUM($Q$4:$Q113),"")</f>
        <v/>
      </c>
    </row>
    <row r="114" spans="1:18" ht="22.5" customHeight="1" x14ac:dyDescent="0.3">
      <c r="A114" s="2"/>
      <c r="B114" s="2"/>
      <c r="C114" s="3"/>
      <c r="D114" s="3"/>
      <c r="E114" s="2"/>
      <c r="F114" s="2"/>
      <c r="G114" s="5"/>
      <c r="H114" s="5"/>
      <c r="I114" s="4"/>
      <c r="J114" s="6" t="str">
        <f t="shared" si="4"/>
        <v/>
      </c>
      <c r="K114" s="4" t="str">
        <f t="shared" ca="1" si="5"/>
        <v/>
      </c>
      <c r="L114" s="7" t="str">
        <f>IF(I114="Completed","0",IF($H114="","",$H114-'[2]Read Me'!$B$4))</f>
        <v/>
      </c>
      <c r="M114" s="4" t="str">
        <f>IF($I114="Complete","Green",IF($H114="","Amber",IF($H114&lt;'[2]Read Me'!$B$4,"Red",IF($H114-'[2]Read Me'!$B$4&lt;=21,"Amber","Green"))))</f>
        <v>Amber</v>
      </c>
      <c r="N114" s="3"/>
      <c r="O114" t="str">
        <f>IF($I114&lt;&gt;"Complete",IF(COUNTIFS($A$4:$A113,$A114,$B$4:$B113,$B114,$I$4:$I113,"&lt;&gt;Complete")=0,$A114&amp;"|"&amp;$B114,""),"")</f>
        <v>|</v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/>
      <c r="B115" s="2"/>
      <c r="C115" s="3"/>
      <c r="D115" s="3"/>
      <c r="E115" s="2"/>
      <c r="F115" s="2"/>
      <c r="G115" s="5"/>
      <c r="H115" s="5"/>
      <c r="I115" s="4"/>
      <c r="J115" s="6" t="str">
        <f t="shared" si="4"/>
        <v/>
      </c>
      <c r="K115" s="4" t="str">
        <f t="shared" ca="1" si="5"/>
        <v/>
      </c>
      <c r="L115" s="7" t="str">
        <f>IF(I115="Completed","0",IF($H115="","",$H115-'[2]Read Me'!$B$4))</f>
        <v/>
      </c>
      <c r="M115" s="4" t="str">
        <f>IF($I115="Complete","Green",IF($H115="","Amber",IF($H115&lt;'[2]Read Me'!$B$4,"Red",IF($H115-'[2]Read Me'!$B$4&lt;=21,"Amber","Green"))))</f>
        <v>Amber</v>
      </c>
      <c r="N115" s="3"/>
      <c r="O115" t="str">
        <f>IF($I115&lt;&gt;"Complete",IF(COUNTIFS($A$4:$A114,$A115,$B$4:$B114,$B115,$I$4:$I114,"&lt;&gt;Complete")=0,$A115&amp;"|"&amp;$B115,""),"")</f>
        <v>|</v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/>
      <c r="B116" s="2"/>
      <c r="C116" s="3"/>
      <c r="D116" s="3"/>
      <c r="E116" s="2"/>
      <c r="F116" s="2"/>
      <c r="G116" s="5"/>
      <c r="H116" s="5"/>
      <c r="I116" s="4"/>
      <c r="J116" s="6" t="str">
        <f t="shared" si="4"/>
        <v/>
      </c>
      <c r="K116" s="4" t="str">
        <f t="shared" ca="1" si="5"/>
        <v/>
      </c>
      <c r="L116" s="7" t="str">
        <f>IF(I116="Completed","0",IF($H116="","",$H116-'[2]Read Me'!$B$4))</f>
        <v/>
      </c>
      <c r="M116" s="4" t="str">
        <f>IF($I116="Complete","Green",IF($H116="","Amber",IF($H116&lt;'[2]Read Me'!$B$4,"Red",IF($H116-'[2]Read Me'!$B$4&lt;=21,"Amber","Green"))))</f>
        <v>Amber</v>
      </c>
      <c r="N116" s="3"/>
      <c r="O116" t="str">
        <f>IF($I116&lt;&gt;"Complete",IF(COUNTIFS($A$4:$A115,$A116,$B$4:$B115,$B116,$I$4:$I115,"&lt;&gt;Complete")=0,$A116&amp;"|"&amp;$B116,""),"")</f>
        <v>|</v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/>
      <c r="B117" s="2"/>
      <c r="C117" s="3"/>
      <c r="D117" s="3"/>
      <c r="E117" s="2"/>
      <c r="F117" s="2"/>
      <c r="G117" s="5"/>
      <c r="H117" s="5"/>
      <c r="I117" s="4"/>
      <c r="J117" s="6" t="str">
        <f t="shared" si="4"/>
        <v/>
      </c>
      <c r="K117" s="4" t="str">
        <f t="shared" ca="1" si="5"/>
        <v/>
      </c>
      <c r="L117" s="7" t="str">
        <f>IF(I117="Completed","0",IF($H117="","",$H117-'[2]Read Me'!$B$4))</f>
        <v/>
      </c>
      <c r="M117" s="4" t="str">
        <f>IF($I117="Complete","Green",IF($H117="","Amber",IF($H117&lt;'[2]Read Me'!$B$4,"Red",IF($H117-'[2]Read Me'!$B$4&lt;=21,"Amber","Green"))))</f>
        <v>Amber</v>
      </c>
      <c r="N117" s="3"/>
      <c r="O117" t="str">
        <f>IF($I117&lt;&gt;"Complete",IF(COUNTIFS($A$4:$A116,$A117,$B$4:$B116,$B117,$I$4:$I116,"&lt;&gt;Complete")=0,$A117&amp;"|"&amp;$B117,""),"")</f>
        <v>|</v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/>
      <c r="B118" s="2"/>
      <c r="C118" s="3"/>
      <c r="D118" s="3"/>
      <c r="E118" s="2"/>
      <c r="F118" s="2"/>
      <c r="G118" s="5"/>
      <c r="H118" s="5"/>
      <c r="I118" s="4"/>
      <c r="J118" s="6" t="str">
        <f t="shared" si="4"/>
        <v/>
      </c>
      <c r="K118" s="4" t="str">
        <f t="shared" ca="1" si="5"/>
        <v/>
      </c>
      <c r="L118" s="7" t="str">
        <f>IF(I118="Completed","0",IF($H118="","",$H118-'[2]Read Me'!$B$4))</f>
        <v/>
      </c>
      <c r="M118" s="4" t="str">
        <f>IF($I118="Complete","Green",IF($H118="","Amber",IF($H118&lt;'[2]Read Me'!$B$4,"Red",IF($H118-'[2]Read Me'!$B$4&lt;=21,"Amber","Green"))))</f>
        <v>Amber</v>
      </c>
      <c r="N118" s="3"/>
      <c r="O118" t="str">
        <f>IF($I118&lt;&gt;"Complete",IF(COUNTIFS($A$4:$A117,$A118,$B$4:$B117,$B118,$I$4:$I117,"&lt;&gt;Complete")=0,$A118&amp;"|"&amp;$B118,""),"")</f>
        <v>|</v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/>
      <c r="B119" s="2"/>
      <c r="C119" s="3"/>
      <c r="D119" s="3"/>
      <c r="E119" s="2"/>
      <c r="F119" s="2"/>
      <c r="G119" s="5"/>
      <c r="H119" s="5"/>
      <c r="I119" s="4"/>
      <c r="J119" s="6" t="str">
        <f t="shared" si="4"/>
        <v/>
      </c>
      <c r="K119" s="4" t="str">
        <f t="shared" ca="1" si="5"/>
        <v/>
      </c>
      <c r="L119" s="7" t="str">
        <f>IF(I119="Completed","0",IF($H119="","",$H119-'[2]Read Me'!$B$4))</f>
        <v/>
      </c>
      <c r="M119" s="4" t="str">
        <f>IF($I119="Complete","Green",IF($H119="","Amber",IF($H119&lt;'[2]Read Me'!$B$4,"Red",IF($H119-'[2]Read Me'!$B$4&lt;=21,"Amber","Green"))))</f>
        <v>Amber</v>
      </c>
      <c r="N119" s="3"/>
      <c r="O119" t="str">
        <f>IF($I119&lt;&gt;"Complete",IF(COUNTIFS($A$4:$A118,$A119,$B$4:$B118,$B119,$I$4:$I118,"&lt;&gt;Complete")=0,$A119&amp;"|"&amp;$B119,""),"")</f>
        <v>|</v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/>
      <c r="B120" s="2"/>
      <c r="C120" s="3"/>
      <c r="D120" s="3"/>
      <c r="E120" s="2"/>
      <c r="F120" s="2"/>
      <c r="G120" s="5"/>
      <c r="H120" s="5"/>
      <c r="I120" s="4"/>
      <c r="J120" s="6" t="str">
        <f t="shared" si="4"/>
        <v/>
      </c>
      <c r="K120" s="4" t="str">
        <f t="shared" ca="1" si="5"/>
        <v/>
      </c>
      <c r="L120" s="7" t="str">
        <f>IF(I120="Completed","0",IF($H120="","",$H120-'[2]Read Me'!$B$4))</f>
        <v/>
      </c>
      <c r="M120" s="4" t="str">
        <f>IF($I120="Complete","Green",IF($H120="","Amber",IF($H120&lt;'[2]Read Me'!$B$4,"Red",IF($H120-'[2]Read Me'!$B$4&lt;=21,"Amber","Green"))))</f>
        <v>Amber</v>
      </c>
      <c r="N120" s="3"/>
      <c r="O120" t="str">
        <f>IF($I120&lt;&gt;"Complete",IF(COUNTIFS($A$4:$A119,$A120,$B$4:$B119,$B120,$I$4:$I119,"&lt;&gt;Complete")=0,$A120&amp;"|"&amp;$B120,""),"")</f>
        <v>|</v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/>
      <c r="B121" s="2"/>
      <c r="C121" s="3"/>
      <c r="D121" s="3"/>
      <c r="E121" s="2"/>
      <c r="F121" s="2"/>
      <c r="G121" s="5"/>
      <c r="H121" s="5"/>
      <c r="I121" s="4"/>
      <c r="J121" s="6" t="str">
        <f t="shared" si="4"/>
        <v/>
      </c>
      <c r="K121" s="4" t="str">
        <f t="shared" ca="1" si="5"/>
        <v/>
      </c>
      <c r="L121" s="7" t="str">
        <f>IF(I121="Completed","0",IF($H121="","",$H121-'[2]Read Me'!$B$4))</f>
        <v/>
      </c>
      <c r="M121" s="4" t="str">
        <f>IF($I121="Complete","Green",IF($H121="","Amber",IF($H121&lt;'[2]Read Me'!$B$4,"Red",IF($H121-'[2]Read Me'!$B$4&lt;=21,"Amber","Green"))))</f>
        <v>Amber</v>
      </c>
      <c r="N121" s="3"/>
      <c r="O121" t="str">
        <f>IF($I121&lt;&gt;"Complete",IF(COUNTIFS($A$4:$A120,$A121,$B$4:$B120,$B121,$I$4:$I120,"&lt;&gt;Complete")=0,$A121&amp;"|"&amp;$B121,""),"")</f>
        <v>|</v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/>
      <c r="B122" s="2"/>
      <c r="C122" s="3"/>
      <c r="D122" s="3"/>
      <c r="E122" s="2"/>
      <c r="F122" s="2"/>
      <c r="G122" s="5"/>
      <c r="H122" s="5"/>
      <c r="I122" s="4"/>
      <c r="J122" s="6" t="str">
        <f t="shared" si="4"/>
        <v/>
      </c>
      <c r="K122" s="4" t="str">
        <f t="shared" ca="1" si="5"/>
        <v/>
      </c>
      <c r="L122" s="7" t="str">
        <f>IF(I122="Completed","0",IF($H122="","",$H122-'[2]Read Me'!$B$4))</f>
        <v/>
      </c>
      <c r="M122" s="4" t="str">
        <f>IF($I122="Complete","Green",IF($H122="","Amber",IF($H122&lt;'[2]Read Me'!$B$4,"Red",IF($H122-'[2]Read Me'!$B$4&lt;=21,"Amber","Green"))))</f>
        <v>Amber</v>
      </c>
      <c r="N122" s="3"/>
      <c r="O122" t="str">
        <f>IF($I122&lt;&gt;"Complete",IF(COUNTIFS($A$4:$A121,$A122,$B$4:$B121,$B122,$I$4:$I121,"&lt;&gt;Complete")=0,$A122&amp;"|"&amp;$B122,""),"")</f>
        <v>|</v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/>
      <c r="B123" s="2"/>
      <c r="C123" s="3"/>
      <c r="D123" s="3"/>
      <c r="E123" s="2"/>
      <c r="F123" s="2"/>
      <c r="G123" s="5"/>
      <c r="H123" s="5"/>
      <c r="I123" s="4"/>
      <c r="J123" s="6" t="str">
        <f t="shared" si="4"/>
        <v/>
      </c>
      <c r="K123" s="4" t="str">
        <f t="shared" ca="1" si="5"/>
        <v/>
      </c>
      <c r="L123" s="7" t="str">
        <f>IF(I123="Completed","0",IF($H123="","",$H123-'[2]Read Me'!$B$4))</f>
        <v/>
      </c>
      <c r="M123" s="4" t="str">
        <f>IF($I123="Complete","Green",IF($H123="","Amber",IF($H123&lt;'[2]Read Me'!$B$4,"Red",IF($H123-'[2]Read Me'!$B$4&lt;=21,"Amber","Green"))))</f>
        <v>Amber</v>
      </c>
      <c r="N123" s="3"/>
      <c r="O123" t="str">
        <f>IF($I123&lt;&gt;"Complete",IF(COUNTIFS($A$4:$A122,$A123,$B$4:$B122,$B123,$I$4:$I122,"&lt;&gt;Complete")=0,$A123&amp;"|"&amp;$B123,""),"")</f>
        <v>|</v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/>
      <c r="B124" s="2"/>
      <c r="C124" s="3"/>
      <c r="D124" s="3"/>
      <c r="E124" s="2"/>
      <c r="F124" s="2"/>
      <c r="G124" s="5"/>
      <c r="H124" s="5"/>
      <c r="I124" s="4"/>
      <c r="J124" s="6" t="str">
        <f t="shared" si="4"/>
        <v/>
      </c>
      <c r="K124" s="4" t="str">
        <f t="shared" ca="1" si="5"/>
        <v/>
      </c>
      <c r="L124" s="7" t="str">
        <f>IF(I124="Completed","0",IF($H124="","",$H124-'[2]Read Me'!$B$4))</f>
        <v/>
      </c>
      <c r="M124" s="4" t="str">
        <f>IF($I124="Complete","Green",IF($H124="","Amber",IF($H124&lt;'[2]Read Me'!$B$4,"Red",IF($H124-'[2]Read Me'!$B$4&lt;=21,"Amber","Green"))))</f>
        <v>Amber</v>
      </c>
      <c r="N124" s="3"/>
      <c r="O124" t="str">
        <f>IF($I124&lt;&gt;"Complete",IF(COUNTIFS($A$4:$A123,$A124,$B$4:$B123,$B124,$I$4:$I123,"&lt;&gt;Complete")=0,$A124&amp;"|"&amp;$B124,""),"")</f>
        <v>|</v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/>
      <c r="B125" s="2"/>
      <c r="C125" s="3"/>
      <c r="D125" s="3"/>
      <c r="E125" s="2"/>
      <c r="F125" s="2"/>
      <c r="G125" s="5"/>
      <c r="H125" s="5"/>
      <c r="I125" s="4"/>
      <c r="J125" s="6" t="str">
        <f t="shared" si="4"/>
        <v/>
      </c>
      <c r="K125" s="4" t="str">
        <f t="shared" ca="1" si="5"/>
        <v/>
      </c>
      <c r="L125" s="7" t="str">
        <f>IF(I125="Completed","0",IF($H125="","",$H125-'[2]Read Me'!$B$4))</f>
        <v/>
      </c>
      <c r="M125" s="4" t="str">
        <f>IF($I125="Complete","Green",IF($H125="","Amber",IF($H125&lt;'[2]Read Me'!$B$4,"Red",IF($H125-'[2]Read Me'!$B$4&lt;=21,"Amber","Green"))))</f>
        <v>Amber</v>
      </c>
      <c r="N125" s="3"/>
      <c r="O125" t="str">
        <f>IF($I125&lt;&gt;"Complete",IF(COUNTIFS($A$4:$A124,$A125,$B$4:$B124,$B125,$I$4:$I124,"&lt;&gt;Complete")=0,$A125&amp;"|"&amp;$B125,""),"")</f>
        <v>|</v>
      </c>
      <c r="P125" t="str">
        <f ca="1">IF($K125="Yes",COUNTIFS($K$4:$K125,"Yes"),"")</f>
        <v/>
      </c>
      <c r="Q125">
        <f t="shared" ca="1" si="6"/>
        <v>0</v>
      </c>
      <c r="R125" t="str">
        <f ca="1">IF($Q125=1,SUM($Q$4:$Q125),"")</f>
        <v/>
      </c>
    </row>
    <row r="126" spans="1:18" ht="22.5" customHeight="1" x14ac:dyDescent="0.3">
      <c r="A126" s="2"/>
      <c r="B126" s="2"/>
      <c r="C126" s="3"/>
      <c r="D126" s="3"/>
      <c r="E126" s="2"/>
      <c r="F126" s="2"/>
      <c r="G126" s="5"/>
      <c r="H126" s="5"/>
      <c r="I126" s="4"/>
      <c r="J126" s="6" t="str">
        <f t="shared" si="4"/>
        <v/>
      </c>
      <c r="K126" s="4" t="str">
        <f t="shared" ca="1" si="5"/>
        <v/>
      </c>
      <c r="L126" s="7" t="str">
        <f>IF(I126="Completed","0",IF($H126="","",$H126-'[2]Read Me'!$B$4))</f>
        <v/>
      </c>
      <c r="M126" s="4" t="str">
        <f>IF($I126="Complete","Green",IF($H126="","Amber",IF($H126&lt;'[2]Read Me'!$B$4,"Red",IF($H126-'[2]Read Me'!$B$4&lt;=21,"Amber","Green"))))</f>
        <v>Amber</v>
      </c>
      <c r="N126" s="3"/>
      <c r="O126" t="str">
        <f>IF($I126&lt;&gt;"Complete",IF(COUNTIFS($A$4:$A125,$A126,$B$4:$B125,$B126,$I$4:$I125,"&lt;&gt;Complete")=0,$A126&amp;"|"&amp;$B126,""),"")</f>
        <v>|</v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/>
      <c r="B127" s="2"/>
      <c r="C127" s="3"/>
      <c r="D127" s="3"/>
      <c r="E127" s="2"/>
      <c r="F127" s="2"/>
      <c r="G127" s="5"/>
      <c r="H127" s="5"/>
      <c r="I127" s="4"/>
      <c r="J127" s="6" t="str">
        <f t="shared" si="4"/>
        <v/>
      </c>
      <c r="K127" s="4" t="str">
        <f t="shared" ca="1" si="5"/>
        <v/>
      </c>
      <c r="L127" s="7" t="str">
        <f>IF(I127="Completed","0",IF($H127="","",$H127-'[2]Read Me'!$B$4))</f>
        <v/>
      </c>
      <c r="M127" s="4" t="str">
        <f>IF($I127="Complete","Green",IF($H127="","Amber",IF($H127&lt;'[2]Read Me'!$B$4,"Red",IF($H127-'[2]Read Me'!$B$4&lt;=21,"Amber","Green"))))</f>
        <v>Amber</v>
      </c>
      <c r="N127" s="3"/>
      <c r="O127" t="str">
        <f>IF($I127&lt;&gt;"Complete",IF(COUNTIFS($A$4:$A126,$A127,$B$4:$B126,$B127,$I$4:$I126,"&lt;&gt;Complete")=0,$A127&amp;"|"&amp;$B127,""),"")</f>
        <v>|</v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/>
      <c r="B128" s="2"/>
      <c r="C128" s="3"/>
      <c r="D128" s="3"/>
      <c r="E128" s="2"/>
      <c r="F128" s="2"/>
      <c r="G128" s="5"/>
      <c r="H128" s="5"/>
      <c r="I128" s="4"/>
      <c r="J128" s="6" t="str">
        <f t="shared" si="4"/>
        <v/>
      </c>
      <c r="K128" s="4" t="str">
        <f t="shared" ca="1" si="5"/>
        <v/>
      </c>
      <c r="L128" s="7" t="str">
        <f>IF(I128="Completed","0",IF($H128="","",$H128-'[2]Read Me'!$B$4))</f>
        <v/>
      </c>
      <c r="M128" s="4" t="str">
        <f>IF($I128="Complete","Green",IF($H128="","Amber",IF($H128&lt;'[2]Read Me'!$B$4,"Red",IF($H128-'[2]Read Me'!$B$4&lt;=21,"Amber","Green"))))</f>
        <v>Amber</v>
      </c>
      <c r="N128" s="3"/>
      <c r="O128" t="str">
        <f>IF($I128&lt;&gt;"Complete",IF(COUNTIFS($A$4:$A127,$A128,$B$4:$B127,$B128,$I$4:$I127,"&lt;&gt;Complete")=0,$A128&amp;"|"&amp;$B128,""),"")</f>
        <v>|</v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/>
      <c r="B129" s="2"/>
      <c r="C129" s="3"/>
      <c r="D129" s="3"/>
      <c r="E129" s="2"/>
      <c r="F129" s="2"/>
      <c r="G129" s="5"/>
      <c r="H129" s="5"/>
      <c r="I129" s="4"/>
      <c r="J129" s="6" t="str">
        <f t="shared" si="4"/>
        <v/>
      </c>
      <c r="K129" s="4" t="str">
        <f t="shared" ca="1" si="5"/>
        <v/>
      </c>
      <c r="L129" s="7" t="str">
        <f>IF(I129="Completed","0",IF($H129="","",$H129-'[2]Read Me'!$B$4))</f>
        <v/>
      </c>
      <c r="M129" s="4" t="str">
        <f>IF($I129="Complete","Green",IF($H129="","Amber",IF($H129&lt;'[2]Read Me'!$B$4,"Red",IF($H129-'[2]Read Me'!$B$4&lt;=21,"Amber","Green"))))</f>
        <v>Amber</v>
      </c>
      <c r="N129" s="3"/>
      <c r="O129" t="str">
        <f>IF($I129&lt;&gt;"Complete",IF(COUNTIFS($A$4:$A128,$A129,$B$4:$B128,$B129,$I$4:$I128,"&lt;&gt;Complete")=0,$A129&amp;"|"&amp;$B129,""),"")</f>
        <v>|</v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/>
      <c r="B130" s="2"/>
      <c r="C130" s="3"/>
      <c r="D130" s="3"/>
      <c r="E130" s="2"/>
      <c r="F130" s="2"/>
      <c r="G130" s="5"/>
      <c r="H130" s="5"/>
      <c r="I130" s="4"/>
      <c r="J130" s="6" t="str">
        <f t="shared" si="4"/>
        <v/>
      </c>
      <c r="K130" s="4" t="str">
        <f t="shared" ca="1" si="5"/>
        <v/>
      </c>
      <c r="L130" s="7" t="str">
        <f>IF(I130="Completed","0",IF($H130="","",$H130-'[2]Read Me'!$B$4))</f>
        <v/>
      </c>
      <c r="M130" s="4" t="str">
        <f>IF($I130="Complete","Green",IF($H130="","Amber",IF($H130&lt;'[2]Read Me'!$B$4,"Red",IF($H130-'[2]Read Me'!$B$4&lt;=21,"Amber","Green"))))</f>
        <v>Amber</v>
      </c>
      <c r="N130" s="3"/>
      <c r="O130" t="str">
        <f>IF($I130&lt;&gt;"Complete",IF(COUNTIFS($A$4:$A129,$A130,$B$4:$B129,$B130,$I$4:$I129,"&lt;&gt;Complete")=0,$A130&amp;"|"&amp;$B130,""),"")</f>
        <v>|</v>
      </c>
      <c r="P130" t="str">
        <f ca="1">IF($K130="Yes",COUNTIFS($K$4:$K130,"Yes"),"")</f>
        <v/>
      </c>
      <c r="Q130">
        <f t="shared" ca="1" si="6"/>
        <v>0</v>
      </c>
      <c r="R130" t="str">
        <f ca="1">IF($Q130=1,SUM($Q$4:$Q130),"")</f>
        <v/>
      </c>
    </row>
    <row r="131" spans="1:18" ht="22.5" customHeight="1" x14ac:dyDescent="0.3">
      <c r="A131" s="2"/>
      <c r="B131" s="2"/>
      <c r="C131" s="3"/>
      <c r="D131" s="3"/>
      <c r="E131" s="2"/>
      <c r="F131" s="2"/>
      <c r="G131" s="5"/>
      <c r="H131" s="5"/>
      <c r="I131" s="4"/>
      <c r="J131" s="6" t="str">
        <f t="shared" si="4"/>
        <v/>
      </c>
      <c r="K131" s="4" t="str">
        <f t="shared" ca="1" si="5"/>
        <v/>
      </c>
      <c r="L131" s="7" t="str">
        <f>IF(I131="Completed","0",IF($H131="","",$H131-'[2]Read Me'!$B$4))</f>
        <v/>
      </c>
      <c r="M131" s="4" t="str">
        <f>IF($I131="Complete","Green",IF($H131="","Amber",IF($H131&lt;'[2]Read Me'!$B$4,"Red",IF($H131-'[2]Read Me'!$B$4&lt;=21,"Amber","Green"))))</f>
        <v>Amber</v>
      </c>
      <c r="N131" s="3"/>
      <c r="O131" t="str">
        <f>IF($I131&lt;&gt;"Complete",IF(COUNTIFS($A$4:$A130,$A131,$B$4:$B130,$B131,$I$4:$I130,"&lt;&gt;Complete")=0,$A131&amp;"|"&amp;$B131,""),"")</f>
        <v>|</v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/>
      <c r="B132" s="2"/>
      <c r="C132" s="3"/>
      <c r="D132" s="3"/>
      <c r="E132" s="2"/>
      <c r="F132" s="2"/>
      <c r="G132" s="5"/>
      <c r="H132" s="5"/>
      <c r="I132" s="4"/>
      <c r="J132" s="6" t="str">
        <f t="shared" ref="J132:J195" si="7">IF(OR($G132="",$H132=""),"",$H132-$G132)</f>
        <v/>
      </c>
      <c r="K132" s="4" t="str">
        <f t="shared" ref="K132:K195" ca="1" si="8">IF(C132="","",IF(H132="","",IF($I132="completed","-",IF($H132&gt;TODAY(),"No","Yes"))))</f>
        <v/>
      </c>
      <c r="L132" s="7" t="str">
        <f>IF(I132="Completed","0",IF($H132="","",$H132-'[2]Read Me'!$B$4))</f>
        <v/>
      </c>
      <c r="M132" s="4" t="str">
        <f>IF($I132="Complete","Green",IF($H132="","Amber",IF($H132&lt;'[2]Read Me'!$B$4,"Red",IF($H132-'[2]Read Me'!$B$4&lt;=21,"Amber","Green"))))</f>
        <v>Amber</v>
      </c>
      <c r="N132" s="3"/>
      <c r="O132" t="str">
        <f>IF($I132&lt;&gt;"Complete",IF(COUNTIFS($A$4:$A131,$A132,$B$4:$B131,$B132,$I$4:$I131,"&lt;&gt;Complete")=0,$A132&amp;"|"&amp;$B132,""),"")</f>
        <v>|</v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/>
      <c r="B133" s="2"/>
      <c r="C133" s="3"/>
      <c r="D133" s="3"/>
      <c r="E133" s="2"/>
      <c r="F133" s="2"/>
      <c r="G133" s="5"/>
      <c r="H133" s="5"/>
      <c r="I133" s="4"/>
      <c r="J133" s="6" t="str">
        <f t="shared" si="7"/>
        <v/>
      </c>
      <c r="K133" s="4" t="str">
        <f t="shared" ca="1" si="8"/>
        <v/>
      </c>
      <c r="L133" s="7" t="str">
        <f>IF(I133="Completed","0",IF($H133="","",$H133-'[2]Read Me'!$B$4))</f>
        <v/>
      </c>
      <c r="M133" s="4" t="str">
        <f>IF($I133="Complete","Green",IF($H133="","Amber",IF($H133&lt;'[2]Read Me'!$B$4,"Red",IF($H133-'[2]Read Me'!$B$4&lt;=21,"Amber","Green"))))</f>
        <v>Amber</v>
      </c>
      <c r="N133" s="3"/>
      <c r="O133" t="str">
        <f>IF($I133&lt;&gt;"Complete",IF(COUNTIFS($A$4:$A132,$A133,$B$4:$B132,$B133,$I$4:$I132,"&lt;&gt;Complete")=0,$A133&amp;"|"&amp;$B133,""),"")</f>
        <v>|</v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/>
      <c r="B134" s="2"/>
      <c r="C134" s="3"/>
      <c r="D134" s="3"/>
      <c r="E134" s="2"/>
      <c r="F134" s="2"/>
      <c r="G134" s="5"/>
      <c r="H134" s="5"/>
      <c r="I134" s="4"/>
      <c r="J134" s="6" t="str">
        <f t="shared" si="7"/>
        <v/>
      </c>
      <c r="K134" s="4" t="str">
        <f t="shared" ca="1" si="8"/>
        <v/>
      </c>
      <c r="L134" s="7" t="str">
        <f>IF(I134="Completed","0",IF($H134="","",$H134-'[2]Read Me'!$B$4))</f>
        <v/>
      </c>
      <c r="M134" s="4" t="str">
        <f>IF($I134="Complete","Green",IF($H134="","Amber",IF($H134&lt;'[2]Read Me'!$B$4,"Red",IF($H134-'[2]Read Me'!$B$4&lt;=21,"Amber","Green"))))</f>
        <v>Amber</v>
      </c>
      <c r="N134" s="3"/>
      <c r="O134" t="str">
        <f>IF($I134&lt;&gt;"Complete",IF(COUNTIFS($A$4:$A133,$A134,$B$4:$B133,$B134,$I$4:$I133,"&lt;&gt;Complete")=0,$A134&amp;"|"&amp;$B134,""),"")</f>
        <v>|</v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/>
      <c r="B135" s="2"/>
      <c r="C135" s="3"/>
      <c r="D135" s="3"/>
      <c r="E135" s="2"/>
      <c r="F135" s="2"/>
      <c r="G135" s="5"/>
      <c r="H135" s="5"/>
      <c r="I135" s="4"/>
      <c r="J135" s="6" t="str">
        <f t="shared" si="7"/>
        <v/>
      </c>
      <c r="K135" s="4" t="str">
        <f t="shared" ca="1" si="8"/>
        <v/>
      </c>
      <c r="L135" s="7" t="str">
        <f>IF(I135="Completed","0",IF($H135="","",$H135-'[2]Read Me'!$B$4))</f>
        <v/>
      </c>
      <c r="M135" s="4" t="str">
        <f>IF($I135="Complete","Green",IF($H135="","Amber",IF($H135&lt;'[2]Read Me'!$B$4,"Red",IF($H135-'[2]Read Me'!$B$4&lt;=21,"Amber","Green"))))</f>
        <v>Amber</v>
      </c>
      <c r="N135" s="3"/>
      <c r="O135" t="str">
        <f>IF($I135&lt;&gt;"Complete",IF(COUNTIFS($A$4:$A134,$A135,$B$4:$B134,$B135,$I$4:$I134,"&lt;&gt;Complete")=0,$A135&amp;"|"&amp;$B135,""),"")</f>
        <v>|</v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/>
      <c r="B136" s="2"/>
      <c r="C136" s="3"/>
      <c r="D136" s="3"/>
      <c r="E136" s="2"/>
      <c r="F136" s="2"/>
      <c r="G136" s="5"/>
      <c r="H136" s="5"/>
      <c r="I136" s="4"/>
      <c r="J136" s="6" t="str">
        <f t="shared" si="7"/>
        <v/>
      </c>
      <c r="K136" s="4" t="str">
        <f t="shared" ca="1" si="8"/>
        <v/>
      </c>
      <c r="L136" s="7" t="str">
        <f>IF(I136="Completed","0",IF($H136="","",$H136-'[2]Read Me'!$B$4))</f>
        <v/>
      </c>
      <c r="M136" s="4" t="str">
        <f>IF($I136="Complete","Green",IF($H136="","Amber",IF($H136&lt;'[2]Read Me'!$B$4,"Red",IF($H136-'[2]Read Me'!$B$4&lt;=21,"Amber","Green"))))</f>
        <v>Amber</v>
      </c>
      <c r="N136" s="3"/>
      <c r="O136" t="str">
        <f>IF($I136&lt;&gt;"Complete",IF(COUNTIFS($A$4:$A135,$A136,$B$4:$B135,$B136,$I$4:$I135,"&lt;&gt;Complete")=0,$A136&amp;"|"&amp;$B136,""),"")</f>
        <v>|</v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/>
      <c r="B137" s="2"/>
      <c r="C137" s="3"/>
      <c r="D137" s="3"/>
      <c r="E137" s="2"/>
      <c r="F137" s="2"/>
      <c r="G137" s="5"/>
      <c r="H137" s="5"/>
      <c r="I137" s="4"/>
      <c r="J137" s="6" t="str">
        <f t="shared" si="7"/>
        <v/>
      </c>
      <c r="K137" s="4" t="str">
        <f t="shared" ca="1" si="8"/>
        <v/>
      </c>
      <c r="L137" s="7" t="str">
        <f>IF(I137="Completed","0",IF($H137="","",$H137-'[2]Read Me'!$B$4))</f>
        <v/>
      </c>
      <c r="M137" s="4" t="str">
        <f>IF($I137="Complete","Green",IF($H137="","Amber",IF($H137&lt;'[2]Read Me'!$B$4,"Red",IF($H137-'[2]Read Me'!$B$4&lt;=21,"Amber","Green"))))</f>
        <v>Amber</v>
      </c>
      <c r="N137" s="3"/>
      <c r="O137" t="str">
        <f>IF($I137&lt;&gt;"Complete",IF(COUNTIFS($A$4:$A136,$A137,$B$4:$B136,$B137,$I$4:$I136,"&lt;&gt;Complete")=0,$A137&amp;"|"&amp;$B137,""),"")</f>
        <v>|</v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/>
      <c r="B138" s="2"/>
      <c r="C138" s="3"/>
      <c r="D138" s="3"/>
      <c r="E138" s="2"/>
      <c r="F138" s="2"/>
      <c r="G138" s="5"/>
      <c r="H138" s="5"/>
      <c r="I138" s="4"/>
      <c r="J138" s="6" t="str">
        <f t="shared" si="7"/>
        <v/>
      </c>
      <c r="K138" s="4" t="str">
        <f t="shared" ca="1" si="8"/>
        <v/>
      </c>
      <c r="L138" s="7" t="str">
        <f>IF(I138="Completed","0",IF($H138="","",$H138-'[2]Read Me'!$B$4))</f>
        <v/>
      </c>
      <c r="M138" s="4" t="str">
        <f>IF($I138="Complete","Green",IF($H138="","Amber",IF($H138&lt;'[2]Read Me'!$B$4,"Red",IF($H138-'[2]Read Me'!$B$4&lt;=21,"Amber","Green"))))</f>
        <v>Amber</v>
      </c>
      <c r="N138" s="3"/>
      <c r="O138" t="str">
        <f>IF($I138&lt;&gt;"Complete",IF(COUNTIFS($A$4:$A137,$A138,$B$4:$B137,$B138,$I$4:$I137,"&lt;&gt;Complete")=0,$A138&amp;"|"&amp;$B138,""),"")</f>
        <v>|</v>
      </c>
      <c r="P138" t="str">
        <f ca="1">IF($K138="Yes",COUNTIFS($K$4:$K138,"Yes"),"")</f>
        <v/>
      </c>
      <c r="Q138">
        <f t="shared" ca="1" si="9"/>
        <v>0</v>
      </c>
      <c r="R138" t="str">
        <f ca="1">IF($Q138=1,SUM($Q$4:$Q138),"")</f>
        <v/>
      </c>
    </row>
    <row r="139" spans="1:18" ht="22.5" customHeight="1" x14ac:dyDescent="0.3">
      <c r="A139" s="2"/>
      <c r="B139" s="2"/>
      <c r="C139" s="3"/>
      <c r="D139" s="3"/>
      <c r="E139" s="2"/>
      <c r="F139" s="2"/>
      <c r="G139" s="5"/>
      <c r="H139" s="5"/>
      <c r="I139" s="4"/>
      <c r="J139" s="6" t="str">
        <f t="shared" si="7"/>
        <v/>
      </c>
      <c r="K139" s="4" t="str">
        <f t="shared" ca="1" si="8"/>
        <v/>
      </c>
      <c r="L139" s="7" t="str">
        <f>IF(I139="Completed","0",IF($H139="","",$H139-'[2]Read Me'!$B$4))</f>
        <v/>
      </c>
      <c r="M139" s="4" t="str">
        <f>IF($I139="Complete","Green",IF($H139="","Amber",IF($H139&lt;'[2]Read Me'!$B$4,"Red",IF($H139-'[2]Read Me'!$B$4&lt;=21,"Amber","Green"))))</f>
        <v>Amber</v>
      </c>
      <c r="N139" s="3"/>
      <c r="O139" t="str">
        <f>IF($I139&lt;&gt;"Complete",IF(COUNTIFS($A$4:$A138,$A139,$B$4:$B138,$B139,$I$4:$I138,"&lt;&gt;Complete")=0,$A139&amp;"|"&amp;$B139,""),"")</f>
        <v>|</v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/>
      <c r="B140" s="2"/>
      <c r="C140" s="3"/>
      <c r="D140" s="3"/>
      <c r="E140" s="2"/>
      <c r="F140" s="2"/>
      <c r="G140" s="5"/>
      <c r="H140" s="5"/>
      <c r="I140" s="4"/>
      <c r="J140" s="6" t="str">
        <f t="shared" si="7"/>
        <v/>
      </c>
      <c r="K140" s="4" t="str">
        <f t="shared" ca="1" si="8"/>
        <v/>
      </c>
      <c r="L140" s="7" t="str">
        <f>IF(I140="Completed","0",IF($H140="","",$H140-'[2]Read Me'!$B$4))</f>
        <v/>
      </c>
      <c r="M140" s="4" t="str">
        <f>IF($I140="Complete","Green",IF($H140="","Amber",IF($H140&lt;'[2]Read Me'!$B$4,"Red",IF($H140-'[2]Read Me'!$B$4&lt;=21,"Amber","Green"))))</f>
        <v>Amber</v>
      </c>
      <c r="N140" s="3"/>
      <c r="O140" t="str">
        <f>IF($I140&lt;&gt;"Complete",IF(COUNTIFS($A$4:$A139,$A140,$B$4:$B139,$B140,$I$4:$I139,"&lt;&gt;Complete")=0,$A140&amp;"|"&amp;$B140,""),"")</f>
        <v>|</v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/>
      <c r="B141" s="2"/>
      <c r="C141" s="3"/>
      <c r="D141" s="3"/>
      <c r="E141" s="2"/>
      <c r="F141" s="2"/>
      <c r="G141" s="5"/>
      <c r="H141" s="5"/>
      <c r="I141" s="4"/>
      <c r="J141" s="6" t="str">
        <f t="shared" si="7"/>
        <v/>
      </c>
      <c r="K141" s="4" t="str">
        <f t="shared" ca="1" si="8"/>
        <v/>
      </c>
      <c r="L141" s="7" t="str">
        <f>IF(I141="Completed","0",IF($H141="","",$H141-'[2]Read Me'!$B$4))</f>
        <v/>
      </c>
      <c r="M141" s="4" t="str">
        <f>IF($I141="Complete","Green",IF($H141="","Amber",IF($H141&lt;'[2]Read Me'!$B$4,"Red",IF($H141-'[2]Read Me'!$B$4&lt;=21,"Amber","Green"))))</f>
        <v>Amber</v>
      </c>
      <c r="N141" s="3"/>
      <c r="O141" t="str">
        <f>IF($I141&lt;&gt;"Complete",IF(COUNTIFS($A$4:$A140,$A141,$B$4:$B140,$B141,$I$4:$I140,"&lt;&gt;Complete")=0,$A141&amp;"|"&amp;$B141,""),"")</f>
        <v>|</v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/>
      <c r="B142" s="2"/>
      <c r="C142" s="3"/>
      <c r="D142" s="3"/>
      <c r="E142" s="2"/>
      <c r="F142" s="2"/>
      <c r="G142" s="5"/>
      <c r="H142" s="5"/>
      <c r="I142" s="4"/>
      <c r="J142" s="6" t="str">
        <f t="shared" si="7"/>
        <v/>
      </c>
      <c r="K142" s="4" t="str">
        <f t="shared" ca="1" si="8"/>
        <v/>
      </c>
      <c r="L142" s="7" t="str">
        <f>IF(I142="Completed","0",IF($H142="","",$H142-'[2]Read Me'!$B$4))</f>
        <v/>
      </c>
      <c r="M142" s="4" t="str">
        <f>IF($I142="Complete","Green",IF($H142="","Amber",IF($H142&lt;'[2]Read Me'!$B$4,"Red",IF($H142-'[2]Read Me'!$B$4&lt;=21,"Amber","Green"))))</f>
        <v>Amber</v>
      </c>
      <c r="N142" s="3"/>
      <c r="O142" t="str">
        <f>IF($I142&lt;&gt;"Complete",IF(COUNTIFS($A$4:$A141,$A142,$B$4:$B141,$B142,$I$4:$I141,"&lt;&gt;Complete")=0,$A142&amp;"|"&amp;$B142,""),"")</f>
        <v>|</v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/>
      <c r="B143" s="2"/>
      <c r="C143" s="3"/>
      <c r="D143" s="3"/>
      <c r="E143" s="2"/>
      <c r="F143" s="2"/>
      <c r="G143" s="5"/>
      <c r="H143" s="5"/>
      <c r="I143" s="4"/>
      <c r="J143" s="6" t="str">
        <f t="shared" si="7"/>
        <v/>
      </c>
      <c r="K143" s="4" t="str">
        <f t="shared" ca="1" si="8"/>
        <v/>
      </c>
      <c r="L143" s="7" t="str">
        <f>IF(I143="Completed","0",IF($H143="","",$H143-'[2]Read Me'!$B$4))</f>
        <v/>
      </c>
      <c r="M143" s="4" t="str">
        <f>IF($I143="Complete","Green",IF($H143="","Amber",IF($H143&lt;'[2]Read Me'!$B$4,"Red",IF($H143-'[2]Read Me'!$B$4&lt;=21,"Amber","Green"))))</f>
        <v>Amber</v>
      </c>
      <c r="N143" s="3"/>
      <c r="O143" t="str">
        <f>IF($I143&lt;&gt;"Complete",IF(COUNTIFS($A$4:$A142,$A143,$B$4:$B142,$B143,$I$4:$I142,"&lt;&gt;Complete")=0,$A143&amp;"|"&amp;$B143,""),"")</f>
        <v>|</v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/>
      <c r="B144" s="2"/>
      <c r="C144" s="3"/>
      <c r="D144" s="3"/>
      <c r="E144" s="2"/>
      <c r="F144" s="2"/>
      <c r="G144" s="5"/>
      <c r="H144" s="5"/>
      <c r="I144" s="4"/>
      <c r="J144" s="6" t="str">
        <f t="shared" si="7"/>
        <v/>
      </c>
      <c r="K144" s="4" t="str">
        <f t="shared" ca="1" si="8"/>
        <v/>
      </c>
      <c r="L144" s="7" t="str">
        <f>IF(I144="Completed","0",IF($H144="","",$H144-'[2]Read Me'!$B$4))</f>
        <v/>
      </c>
      <c r="M144" s="4" t="str">
        <f>IF($I144="Complete","Green",IF($H144="","Amber",IF($H144&lt;'[2]Read Me'!$B$4,"Red",IF($H144-'[2]Read Me'!$B$4&lt;=21,"Amber","Green"))))</f>
        <v>Amber</v>
      </c>
      <c r="N144" s="3"/>
      <c r="O144" t="str">
        <f>IF($I144&lt;&gt;"Complete",IF(COUNTIFS($A$4:$A143,$A144,$B$4:$B143,$B144,$I$4:$I143,"&lt;&gt;Complete")=0,$A144&amp;"|"&amp;$B144,""),"")</f>
        <v>|</v>
      </c>
      <c r="P144" t="str">
        <f ca="1">IF($K144="Yes",COUNTIFS($K$4:$K144,"Yes"),"")</f>
        <v/>
      </c>
      <c r="Q144">
        <f t="shared" ca="1" si="9"/>
        <v>0</v>
      </c>
      <c r="R144" t="str">
        <f ca="1">IF($Q144=1,SUM($Q$4:$Q144),"")</f>
        <v/>
      </c>
    </row>
    <row r="145" spans="1:18" ht="22.5" customHeight="1" x14ac:dyDescent="0.3">
      <c r="A145" s="2"/>
      <c r="B145" s="2"/>
      <c r="C145" s="3"/>
      <c r="D145" s="3"/>
      <c r="E145" s="2"/>
      <c r="F145" s="2"/>
      <c r="G145" s="5"/>
      <c r="H145" s="5"/>
      <c r="I145" s="4"/>
      <c r="J145" s="6" t="str">
        <f t="shared" si="7"/>
        <v/>
      </c>
      <c r="K145" s="4" t="str">
        <f t="shared" ca="1" si="8"/>
        <v/>
      </c>
      <c r="L145" s="7" t="str">
        <f>IF(I145="Completed","0",IF($H145="","",$H145-'[2]Read Me'!$B$4))</f>
        <v/>
      </c>
      <c r="M145" s="4" t="str">
        <f>IF($I145="Complete","Green",IF($H145="","Amber",IF($H145&lt;'[2]Read Me'!$B$4,"Red",IF($H145-'[2]Read Me'!$B$4&lt;=21,"Amber","Green"))))</f>
        <v>Amber</v>
      </c>
      <c r="N145" s="3"/>
      <c r="O145" t="str">
        <f>IF($I145&lt;&gt;"Complete",IF(COUNTIFS($A$4:$A144,$A145,$B$4:$B144,$B145,$I$4:$I144,"&lt;&gt;Complete")=0,$A145&amp;"|"&amp;$B145,""),"")</f>
        <v>|</v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/>
      <c r="B146" s="2"/>
      <c r="C146" s="3"/>
      <c r="D146" s="3"/>
      <c r="E146" s="2"/>
      <c r="F146" s="2"/>
      <c r="G146" s="5"/>
      <c r="H146" s="5"/>
      <c r="I146" s="4"/>
      <c r="J146" s="6" t="str">
        <f t="shared" si="7"/>
        <v/>
      </c>
      <c r="K146" s="4" t="str">
        <f t="shared" ca="1" si="8"/>
        <v/>
      </c>
      <c r="L146" s="7" t="str">
        <f>IF(I146="Completed","0",IF($H146="","",$H146-'[2]Read Me'!$B$4))</f>
        <v/>
      </c>
      <c r="M146" s="4" t="str">
        <f>IF($I146="Complete","Green",IF($H146="","Amber",IF($H146&lt;'[2]Read Me'!$B$4,"Red",IF($H146-'[2]Read Me'!$B$4&lt;=21,"Amber","Green"))))</f>
        <v>Amber</v>
      </c>
      <c r="N146" s="3"/>
      <c r="O146" t="str">
        <f>IF($I146&lt;&gt;"Complete",IF(COUNTIFS($A$4:$A145,$A146,$B$4:$B145,$B146,$I$4:$I145,"&lt;&gt;Complete")=0,$A146&amp;"|"&amp;$B146,""),"")</f>
        <v>|</v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/>
      <c r="B147" s="2"/>
      <c r="C147" s="3"/>
      <c r="D147" s="3"/>
      <c r="E147" s="2"/>
      <c r="F147" s="2"/>
      <c r="G147" s="5"/>
      <c r="H147" s="5"/>
      <c r="I147" s="4"/>
      <c r="J147" s="6" t="str">
        <f t="shared" si="7"/>
        <v/>
      </c>
      <c r="K147" s="4" t="str">
        <f t="shared" ca="1" si="8"/>
        <v/>
      </c>
      <c r="L147" s="7" t="str">
        <f>IF(I147="Completed","0",IF($H147="","",$H147-'[2]Read Me'!$B$4))</f>
        <v/>
      </c>
      <c r="M147" s="4" t="str">
        <f>IF($I147="Complete","Green",IF($H147="","Amber",IF($H147&lt;'[2]Read Me'!$B$4,"Red",IF($H147-'[2]Read Me'!$B$4&lt;=21,"Amber","Green"))))</f>
        <v>Amber</v>
      </c>
      <c r="N147" s="3"/>
      <c r="O147" t="str">
        <f>IF($I147&lt;&gt;"Complete",IF(COUNTIFS($A$4:$A146,$A147,$B$4:$B146,$B147,$I$4:$I146,"&lt;&gt;Complete")=0,$A147&amp;"|"&amp;$B147,""),"")</f>
        <v>|</v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/>
      <c r="B148" s="2"/>
      <c r="C148" s="3"/>
      <c r="D148" s="3"/>
      <c r="E148" s="2"/>
      <c r="F148" s="2"/>
      <c r="G148" s="5"/>
      <c r="H148" s="5"/>
      <c r="I148" s="4"/>
      <c r="J148" s="6" t="str">
        <f t="shared" si="7"/>
        <v/>
      </c>
      <c r="K148" s="4" t="str">
        <f t="shared" ca="1" si="8"/>
        <v/>
      </c>
      <c r="L148" s="7" t="str">
        <f>IF(I148="Completed","0",IF($H148="","",$H148-'[2]Read Me'!$B$4))</f>
        <v/>
      </c>
      <c r="M148" s="4" t="str">
        <f>IF($I148="Complete","Green",IF($H148="","Amber",IF($H148&lt;'[2]Read Me'!$B$4,"Red",IF($H148-'[2]Read Me'!$B$4&lt;=21,"Amber","Green"))))</f>
        <v>Amber</v>
      </c>
      <c r="N148" s="3"/>
      <c r="O148" t="str">
        <f>IF($I148&lt;&gt;"Complete",IF(COUNTIFS($A$4:$A147,$A148,$B$4:$B147,$B148,$I$4:$I147,"&lt;&gt;Complete")=0,$A148&amp;"|"&amp;$B148,""),"")</f>
        <v>|</v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/>
      <c r="B149" s="2"/>
      <c r="C149" s="3"/>
      <c r="D149" s="3"/>
      <c r="E149" s="2"/>
      <c r="F149" s="2"/>
      <c r="G149" s="5"/>
      <c r="H149" s="5"/>
      <c r="I149" s="4"/>
      <c r="J149" s="6" t="str">
        <f t="shared" si="7"/>
        <v/>
      </c>
      <c r="K149" s="4" t="str">
        <f t="shared" ca="1" si="8"/>
        <v/>
      </c>
      <c r="L149" s="7" t="str">
        <f>IF(I149="Completed","0",IF($H149="","",$H149-'[2]Read Me'!$B$4))</f>
        <v/>
      </c>
      <c r="M149" s="4" t="str">
        <f>IF($I149="Complete","Green",IF($H149="","Amber",IF($H149&lt;'[2]Read Me'!$B$4,"Red",IF($H149-'[2]Read Me'!$B$4&lt;=21,"Amber","Green"))))</f>
        <v>Amber</v>
      </c>
      <c r="N149" s="3"/>
      <c r="O149" t="str">
        <f>IF($I149&lt;&gt;"Complete",IF(COUNTIFS($A$4:$A148,$A149,$B$4:$B148,$B149,$I$4:$I148,"&lt;&gt;Complete")=0,$A149&amp;"|"&amp;$B149,""),"")</f>
        <v>|</v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/>
      <c r="B150" s="2"/>
      <c r="C150" s="3"/>
      <c r="D150" s="3"/>
      <c r="E150" s="2"/>
      <c r="F150" s="2"/>
      <c r="G150" s="5"/>
      <c r="H150" s="5"/>
      <c r="I150" s="4"/>
      <c r="J150" s="6" t="str">
        <f t="shared" si="7"/>
        <v/>
      </c>
      <c r="K150" s="4" t="str">
        <f t="shared" ca="1" si="8"/>
        <v/>
      </c>
      <c r="L150" s="7" t="str">
        <f>IF(I150="Completed","0",IF($H150="","",$H150-'[2]Read Me'!$B$4))</f>
        <v/>
      </c>
      <c r="M150" s="4" t="str">
        <f>IF($I150="Complete","Green",IF($H150="","Amber",IF($H150&lt;'[2]Read Me'!$B$4,"Red",IF($H150-'[2]Read Me'!$B$4&lt;=21,"Amber","Green"))))</f>
        <v>Amber</v>
      </c>
      <c r="N150" s="3"/>
      <c r="O150" t="str">
        <f>IF($I150&lt;&gt;"Complete",IF(COUNTIFS($A$4:$A149,$A150,$B$4:$B149,$B150,$I$4:$I149,"&lt;&gt;Complete")=0,$A150&amp;"|"&amp;$B150,""),"")</f>
        <v>|</v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/>
      <c r="B151" s="2"/>
      <c r="C151" s="3"/>
      <c r="D151" s="3"/>
      <c r="E151" s="2"/>
      <c r="F151" s="2"/>
      <c r="G151" s="5"/>
      <c r="H151" s="5"/>
      <c r="I151" s="4"/>
      <c r="J151" s="6" t="str">
        <f t="shared" si="7"/>
        <v/>
      </c>
      <c r="K151" s="4" t="str">
        <f t="shared" ca="1" si="8"/>
        <v/>
      </c>
      <c r="L151" s="7" t="str">
        <f>IF(I151="Completed","0",IF($H151="","",$H151-'[2]Read Me'!$B$4))</f>
        <v/>
      </c>
      <c r="M151" s="4" t="str">
        <f>IF($I151="Complete","Green",IF($H151="","Amber",IF($H151&lt;'[2]Read Me'!$B$4,"Red",IF($H151-'[2]Read Me'!$B$4&lt;=21,"Amber","Green"))))</f>
        <v>Amber</v>
      </c>
      <c r="N151" s="3"/>
      <c r="O151" t="str">
        <f>IF($I151&lt;&gt;"Complete",IF(COUNTIFS($A$4:$A150,$A151,$B$4:$B150,$B151,$I$4:$I150,"&lt;&gt;Complete")=0,$A151&amp;"|"&amp;$B151,""),"")</f>
        <v>|</v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/>
      <c r="B152" s="2"/>
      <c r="C152" s="3"/>
      <c r="D152" s="3"/>
      <c r="E152" s="2"/>
      <c r="F152" s="2"/>
      <c r="G152" s="5"/>
      <c r="H152" s="5"/>
      <c r="I152" s="4"/>
      <c r="J152" s="6" t="str">
        <f t="shared" si="7"/>
        <v/>
      </c>
      <c r="K152" s="4" t="str">
        <f t="shared" ca="1" si="8"/>
        <v/>
      </c>
      <c r="L152" s="7" t="str">
        <f>IF(I152="Completed","0",IF($H152="","",$H152-'[2]Read Me'!$B$4))</f>
        <v/>
      </c>
      <c r="M152" s="4" t="str">
        <f>IF($I152="Complete","Green",IF($H152="","Amber",IF($H152&lt;'[2]Read Me'!$B$4,"Red",IF($H152-'[2]Read Me'!$B$4&lt;=21,"Amber","Green"))))</f>
        <v>Amber</v>
      </c>
      <c r="N152" s="3"/>
      <c r="O152" t="str">
        <f>IF($I152&lt;&gt;"Complete",IF(COUNTIFS($A$4:$A151,$A152,$B$4:$B151,$B152,$I$4:$I151,"&lt;&gt;Complete")=0,$A152&amp;"|"&amp;$B152,""),"")</f>
        <v>|</v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/>
      <c r="B153" s="2"/>
      <c r="C153" s="3"/>
      <c r="D153" s="3"/>
      <c r="E153" s="2"/>
      <c r="F153" s="2"/>
      <c r="G153" s="5"/>
      <c r="H153" s="5"/>
      <c r="I153" s="4"/>
      <c r="J153" s="6" t="str">
        <f t="shared" si="7"/>
        <v/>
      </c>
      <c r="K153" s="4" t="str">
        <f t="shared" ca="1" si="8"/>
        <v/>
      </c>
      <c r="L153" s="7" t="str">
        <f>IF(I153="Completed","0",IF($H153="","",$H153-'[2]Read Me'!$B$4))</f>
        <v/>
      </c>
      <c r="M153" s="4" t="str">
        <f>IF($I153="Complete","Green",IF($H153="","Amber",IF($H153&lt;'[2]Read Me'!$B$4,"Red",IF($H153-'[2]Read Me'!$B$4&lt;=21,"Amber","Green"))))</f>
        <v>Amber</v>
      </c>
      <c r="N153" s="3"/>
      <c r="O153" t="str">
        <f>IF($I153&lt;&gt;"Complete",IF(COUNTIFS($A$4:$A152,$A153,$B$4:$B152,$B153,$I$4:$I152,"&lt;&gt;Complete")=0,$A153&amp;"|"&amp;$B153,""),"")</f>
        <v>|</v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/>
      <c r="B154" s="2"/>
      <c r="C154" s="3"/>
      <c r="D154" s="3"/>
      <c r="E154" s="2"/>
      <c r="F154" s="2"/>
      <c r="G154" s="5"/>
      <c r="H154" s="5"/>
      <c r="I154" s="4"/>
      <c r="J154" s="6" t="str">
        <f t="shared" si="7"/>
        <v/>
      </c>
      <c r="K154" s="4" t="str">
        <f t="shared" ca="1" si="8"/>
        <v/>
      </c>
      <c r="L154" s="7" t="str">
        <f>IF(I154="Completed","0",IF($H154="","",$H154-'[2]Read Me'!$B$4))</f>
        <v/>
      </c>
      <c r="M154" s="4" t="str">
        <f>IF($I154="Complete","Green",IF($H154="","Amber",IF($H154&lt;'[2]Read Me'!$B$4,"Red",IF($H154-'[2]Read Me'!$B$4&lt;=21,"Amber","Green"))))</f>
        <v>Amber</v>
      </c>
      <c r="N154" s="3"/>
      <c r="O154" t="str">
        <f>IF($I154&lt;&gt;"Complete",IF(COUNTIFS($A$4:$A153,$A154,$B$4:$B153,$B154,$I$4:$I153,"&lt;&gt;Complete")=0,$A154&amp;"|"&amp;$B154,""),"")</f>
        <v>|</v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/>
      <c r="B155" s="2"/>
      <c r="C155" s="3"/>
      <c r="D155" s="3"/>
      <c r="E155" s="2"/>
      <c r="F155" s="2"/>
      <c r="G155" s="5"/>
      <c r="H155" s="5"/>
      <c r="I155" s="4"/>
      <c r="J155" s="6" t="str">
        <f t="shared" si="7"/>
        <v/>
      </c>
      <c r="K155" s="4" t="str">
        <f t="shared" ca="1" si="8"/>
        <v/>
      </c>
      <c r="L155" s="7" t="str">
        <f>IF(I155="Completed","0",IF($H155="","",$H155-'[2]Read Me'!$B$4))</f>
        <v/>
      </c>
      <c r="M155" s="4" t="str">
        <f>IF($I155="Complete","Green",IF($H155="","Amber",IF($H155&lt;'[2]Read Me'!$B$4,"Red",IF($H155-'[2]Read Me'!$B$4&lt;=21,"Amber","Green"))))</f>
        <v>Amber</v>
      </c>
      <c r="N155" s="3"/>
      <c r="O155" t="str">
        <f>IF($I155&lt;&gt;"Complete",IF(COUNTIFS($A$4:$A154,$A155,$B$4:$B154,$B155,$I$4:$I154,"&lt;&gt;Complete")=0,$A155&amp;"|"&amp;$B155,""),"")</f>
        <v>|</v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/>
      <c r="B156" s="2"/>
      <c r="C156" s="3"/>
      <c r="D156" s="3"/>
      <c r="E156" s="2"/>
      <c r="F156" s="2"/>
      <c r="G156" s="5"/>
      <c r="H156" s="5"/>
      <c r="I156" s="4"/>
      <c r="J156" s="6" t="str">
        <f t="shared" si="7"/>
        <v/>
      </c>
      <c r="K156" s="4" t="str">
        <f t="shared" ca="1" si="8"/>
        <v/>
      </c>
      <c r="L156" s="7" t="str">
        <f>IF(I156="Completed","0",IF($H156="","",$H156-'[2]Read Me'!$B$4))</f>
        <v/>
      </c>
      <c r="M156" s="4" t="str">
        <f>IF($I156="Complete","Green",IF($H156="","Amber",IF($H156&lt;'[2]Read Me'!$B$4,"Red",IF($H156-'[2]Read Me'!$B$4&lt;=21,"Amber","Green"))))</f>
        <v>Amber</v>
      </c>
      <c r="N156" s="3"/>
      <c r="O156" t="str">
        <f>IF($I156&lt;&gt;"Complete",IF(COUNTIFS($A$4:$A155,$A156,$B$4:$B155,$B156,$I$4:$I155,"&lt;&gt;Complete")=0,$A156&amp;"|"&amp;$B156,""),"")</f>
        <v>|</v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/>
      <c r="B157" s="2"/>
      <c r="C157" s="3"/>
      <c r="D157" s="3"/>
      <c r="E157" s="2"/>
      <c r="F157" s="2"/>
      <c r="G157" s="5"/>
      <c r="H157" s="5"/>
      <c r="I157" s="4"/>
      <c r="J157" s="6" t="str">
        <f t="shared" si="7"/>
        <v/>
      </c>
      <c r="K157" s="4" t="str">
        <f t="shared" ca="1" si="8"/>
        <v/>
      </c>
      <c r="L157" s="7" t="str">
        <f>IF(I157="Completed","0",IF($H157="","",$H157-'[2]Read Me'!$B$4))</f>
        <v/>
      </c>
      <c r="M157" s="4" t="str">
        <f>IF($I157="Complete","Green",IF($H157="","Amber",IF($H157&lt;'[2]Read Me'!$B$4,"Red",IF($H157-'[2]Read Me'!$B$4&lt;=21,"Amber","Green"))))</f>
        <v>Amber</v>
      </c>
      <c r="N157" s="3"/>
      <c r="O157" t="str">
        <f>IF($I157&lt;&gt;"Complete",IF(COUNTIFS($A$4:$A156,$A157,$B$4:$B156,$B157,$I$4:$I156,"&lt;&gt;Complete")=0,$A157&amp;"|"&amp;$B157,""),"")</f>
        <v>|</v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/>
      <c r="B158" s="2"/>
      <c r="C158" s="3"/>
      <c r="D158" s="3"/>
      <c r="E158" s="2"/>
      <c r="F158" s="2"/>
      <c r="G158" s="5"/>
      <c r="H158" s="5"/>
      <c r="I158" s="4"/>
      <c r="J158" s="6" t="str">
        <f t="shared" si="7"/>
        <v/>
      </c>
      <c r="K158" s="4" t="str">
        <f t="shared" ca="1" si="8"/>
        <v/>
      </c>
      <c r="L158" s="7" t="str">
        <f>IF(I158="Completed","0",IF($H158="","",$H158-'[2]Read Me'!$B$4))</f>
        <v/>
      </c>
      <c r="M158" s="4" t="str">
        <f>IF($I158="Complete","Green",IF($H158="","Amber",IF($H158&lt;'[2]Read Me'!$B$4,"Red",IF($H158-'[2]Read Me'!$B$4&lt;=21,"Amber","Green"))))</f>
        <v>Amber</v>
      </c>
      <c r="N158" s="3"/>
      <c r="O158" t="str">
        <f>IF($I158&lt;&gt;"Complete",IF(COUNTIFS($A$4:$A157,$A158,$B$4:$B157,$B158,$I$4:$I157,"&lt;&gt;Complete")=0,$A158&amp;"|"&amp;$B158,""),"")</f>
        <v>|</v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/>
      <c r="B159" s="2"/>
      <c r="C159" s="3"/>
      <c r="D159" s="3"/>
      <c r="E159" s="2"/>
      <c r="F159" s="2"/>
      <c r="G159" s="5"/>
      <c r="H159" s="5"/>
      <c r="I159" s="4"/>
      <c r="J159" s="6" t="str">
        <f t="shared" si="7"/>
        <v/>
      </c>
      <c r="K159" s="4" t="str">
        <f t="shared" ca="1" si="8"/>
        <v/>
      </c>
      <c r="L159" s="7" t="str">
        <f>IF(I159="Completed","0",IF($H159="","",$H159-'[2]Read Me'!$B$4))</f>
        <v/>
      </c>
      <c r="M159" s="4" t="str">
        <f>IF($I159="Complete","Green",IF($H159="","Amber",IF($H159&lt;'[2]Read Me'!$B$4,"Red",IF($H159-'[2]Read Me'!$B$4&lt;=21,"Amber","Green"))))</f>
        <v>Amber</v>
      </c>
      <c r="N159" s="3"/>
      <c r="O159" t="str">
        <f>IF($I159&lt;&gt;"Complete",IF(COUNTIFS($A$4:$A158,$A159,$B$4:$B158,$B159,$I$4:$I158,"&lt;&gt;Complete")=0,$A159&amp;"|"&amp;$B159,""),"")</f>
        <v>|</v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/>
      <c r="B160" s="2"/>
      <c r="C160" s="3"/>
      <c r="D160" s="3"/>
      <c r="E160" s="2"/>
      <c r="F160" s="2"/>
      <c r="G160" s="5"/>
      <c r="H160" s="5"/>
      <c r="I160" s="4"/>
      <c r="J160" s="6" t="str">
        <f t="shared" si="7"/>
        <v/>
      </c>
      <c r="K160" s="4" t="str">
        <f t="shared" ca="1" si="8"/>
        <v/>
      </c>
      <c r="L160" s="7" t="str">
        <f>IF(I160="Completed","0",IF($H160="","",$H160-'[2]Read Me'!$B$4))</f>
        <v/>
      </c>
      <c r="M160" s="4" t="str">
        <f>IF($I160="Complete","Green",IF($H160="","Amber",IF($H160&lt;'[2]Read Me'!$B$4,"Red",IF($H160-'[2]Read Me'!$B$4&lt;=21,"Amber","Green"))))</f>
        <v>Amber</v>
      </c>
      <c r="N160" s="3"/>
      <c r="O160" t="str">
        <f>IF($I160&lt;&gt;"Complete",IF(COUNTIFS($A$4:$A159,$A160,$B$4:$B159,$B160,$I$4:$I159,"&lt;&gt;Complete")=0,$A160&amp;"|"&amp;$B160,""),"")</f>
        <v>|</v>
      </c>
      <c r="P160" t="str">
        <f ca="1">IF($K160="Yes",COUNTIFS($K$4:$K160,"Yes"),"")</f>
        <v/>
      </c>
      <c r="Q160">
        <f t="shared" ca="1" si="9"/>
        <v>0</v>
      </c>
      <c r="R160" t="str">
        <f ca="1">IF($Q160=1,SUM($Q$4:$Q160),"")</f>
        <v/>
      </c>
    </row>
    <row r="161" spans="1:18" ht="33.75" customHeight="1" x14ac:dyDescent="0.3">
      <c r="A161" s="2"/>
      <c r="B161" s="2"/>
      <c r="C161" s="3"/>
      <c r="D161" s="3"/>
      <c r="E161" s="2"/>
      <c r="F161" s="2"/>
      <c r="G161" s="5"/>
      <c r="H161" s="5"/>
      <c r="I161" s="4"/>
      <c r="J161" s="6" t="str">
        <f t="shared" si="7"/>
        <v/>
      </c>
      <c r="K161" s="4" t="str">
        <f t="shared" ca="1" si="8"/>
        <v/>
      </c>
      <c r="L161" s="7" t="str">
        <f>IF(I161="Completed","0",IF($H161="","",$H161-'[2]Read Me'!$B$4))</f>
        <v/>
      </c>
      <c r="M161" s="4" t="str">
        <f>IF($I161="Complete","Green",IF($H161="","Amber",IF($H161&lt;'[2]Read Me'!$B$4,"Red",IF($H161-'[2]Read Me'!$B$4&lt;=21,"Amber","Green"))))</f>
        <v>Amber</v>
      </c>
      <c r="N161" s="3"/>
      <c r="O161" t="str">
        <f>IF($I161&lt;&gt;"Complete",IF(COUNTIFS($A$4:$A160,$A161,$B$4:$B160,$B161,$I$4:$I160,"&lt;&gt;Complete")=0,$A161&amp;"|"&amp;$B161,""),"")</f>
        <v>|</v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/>
      <c r="B162" s="2"/>
      <c r="C162" s="3"/>
      <c r="D162" s="3"/>
      <c r="E162" s="2"/>
      <c r="F162" s="2"/>
      <c r="G162" s="5"/>
      <c r="H162" s="5"/>
      <c r="I162" s="4"/>
      <c r="J162" s="6" t="str">
        <f t="shared" si="7"/>
        <v/>
      </c>
      <c r="K162" s="4" t="str">
        <f t="shared" ca="1" si="8"/>
        <v/>
      </c>
      <c r="L162" s="7" t="str">
        <f>IF(I162="Completed","0",IF($H162="","",$H162-'[2]Read Me'!$B$4))</f>
        <v/>
      </c>
      <c r="M162" s="4" t="str">
        <f>IF($I162="Complete","Green",IF($H162="","Amber",IF($H162&lt;'[2]Read Me'!$B$4,"Red",IF($H162-'[2]Read Me'!$B$4&lt;=21,"Amber","Green"))))</f>
        <v>Amber</v>
      </c>
      <c r="N162" s="3"/>
      <c r="O162" t="str">
        <f>IF($I162&lt;&gt;"Complete",IF(COUNTIFS($A$4:$A161,$A162,$B$4:$B161,$B162,$I$4:$I161,"&lt;&gt;Complete")=0,$A162&amp;"|"&amp;$B162,""),"")</f>
        <v>|</v>
      </c>
      <c r="P162" t="str">
        <f ca="1">IF($K162="Yes",COUNTIFS($K$4:$K162,"Yes"),"")</f>
        <v/>
      </c>
      <c r="Q162">
        <f t="shared" ca="1" si="9"/>
        <v>0</v>
      </c>
      <c r="R162" t="str">
        <f ca="1">IF($Q162=1,SUM($Q$4:$Q162),"")</f>
        <v/>
      </c>
    </row>
    <row r="163" spans="1:18" ht="33.75" customHeight="1" x14ac:dyDescent="0.3">
      <c r="A163" s="2"/>
      <c r="B163" s="2"/>
      <c r="C163" s="3"/>
      <c r="D163" s="3"/>
      <c r="E163" s="2"/>
      <c r="F163" s="2"/>
      <c r="G163" s="5"/>
      <c r="H163" s="5"/>
      <c r="I163" s="4"/>
      <c r="J163" s="6" t="str">
        <f t="shared" si="7"/>
        <v/>
      </c>
      <c r="K163" s="4" t="str">
        <f t="shared" ca="1" si="8"/>
        <v/>
      </c>
      <c r="L163" s="7" t="str">
        <f>IF(I163="Completed","0",IF($H163="","",$H163-'[2]Read Me'!$B$4))</f>
        <v/>
      </c>
      <c r="M163" s="4" t="str">
        <f>IF($I163="Complete","Green",IF($H163="","Amber",IF($H163&lt;'[2]Read Me'!$B$4,"Red",IF($H163-'[2]Read Me'!$B$4&lt;=21,"Amber","Green"))))</f>
        <v>Amber</v>
      </c>
      <c r="N163" s="3"/>
      <c r="O163" t="str">
        <f>IF($I163&lt;&gt;"Complete",IF(COUNTIFS($A$4:$A162,$A163,$B$4:$B162,$B163,$I$4:$I162,"&lt;&gt;Complete")=0,$A163&amp;"|"&amp;$B163,""),"")</f>
        <v>|</v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/>
      <c r="B164" s="2"/>
      <c r="C164" s="3"/>
      <c r="D164" s="3"/>
      <c r="E164" s="2"/>
      <c r="F164" s="2"/>
      <c r="G164" s="5"/>
      <c r="H164" s="5"/>
      <c r="I164" s="4"/>
      <c r="J164" s="6" t="str">
        <f t="shared" si="7"/>
        <v/>
      </c>
      <c r="K164" s="4" t="str">
        <f t="shared" ca="1" si="8"/>
        <v/>
      </c>
      <c r="L164" s="7" t="str">
        <f>IF(I164="Completed","0",IF($H164="","",$H164-'[2]Read Me'!$B$4))</f>
        <v/>
      </c>
      <c r="M164" s="4" t="str">
        <f>IF($I164="Complete","Green",IF($H164="","Amber",IF($H164&lt;'[2]Read Me'!$B$4,"Red",IF($H164-'[2]Read Me'!$B$4&lt;=21,"Amber","Green"))))</f>
        <v>Amber</v>
      </c>
      <c r="N164" s="3"/>
      <c r="O164" t="str">
        <f>IF($I164&lt;&gt;"Complete",IF(COUNTIFS($A$4:$A163,$A164,$B$4:$B163,$B164,$I$4:$I163,"&lt;&gt;Complete")=0,$A164&amp;"|"&amp;$B164,""),"")</f>
        <v>|</v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/>
      <c r="B165" s="2"/>
      <c r="C165" s="3"/>
      <c r="D165" s="3"/>
      <c r="E165" s="2"/>
      <c r="F165" s="2"/>
      <c r="G165" s="5"/>
      <c r="H165" s="5"/>
      <c r="I165" s="4"/>
      <c r="J165" s="6" t="str">
        <f t="shared" si="7"/>
        <v/>
      </c>
      <c r="K165" s="4" t="str">
        <f t="shared" ca="1" si="8"/>
        <v/>
      </c>
      <c r="L165" s="7" t="str">
        <f>IF(I165="Completed","0",IF($H165="","",$H165-'[2]Read Me'!$B$4))</f>
        <v/>
      </c>
      <c r="M165" s="4" t="str">
        <f>IF($I165="Complete","Green",IF($H165="","Amber",IF($H165&lt;'[2]Read Me'!$B$4,"Red",IF($H165-'[2]Read Me'!$B$4&lt;=21,"Amber","Green"))))</f>
        <v>Amber</v>
      </c>
      <c r="N165" s="3"/>
      <c r="O165" t="str">
        <f>IF($I165&lt;&gt;"Complete",IF(COUNTIFS($A$4:$A164,$A165,$B$4:$B164,$B165,$I$4:$I164,"&lt;&gt;Complete")=0,$A165&amp;"|"&amp;$B165,""),"")</f>
        <v>|</v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/>
      <c r="B166" s="2"/>
      <c r="C166" s="3"/>
      <c r="D166" s="3"/>
      <c r="E166" s="2"/>
      <c r="F166" s="2"/>
      <c r="G166" s="5"/>
      <c r="H166" s="5"/>
      <c r="I166" s="4"/>
      <c r="J166" s="6" t="str">
        <f t="shared" si="7"/>
        <v/>
      </c>
      <c r="K166" s="4" t="str">
        <f t="shared" ca="1" si="8"/>
        <v/>
      </c>
      <c r="L166" s="7" t="str">
        <f>IF(I166="Completed","0",IF($H166="","",$H166-'[2]Read Me'!$B$4))</f>
        <v/>
      </c>
      <c r="M166" s="4" t="str">
        <f>IF($I166="Complete","Green",IF($H166="","Amber",IF($H166&lt;'[2]Read Me'!$B$4,"Red",IF($H166-'[2]Read Me'!$B$4&lt;=21,"Amber","Green"))))</f>
        <v>Amber</v>
      </c>
      <c r="N166" s="3"/>
      <c r="O166" t="str">
        <f>IF($I166&lt;&gt;"Complete",IF(COUNTIFS($A$4:$A165,$A166,$B$4:$B165,$B166,$I$4:$I165,"&lt;&gt;Complete")=0,$A166&amp;"|"&amp;$B166,""),"")</f>
        <v>|</v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/>
      <c r="B167" s="2"/>
      <c r="C167" s="3"/>
      <c r="D167" s="3"/>
      <c r="E167" s="2"/>
      <c r="F167" s="2"/>
      <c r="G167" s="5"/>
      <c r="H167" s="5"/>
      <c r="I167" s="4"/>
      <c r="J167" s="6" t="str">
        <f t="shared" si="7"/>
        <v/>
      </c>
      <c r="K167" s="4" t="str">
        <f t="shared" ca="1" si="8"/>
        <v/>
      </c>
      <c r="L167" s="7" t="str">
        <f>IF(I167="Completed","0",IF($H167="","",$H167-'[2]Read Me'!$B$4))</f>
        <v/>
      </c>
      <c r="M167" s="4" t="str">
        <f>IF($I167="Complete","Green",IF($H167="","Amber",IF($H167&lt;'[2]Read Me'!$B$4,"Red",IF($H167-'[2]Read Me'!$B$4&lt;=21,"Amber","Green"))))</f>
        <v>Amber</v>
      </c>
      <c r="N167" s="3"/>
      <c r="O167" t="str">
        <f>IF($I167&lt;&gt;"Complete",IF(COUNTIFS($A$4:$A166,$A167,$B$4:$B166,$B167,$I$4:$I166,"&lt;&gt;Complete")=0,$A167&amp;"|"&amp;$B167,""),"")</f>
        <v>|</v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/>
      <c r="B168" s="2"/>
      <c r="C168" s="3"/>
      <c r="D168" s="3"/>
      <c r="E168" s="2"/>
      <c r="F168" s="2"/>
      <c r="G168" s="5"/>
      <c r="H168" s="5"/>
      <c r="I168" s="4"/>
      <c r="J168" s="6" t="str">
        <f t="shared" si="7"/>
        <v/>
      </c>
      <c r="K168" s="4" t="str">
        <f t="shared" ca="1" si="8"/>
        <v/>
      </c>
      <c r="L168" s="7" t="str">
        <f>IF(I168="Completed","0",IF($H168="","",$H168-'[2]Read Me'!$B$4))</f>
        <v/>
      </c>
      <c r="M168" s="4" t="str">
        <f>IF($I168="Complete","Green",IF($H168="","Amber",IF($H168&lt;'[2]Read Me'!$B$4,"Red",IF($H168-'[2]Read Me'!$B$4&lt;=21,"Amber","Green"))))</f>
        <v>Amber</v>
      </c>
      <c r="N168" s="3"/>
      <c r="O168" t="str">
        <f>IF($I168&lt;&gt;"Complete",IF(COUNTIFS($A$4:$A167,$A168,$B$4:$B167,$B168,$I$4:$I167,"&lt;&gt;Complete")=0,$A168&amp;"|"&amp;$B168,""),"")</f>
        <v>|</v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/>
      <c r="B169" s="2"/>
      <c r="C169" s="3"/>
      <c r="D169" s="3"/>
      <c r="E169" s="2"/>
      <c r="F169" s="2"/>
      <c r="G169" s="5"/>
      <c r="H169" s="5"/>
      <c r="I169" s="4"/>
      <c r="J169" s="6" t="str">
        <f t="shared" si="7"/>
        <v/>
      </c>
      <c r="K169" s="4" t="str">
        <f t="shared" ca="1" si="8"/>
        <v/>
      </c>
      <c r="L169" s="7" t="str">
        <f>IF(I169="Completed","0",IF($H169="","",$H169-'[2]Read Me'!$B$4))</f>
        <v/>
      </c>
      <c r="M169" s="4" t="str">
        <f>IF($I169="Complete","Green",IF($H169="","Amber",IF($H169&lt;'[2]Read Me'!$B$4,"Red",IF($H169-'[2]Read Me'!$B$4&lt;=21,"Amber","Green"))))</f>
        <v>Amber</v>
      </c>
      <c r="N169" s="3"/>
      <c r="O169" t="str">
        <f>IF($I169&lt;&gt;"Complete",IF(COUNTIFS($A$4:$A168,$A169,$B$4:$B168,$B169,$I$4:$I168,"&lt;&gt;Complete")=0,$A169&amp;"|"&amp;$B169,""),"")</f>
        <v>|</v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/>
      <c r="B170" s="2"/>
      <c r="C170" s="3"/>
      <c r="D170" s="3"/>
      <c r="E170" s="2"/>
      <c r="F170" s="2"/>
      <c r="G170" s="5"/>
      <c r="H170" s="5"/>
      <c r="I170" s="4"/>
      <c r="J170" s="6" t="str">
        <f t="shared" si="7"/>
        <v/>
      </c>
      <c r="K170" s="4" t="str">
        <f t="shared" ca="1" si="8"/>
        <v/>
      </c>
      <c r="L170" s="7" t="str">
        <f>IF(I170="Completed","0",IF($H170="","",$H170-'[2]Read Me'!$B$4))</f>
        <v/>
      </c>
      <c r="M170" s="4" t="str">
        <f>IF($I170="Complete","Green",IF($H170="","Amber",IF($H170&lt;'[2]Read Me'!$B$4,"Red",IF($H170-'[2]Read Me'!$B$4&lt;=21,"Amber","Green"))))</f>
        <v>Amber</v>
      </c>
      <c r="N170" s="3"/>
      <c r="O170" t="str">
        <f>IF($I170&lt;&gt;"Complete",IF(COUNTIFS($A$4:$A169,$A170,$B$4:$B169,$B170,$I$4:$I169,"&lt;&gt;Complete")=0,$A170&amp;"|"&amp;$B170,""),"")</f>
        <v>|</v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/>
      <c r="B171" s="2"/>
      <c r="C171" s="3"/>
      <c r="D171" s="3"/>
      <c r="E171" s="2"/>
      <c r="F171" s="2"/>
      <c r="G171" s="5"/>
      <c r="H171" s="5"/>
      <c r="I171" s="4"/>
      <c r="J171" s="6" t="str">
        <f t="shared" si="7"/>
        <v/>
      </c>
      <c r="K171" s="4" t="str">
        <f t="shared" ca="1" si="8"/>
        <v/>
      </c>
      <c r="L171" s="7" t="str">
        <f>IF(I171="Completed","0",IF($H171="","",$H171-'[2]Read Me'!$B$4))</f>
        <v/>
      </c>
      <c r="M171" s="4" t="str">
        <f>IF($I171="Complete","Green",IF($H171="","Amber",IF($H171&lt;'[2]Read Me'!$B$4,"Red",IF($H171-'[2]Read Me'!$B$4&lt;=21,"Amber","Green"))))</f>
        <v>Amber</v>
      </c>
      <c r="N171" s="3"/>
      <c r="O171" t="str">
        <f>IF($I171&lt;&gt;"Complete",IF(COUNTIFS($A$4:$A170,$A171,$B$4:$B170,$B171,$I$4:$I170,"&lt;&gt;Complete")=0,$A171&amp;"|"&amp;$B171,""),"")</f>
        <v>|</v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/>
      <c r="B172" s="2"/>
      <c r="C172" s="3"/>
      <c r="D172" s="3"/>
      <c r="E172" s="2"/>
      <c r="F172" s="2"/>
      <c r="G172" s="5"/>
      <c r="H172" s="5"/>
      <c r="I172" s="4"/>
      <c r="J172" s="6" t="str">
        <f t="shared" si="7"/>
        <v/>
      </c>
      <c r="K172" s="4" t="str">
        <f t="shared" ca="1" si="8"/>
        <v/>
      </c>
      <c r="L172" s="7" t="str">
        <f>IF(I172="Completed","0",IF($H172="","",$H172-'[2]Read Me'!$B$4))</f>
        <v/>
      </c>
      <c r="M172" s="4" t="str">
        <f>IF($I172="Complete","Green",IF($H172="","Amber",IF($H172&lt;'[2]Read Me'!$B$4,"Red",IF($H172-'[2]Read Me'!$B$4&lt;=21,"Amber","Green"))))</f>
        <v>Amber</v>
      </c>
      <c r="N172" s="3"/>
      <c r="O172" t="str">
        <f>IF($I172&lt;&gt;"Complete",IF(COUNTIFS($A$4:$A171,$A172,$B$4:$B171,$B172,$I$4:$I171,"&lt;&gt;Complete")=0,$A172&amp;"|"&amp;$B172,""),"")</f>
        <v>|</v>
      </c>
      <c r="P172" t="str">
        <f ca="1">IF($K172="Yes",COUNTIFS($K$4:$K172,"Yes"),"")</f>
        <v/>
      </c>
      <c r="Q172">
        <f t="shared" ca="1" si="9"/>
        <v>0</v>
      </c>
      <c r="R172" t="str">
        <f ca="1">IF($Q172=1,SUM($Q$4:$Q172),"")</f>
        <v/>
      </c>
    </row>
    <row r="173" spans="1:18" ht="33.75" customHeight="1" x14ac:dyDescent="0.3">
      <c r="A173" s="2"/>
      <c r="B173" s="2"/>
      <c r="C173" s="3"/>
      <c r="D173" s="3"/>
      <c r="E173" s="2"/>
      <c r="F173" s="2"/>
      <c r="G173" s="5"/>
      <c r="H173" s="5"/>
      <c r="I173" s="4"/>
      <c r="J173" s="6" t="str">
        <f t="shared" si="7"/>
        <v/>
      </c>
      <c r="K173" s="4" t="str">
        <f t="shared" ca="1" si="8"/>
        <v/>
      </c>
      <c r="L173" s="7" t="str">
        <f>IF(I173="Completed","0",IF($H173="","",$H173-'[2]Read Me'!$B$4))</f>
        <v/>
      </c>
      <c r="M173" s="4" t="str">
        <f>IF($I173="Complete","Green",IF($H173="","Amber",IF($H173&lt;'[2]Read Me'!$B$4,"Red",IF($H173-'[2]Read Me'!$B$4&lt;=21,"Amber","Green"))))</f>
        <v>Amber</v>
      </c>
      <c r="N173" s="3"/>
      <c r="O173" t="str">
        <f>IF($I173&lt;&gt;"Complete",IF(COUNTIFS($A$4:$A172,$A173,$B$4:$B172,$B173,$I$4:$I172,"&lt;&gt;Complete")=0,$A173&amp;"|"&amp;$B173,""),"")</f>
        <v>|</v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/>
      <c r="B174" s="2"/>
      <c r="C174" s="3"/>
      <c r="D174" s="3"/>
      <c r="E174" s="2"/>
      <c r="F174" s="2"/>
      <c r="G174" s="5"/>
      <c r="H174" s="5"/>
      <c r="I174" s="4"/>
      <c r="J174" s="6" t="str">
        <f t="shared" si="7"/>
        <v/>
      </c>
      <c r="K174" s="4" t="str">
        <f t="shared" ca="1" si="8"/>
        <v/>
      </c>
      <c r="L174" s="7" t="str">
        <f>IF(I174="Completed","0",IF($H174="","",$H174-'[2]Read Me'!$B$4))</f>
        <v/>
      </c>
      <c r="M174" s="4" t="str">
        <f>IF($I174="Complete","Green",IF($H174="","Amber",IF($H174&lt;'[2]Read Me'!$B$4,"Red",IF($H174-'[2]Read Me'!$B$4&lt;=21,"Amber","Green"))))</f>
        <v>Amber</v>
      </c>
      <c r="N174" s="3"/>
      <c r="O174" t="str">
        <f>IF($I174&lt;&gt;"Complete",IF(COUNTIFS($A$4:$A173,$A174,$B$4:$B173,$B174,$I$4:$I173,"&lt;&gt;Complete")=0,$A174&amp;"|"&amp;$B174,""),"")</f>
        <v>|</v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/>
      <c r="B175" s="2"/>
      <c r="C175" s="3"/>
      <c r="D175" s="3"/>
      <c r="E175" s="2"/>
      <c r="F175" s="2"/>
      <c r="G175" s="5"/>
      <c r="H175" s="5"/>
      <c r="I175" s="4"/>
      <c r="J175" s="6" t="str">
        <f t="shared" si="7"/>
        <v/>
      </c>
      <c r="K175" s="4" t="str">
        <f t="shared" ca="1" si="8"/>
        <v/>
      </c>
      <c r="L175" s="7" t="str">
        <f>IF(I175="Completed","0",IF($H175="","",$H175-'[2]Read Me'!$B$4))</f>
        <v/>
      </c>
      <c r="M175" s="4" t="str">
        <f>IF($I175="Complete","Green",IF($H175="","Amber",IF($H175&lt;'[2]Read Me'!$B$4,"Red",IF($H175-'[2]Read Me'!$B$4&lt;=21,"Amber","Green"))))</f>
        <v>Amber</v>
      </c>
      <c r="N175" s="3"/>
      <c r="O175" t="str">
        <f>IF($I175&lt;&gt;"Complete",IF(COUNTIFS($A$4:$A174,$A175,$B$4:$B174,$B175,$I$4:$I174,"&lt;&gt;Complete")=0,$A175&amp;"|"&amp;$B175,""),"")</f>
        <v>|</v>
      </c>
      <c r="P175" t="str">
        <f ca="1">IF($K175="Yes",COUNTIFS($K$4:$K175,"Yes"),"")</f>
        <v/>
      </c>
      <c r="Q175">
        <f t="shared" ca="1" si="9"/>
        <v>0</v>
      </c>
      <c r="R175" t="str">
        <f ca="1">IF($Q175=1,SUM($Q$4:$Q175),"")</f>
        <v/>
      </c>
    </row>
    <row r="176" spans="1:18" ht="22.5" customHeight="1" x14ac:dyDescent="0.3">
      <c r="A176" s="2"/>
      <c r="B176" s="2"/>
      <c r="C176" s="3"/>
      <c r="D176" s="3"/>
      <c r="E176" s="2"/>
      <c r="F176" s="2"/>
      <c r="G176" s="5"/>
      <c r="H176" s="5"/>
      <c r="I176" s="4"/>
      <c r="J176" s="6" t="str">
        <f t="shared" si="7"/>
        <v/>
      </c>
      <c r="K176" s="4" t="str">
        <f t="shared" ca="1" si="8"/>
        <v/>
      </c>
      <c r="L176" s="7" t="str">
        <f>IF(I176="Completed","0",IF($H176="","",$H176-'[2]Read Me'!$B$4))</f>
        <v/>
      </c>
      <c r="M176" s="4" t="str">
        <f>IF($I176="Complete","Green",IF($H176="","Amber",IF($H176&lt;'[2]Read Me'!$B$4,"Red",IF($H176-'[2]Read Me'!$B$4&lt;=21,"Amber","Green"))))</f>
        <v>Amber</v>
      </c>
      <c r="N176" s="3"/>
      <c r="O176" t="str">
        <f>IF($I176&lt;&gt;"Complete",IF(COUNTIFS($A$4:$A175,$A176,$B$4:$B175,$B176,$I$4:$I175,"&lt;&gt;Complete")=0,$A176&amp;"|"&amp;$B176,""),"")</f>
        <v>|</v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/>
      <c r="B177" s="2"/>
      <c r="C177" s="3"/>
      <c r="D177" s="3"/>
      <c r="E177" s="2"/>
      <c r="F177" s="2"/>
      <c r="G177" s="5"/>
      <c r="H177" s="5"/>
      <c r="I177" s="4"/>
      <c r="J177" s="6" t="str">
        <f t="shared" si="7"/>
        <v/>
      </c>
      <c r="K177" s="4" t="str">
        <f t="shared" ca="1" si="8"/>
        <v/>
      </c>
      <c r="L177" s="7" t="str">
        <f>IF(I177="Completed","0",IF($H177="","",$H177-'[2]Read Me'!$B$4))</f>
        <v/>
      </c>
      <c r="M177" s="4" t="str">
        <f>IF($I177="Complete","Green",IF($H177="","Amber",IF($H177&lt;'[2]Read Me'!$B$4,"Red",IF($H177-'[2]Read Me'!$B$4&lt;=21,"Amber","Green"))))</f>
        <v>Amber</v>
      </c>
      <c r="N177" s="3"/>
      <c r="O177" t="str">
        <f>IF($I177&lt;&gt;"Complete",IF(COUNTIFS($A$4:$A176,$A177,$B$4:$B176,$B177,$I$4:$I176,"&lt;&gt;Complete")=0,$A177&amp;"|"&amp;$B177,""),"")</f>
        <v>|</v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/>
      <c r="B178" s="2"/>
      <c r="C178" s="3"/>
      <c r="D178" s="3"/>
      <c r="E178" s="2"/>
      <c r="F178" s="2"/>
      <c r="G178" s="5"/>
      <c r="H178" s="5"/>
      <c r="I178" s="4"/>
      <c r="J178" s="6" t="str">
        <f t="shared" si="7"/>
        <v/>
      </c>
      <c r="K178" s="4" t="str">
        <f t="shared" ca="1" si="8"/>
        <v/>
      </c>
      <c r="L178" s="7" t="str">
        <f>IF(I178="Completed","0",IF($H178="","",$H178-'[2]Read Me'!$B$4))</f>
        <v/>
      </c>
      <c r="M178" s="4" t="str">
        <f>IF($I178="Complete","Green",IF($H178="","Amber",IF($H178&lt;'[2]Read Me'!$B$4,"Red",IF($H178-'[2]Read Me'!$B$4&lt;=21,"Amber","Green"))))</f>
        <v>Amber</v>
      </c>
      <c r="N178" s="3"/>
      <c r="O178" t="str">
        <f>IF($I178&lt;&gt;"Complete",IF(COUNTIFS($A$4:$A177,$A178,$B$4:$B177,$B178,$I$4:$I177,"&lt;&gt;Complete")=0,$A178&amp;"|"&amp;$B178,""),"")</f>
        <v>|</v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/>
      <c r="B179" s="2"/>
      <c r="C179" s="3"/>
      <c r="D179" s="3"/>
      <c r="E179" s="2"/>
      <c r="F179" s="2"/>
      <c r="G179" s="5"/>
      <c r="H179" s="5"/>
      <c r="I179" s="4"/>
      <c r="J179" s="6" t="str">
        <f t="shared" si="7"/>
        <v/>
      </c>
      <c r="K179" s="4" t="str">
        <f t="shared" ca="1" si="8"/>
        <v/>
      </c>
      <c r="L179" s="7" t="str">
        <f>IF(I179="Completed","0",IF($H179="","",$H179-'[2]Read Me'!$B$4))</f>
        <v/>
      </c>
      <c r="M179" s="4" t="str">
        <f>IF($I179="Complete","Green",IF($H179="","Amber",IF($H179&lt;'[2]Read Me'!$B$4,"Red",IF($H179-'[2]Read Me'!$B$4&lt;=21,"Amber","Green"))))</f>
        <v>Amber</v>
      </c>
      <c r="N179" s="3"/>
      <c r="O179" t="str">
        <f>IF($I179&lt;&gt;"Complete",IF(COUNTIFS($A$4:$A178,$A179,$B$4:$B178,$B179,$I$4:$I178,"&lt;&gt;Complete")=0,$A179&amp;"|"&amp;$B179,""),"")</f>
        <v>|</v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/>
      <c r="B180" s="2"/>
      <c r="C180" s="3"/>
      <c r="D180" s="3"/>
      <c r="E180" s="2"/>
      <c r="F180" s="2"/>
      <c r="G180" s="5"/>
      <c r="H180" s="5"/>
      <c r="I180" s="4"/>
      <c r="J180" s="6" t="str">
        <f t="shared" si="7"/>
        <v/>
      </c>
      <c r="K180" s="4" t="str">
        <f t="shared" ca="1" si="8"/>
        <v/>
      </c>
      <c r="L180" s="7" t="str">
        <f>IF(I180="Completed","0",IF($H180="","",$H180-'[2]Read Me'!$B$4))</f>
        <v/>
      </c>
      <c r="M180" s="4" t="str">
        <f>IF($I180="Complete","Green",IF($H180="","Amber",IF($H180&lt;'[2]Read Me'!$B$4,"Red",IF($H180-'[2]Read Me'!$B$4&lt;=21,"Amber","Green"))))</f>
        <v>Amber</v>
      </c>
      <c r="N180" s="3"/>
      <c r="O180" t="str">
        <f>IF($I180&lt;&gt;"Complete",IF(COUNTIFS($A$4:$A179,$A180,$B$4:$B179,$B180,$I$4:$I179,"&lt;&gt;Complete")=0,$A180&amp;"|"&amp;$B180,""),"")</f>
        <v>|</v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/>
      <c r="B181" s="2"/>
      <c r="C181" s="3"/>
      <c r="D181" s="3"/>
      <c r="E181" s="2"/>
      <c r="F181" s="2"/>
      <c r="G181" s="5"/>
      <c r="H181" s="5"/>
      <c r="I181" s="4"/>
      <c r="J181" s="6" t="str">
        <f t="shared" si="7"/>
        <v/>
      </c>
      <c r="K181" s="4" t="str">
        <f t="shared" ca="1" si="8"/>
        <v/>
      </c>
      <c r="L181" s="7" t="str">
        <f>IF(I181="Completed","0",IF($H181="","",$H181-'[2]Read Me'!$B$4))</f>
        <v/>
      </c>
      <c r="M181" s="4" t="str">
        <f>IF($I181="Complete","Green",IF($H181="","Amber",IF($H181&lt;'[2]Read Me'!$B$4,"Red",IF($H181-'[2]Read Me'!$B$4&lt;=21,"Amber","Green"))))</f>
        <v>Amber</v>
      </c>
      <c r="N181" s="3"/>
      <c r="O181" t="str">
        <f>IF($I181&lt;&gt;"Complete",IF(COUNTIFS($A$4:$A180,$A181,$B$4:$B180,$B181,$I$4:$I180,"&lt;&gt;Complete")=0,$A181&amp;"|"&amp;$B181,""),"")</f>
        <v>|</v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/>
      <c r="B182" s="2"/>
      <c r="C182" s="3"/>
      <c r="D182" s="3"/>
      <c r="E182" s="2"/>
      <c r="F182" s="2"/>
      <c r="G182" s="5"/>
      <c r="H182" s="5"/>
      <c r="I182" s="4"/>
      <c r="J182" s="6" t="str">
        <f t="shared" si="7"/>
        <v/>
      </c>
      <c r="K182" s="4" t="str">
        <f t="shared" ca="1" si="8"/>
        <v/>
      </c>
      <c r="L182" s="7" t="str">
        <f>IF(I182="Completed","0",IF($H182="","",$H182-'[2]Read Me'!$B$4))</f>
        <v/>
      </c>
      <c r="M182" s="4" t="str">
        <f>IF($I182="Complete","Green",IF($H182="","Amber",IF($H182&lt;'[2]Read Me'!$B$4,"Red",IF($H182-'[2]Read Me'!$B$4&lt;=21,"Amber","Green"))))</f>
        <v>Amber</v>
      </c>
      <c r="N182" s="3"/>
      <c r="O182" t="str">
        <f>IF($I182&lt;&gt;"Complete",IF(COUNTIFS($A$4:$A181,$A182,$B$4:$B181,$B182,$I$4:$I181,"&lt;&gt;Complete")=0,$A182&amp;"|"&amp;$B182,""),"")</f>
        <v>|</v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/>
      <c r="B183" s="2"/>
      <c r="C183" s="3"/>
      <c r="D183" s="3"/>
      <c r="E183" s="2"/>
      <c r="F183" s="2"/>
      <c r="G183" s="5"/>
      <c r="H183" s="5"/>
      <c r="I183" s="4"/>
      <c r="J183" s="6" t="str">
        <f t="shared" si="7"/>
        <v/>
      </c>
      <c r="K183" s="4" t="str">
        <f t="shared" ca="1" si="8"/>
        <v/>
      </c>
      <c r="L183" s="7" t="str">
        <f>IF(I183="Completed","0",IF($H183="","",$H183-'[2]Read Me'!$B$4))</f>
        <v/>
      </c>
      <c r="M183" s="4" t="str">
        <f>IF($I183="Complete","Green",IF($H183="","Amber",IF($H183&lt;'[2]Read Me'!$B$4,"Red",IF($H183-'[2]Read Me'!$B$4&lt;=21,"Amber","Green"))))</f>
        <v>Amber</v>
      </c>
      <c r="N183" s="3"/>
      <c r="O183" t="str">
        <f>IF($I183&lt;&gt;"Complete",IF(COUNTIFS($A$4:$A182,$A183,$B$4:$B182,$B183,$I$4:$I182,"&lt;&gt;Complete")=0,$A183&amp;"|"&amp;$B183,""),"")</f>
        <v>|</v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/>
      <c r="B184" s="2"/>
      <c r="C184" s="3"/>
      <c r="D184" s="3"/>
      <c r="E184" s="2"/>
      <c r="F184" s="2"/>
      <c r="G184" s="5"/>
      <c r="H184" s="5"/>
      <c r="I184" s="4"/>
      <c r="J184" s="6" t="str">
        <f t="shared" si="7"/>
        <v/>
      </c>
      <c r="K184" s="4" t="str">
        <f t="shared" ca="1" si="8"/>
        <v/>
      </c>
      <c r="L184" s="7" t="str">
        <f>IF(I184="Completed","0",IF($H184="","",$H184-'[2]Read Me'!$B$4))</f>
        <v/>
      </c>
      <c r="M184" s="4" t="str">
        <f>IF($I184="Complete","Green",IF($H184="","Amber",IF($H184&lt;'[2]Read Me'!$B$4,"Red",IF($H184-'[2]Read Me'!$B$4&lt;=21,"Amber","Green"))))</f>
        <v>Amber</v>
      </c>
      <c r="N184" s="3"/>
      <c r="O184" t="str">
        <f>IF($I184&lt;&gt;"Complete",IF(COUNTIFS($A$4:$A183,$A184,$B$4:$B183,$B184,$I$4:$I183,"&lt;&gt;Complete")=0,$A184&amp;"|"&amp;$B184,""),"")</f>
        <v>|</v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/>
      <c r="B185" s="2"/>
      <c r="C185" s="3"/>
      <c r="D185" s="3"/>
      <c r="E185" s="2"/>
      <c r="F185" s="2"/>
      <c r="G185" s="5"/>
      <c r="H185" s="5"/>
      <c r="I185" s="4"/>
      <c r="J185" s="6" t="str">
        <f t="shared" si="7"/>
        <v/>
      </c>
      <c r="K185" s="4" t="str">
        <f t="shared" ca="1" si="8"/>
        <v/>
      </c>
      <c r="L185" s="7" t="str">
        <f>IF(I185="Completed","0",IF($H185="","",$H185-'[2]Read Me'!$B$4))</f>
        <v/>
      </c>
      <c r="M185" s="4" t="str">
        <f>IF($I185="Complete","Green",IF($H185="","Amber",IF($H185&lt;'[2]Read Me'!$B$4,"Red",IF($H185-'[2]Read Me'!$B$4&lt;=21,"Amber","Green"))))</f>
        <v>Amber</v>
      </c>
      <c r="N185" s="3"/>
      <c r="O185" t="str">
        <f>IF($I185&lt;&gt;"Complete",IF(COUNTIFS($A$4:$A184,$A185,$B$4:$B184,$B185,$I$4:$I184,"&lt;&gt;Complete")=0,$A185&amp;"|"&amp;$B185,""),"")</f>
        <v>|</v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/>
      <c r="B186" s="2"/>
      <c r="C186" s="3"/>
      <c r="D186" s="3"/>
      <c r="E186" s="2"/>
      <c r="F186" s="2"/>
      <c r="G186" s="5"/>
      <c r="H186" s="5"/>
      <c r="I186" s="4"/>
      <c r="J186" s="6" t="str">
        <f t="shared" si="7"/>
        <v/>
      </c>
      <c r="K186" s="4" t="str">
        <f t="shared" ca="1" si="8"/>
        <v/>
      </c>
      <c r="L186" s="7" t="str">
        <f>IF(I186="Completed","0",IF($H186="","",$H186-'[2]Read Me'!$B$4))</f>
        <v/>
      </c>
      <c r="M186" s="4" t="str">
        <f>IF($I186="Complete","Green",IF($H186="","Amber",IF($H186&lt;'[2]Read Me'!$B$4,"Red",IF($H186-'[2]Read Me'!$B$4&lt;=21,"Amber","Green"))))</f>
        <v>Amber</v>
      </c>
      <c r="N186" s="3"/>
      <c r="O186" t="str">
        <f>IF($I186&lt;&gt;"Complete",IF(COUNTIFS($A$4:$A185,$A186,$B$4:$B185,$B186,$I$4:$I185,"&lt;&gt;Complete")=0,$A186&amp;"|"&amp;$B186,""),"")</f>
        <v>|</v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/>
      <c r="B187" s="2"/>
      <c r="C187" s="3"/>
      <c r="D187" s="3"/>
      <c r="E187" s="2"/>
      <c r="F187" s="2"/>
      <c r="G187" s="5"/>
      <c r="H187" s="5"/>
      <c r="I187" s="4"/>
      <c r="J187" s="6" t="str">
        <f t="shared" si="7"/>
        <v/>
      </c>
      <c r="K187" s="4" t="str">
        <f t="shared" ca="1" si="8"/>
        <v/>
      </c>
      <c r="L187" s="7" t="str">
        <f>IF(I187="Completed","0",IF($H187="","",$H187-'[2]Read Me'!$B$4))</f>
        <v/>
      </c>
      <c r="M187" s="4" t="str">
        <f>IF($I187="Complete","Green",IF($H187="","Amber",IF($H187&lt;'[2]Read Me'!$B$4,"Red",IF($H187-'[2]Read Me'!$B$4&lt;=21,"Amber","Green"))))</f>
        <v>Amber</v>
      </c>
      <c r="N187" s="3"/>
      <c r="O187" t="str">
        <f>IF($I187&lt;&gt;"Complete",IF(COUNTIFS($A$4:$A186,$A187,$B$4:$B186,$B187,$I$4:$I186,"&lt;&gt;Complete")=0,$A187&amp;"|"&amp;$B187,""),"")</f>
        <v>|</v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/>
      <c r="B188" s="2"/>
      <c r="C188" s="3"/>
      <c r="D188" s="3"/>
      <c r="E188" s="2"/>
      <c r="F188" s="2"/>
      <c r="G188" s="5"/>
      <c r="H188" s="5"/>
      <c r="I188" s="4"/>
      <c r="J188" s="6" t="str">
        <f t="shared" si="7"/>
        <v/>
      </c>
      <c r="K188" s="4" t="str">
        <f t="shared" ca="1" si="8"/>
        <v/>
      </c>
      <c r="L188" s="7" t="str">
        <f>IF(I188="Completed","0",IF($H188="","",$H188-'[2]Read Me'!$B$4))</f>
        <v/>
      </c>
      <c r="M188" s="4" t="str">
        <f>IF($I188="Complete","Green",IF($H188="","Amber",IF($H188&lt;'[2]Read Me'!$B$4,"Red",IF($H188-'[2]Read Me'!$B$4&lt;=21,"Amber","Green"))))</f>
        <v>Amber</v>
      </c>
      <c r="N188" s="3"/>
      <c r="O188" t="str">
        <f>IF($I188&lt;&gt;"Complete",IF(COUNTIFS($A$4:$A187,$A188,$B$4:$B187,$B188,$I$4:$I187,"&lt;&gt;Complete")=0,$A188&amp;"|"&amp;$B188,""),"")</f>
        <v>|</v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/>
      <c r="B189" s="2"/>
      <c r="C189" s="3"/>
      <c r="D189" s="3"/>
      <c r="E189" s="2"/>
      <c r="F189" s="2"/>
      <c r="G189" s="5"/>
      <c r="H189" s="5"/>
      <c r="I189" s="4"/>
      <c r="J189" s="6" t="str">
        <f t="shared" si="7"/>
        <v/>
      </c>
      <c r="K189" s="4" t="str">
        <f t="shared" ca="1" si="8"/>
        <v/>
      </c>
      <c r="L189" s="7" t="str">
        <f>IF($H189="","",$H189-'[2]Read Me'!$B$4)</f>
        <v/>
      </c>
      <c r="M189" s="4" t="str">
        <f>IF($I189="Complete","Green",IF($H189="","Amber",IF($H189&lt;'[2]Read Me'!$B$4,"Red",IF($H189-'[2]Read Me'!$B$4&lt;=21,"Amber","Green"))))</f>
        <v>Amber</v>
      </c>
      <c r="N189" s="3"/>
      <c r="O189" t="str">
        <f>IF($I189&lt;&gt;"Complete",IF(COUNTIFS($A$4:$A188,$A189,$B$4:$B188,$B189,$I$4:$I188,"&lt;&gt;Complete")=0,$A189&amp;"|"&amp;$B189,""),"")</f>
        <v>|</v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/>
      <c r="B190" s="2"/>
      <c r="C190" s="3"/>
      <c r="D190" s="3"/>
      <c r="E190" s="2"/>
      <c r="F190" s="2"/>
      <c r="G190" s="5"/>
      <c r="H190" s="5"/>
      <c r="I190" s="4"/>
      <c r="J190" s="6" t="str">
        <f t="shared" si="7"/>
        <v/>
      </c>
      <c r="K190" s="4" t="str">
        <f t="shared" ca="1" si="8"/>
        <v/>
      </c>
      <c r="L190" s="7" t="str">
        <f>IF($H190="","",$H190-'[2]Read Me'!$B$4)</f>
        <v/>
      </c>
      <c r="M190" s="4" t="str">
        <f>IF($I190="Complete","Green",IF($H190="","Amber",IF($H190&lt;'[2]Read Me'!$B$4,"Red",IF($H190-'[2]Read Me'!$B$4&lt;=21,"Amber","Green"))))</f>
        <v>Amber</v>
      </c>
      <c r="N190" s="3"/>
      <c r="O190" t="str">
        <f>IF($I190&lt;&gt;"Complete",IF(COUNTIFS($A$4:$A189,$A190,$B$4:$B189,$B190,$I$4:$I189,"&lt;&gt;Complete")=0,$A190&amp;"|"&amp;$B190,""),"")</f>
        <v>|</v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/>
      <c r="B191" s="2"/>
      <c r="C191" s="3"/>
      <c r="D191" s="3"/>
      <c r="E191" s="2"/>
      <c r="F191" s="2"/>
      <c r="G191" s="5"/>
      <c r="H191" s="5"/>
      <c r="I191" s="4"/>
      <c r="J191" s="6" t="str">
        <f t="shared" si="7"/>
        <v/>
      </c>
      <c r="K191" s="4" t="str">
        <f t="shared" ca="1" si="8"/>
        <v/>
      </c>
      <c r="L191" s="7" t="str">
        <f>IF($H191="","",$H191-'[2]Read Me'!$B$4)</f>
        <v/>
      </c>
      <c r="M191" s="4" t="str">
        <f>IF($I191="Complete","Green",IF($H191="","Amber",IF($H191&lt;'[2]Read Me'!$B$4,"Red",IF($H191-'[2]Read Me'!$B$4&lt;=21,"Amber","Green"))))</f>
        <v>Amber</v>
      </c>
      <c r="N191" s="3"/>
      <c r="O191" t="str">
        <f>IF($I191&lt;&gt;"Complete",IF(COUNTIFS($A$4:$A190,$A191,$B$4:$B190,$B191,$I$4:$I190,"&lt;&gt;Complete")=0,$A191&amp;"|"&amp;$B191,""),"")</f>
        <v>|</v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/>
      <c r="B192" s="2"/>
      <c r="C192" s="3"/>
      <c r="D192" s="3"/>
      <c r="E192" s="2"/>
      <c r="F192" s="2"/>
      <c r="G192" s="5"/>
      <c r="H192" s="5"/>
      <c r="I192" s="4"/>
      <c r="J192" s="6" t="str">
        <f t="shared" si="7"/>
        <v/>
      </c>
      <c r="K192" s="4" t="str">
        <f t="shared" ca="1" si="8"/>
        <v/>
      </c>
      <c r="L192" s="7" t="str">
        <f>IF($H192="","",$H192-'[2]Read Me'!$B$4)</f>
        <v/>
      </c>
      <c r="M192" s="4" t="str">
        <f>IF($I192="Complete","Green",IF($H192="","Amber",IF($H192&lt;'[2]Read Me'!$B$4,"Red",IF($H192-'[2]Read Me'!$B$4&lt;=21,"Amber","Green"))))</f>
        <v>Amber</v>
      </c>
      <c r="N192" s="3"/>
      <c r="O192" t="str">
        <f>IF($I192&lt;&gt;"Complete",IF(COUNTIFS($A$4:$A191,$A192,$B$4:$B191,$B192,$I$4:$I191,"&lt;&gt;Complete")=0,$A192&amp;"|"&amp;$B192,""),"")</f>
        <v>|</v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/>
      <c r="B193" s="2"/>
      <c r="C193" s="3"/>
      <c r="D193" s="3"/>
      <c r="E193" s="2"/>
      <c r="F193" s="2"/>
      <c r="G193" s="5"/>
      <c r="H193" s="5"/>
      <c r="I193" s="4"/>
      <c r="J193" s="6" t="str">
        <f t="shared" si="7"/>
        <v/>
      </c>
      <c r="K193" s="4" t="str">
        <f t="shared" ca="1" si="8"/>
        <v/>
      </c>
      <c r="L193" s="7" t="str">
        <f>IF($H193="","",$H193-'[2]Read Me'!$B$4)</f>
        <v/>
      </c>
      <c r="M193" s="4" t="str">
        <f>IF($I193="Complete","Green",IF($H193="","Amber",IF($H193&lt;'[2]Read Me'!$B$4,"Red",IF($H193-'[2]Read Me'!$B$4&lt;=21,"Amber","Green"))))</f>
        <v>Amber</v>
      </c>
      <c r="N193" s="3"/>
      <c r="O193" t="str">
        <f>IF($I193&lt;&gt;"Complete",IF(COUNTIFS($A$4:$A192,$A193,$B$4:$B192,$B193,$I$4:$I192,"&lt;&gt;Complete")=0,$A193&amp;"|"&amp;$B193,""),"")</f>
        <v>|</v>
      </c>
      <c r="P193" t="str">
        <f ca="1">IF($K193="Yes",COUNTIFS($K$4:$K193,"Yes"),"")</f>
        <v/>
      </c>
      <c r="Q193">
        <f t="shared" ca="1" si="9"/>
        <v>0</v>
      </c>
      <c r="R193" t="str">
        <f ca="1">IF($Q193=1,SUM($Q$4:$Q193),"")</f>
        <v/>
      </c>
    </row>
    <row r="194" spans="1:18" ht="33.75" customHeight="1" x14ac:dyDescent="0.3">
      <c r="A194" s="2"/>
      <c r="B194" s="2"/>
      <c r="C194" s="3"/>
      <c r="D194" s="3"/>
      <c r="E194" s="2"/>
      <c r="F194" s="2"/>
      <c r="G194" s="5"/>
      <c r="H194" s="5"/>
      <c r="I194" s="4"/>
      <c r="J194" s="6" t="str">
        <f t="shared" si="7"/>
        <v/>
      </c>
      <c r="K194" s="4" t="str">
        <f t="shared" ca="1" si="8"/>
        <v/>
      </c>
      <c r="L194" s="7" t="str">
        <f>IF($H194="","",$H194-'[2]Read Me'!$B$4)</f>
        <v/>
      </c>
      <c r="M194" s="4" t="str">
        <f>IF($I194="Complete","Green",IF($H194="","Amber",IF($H194&lt;'[2]Read Me'!$B$4,"Red",IF($H194-'[2]Read Me'!$B$4&lt;=21,"Amber","Green"))))</f>
        <v>Amber</v>
      </c>
      <c r="N194" s="3"/>
      <c r="O194" t="str">
        <f>IF($I194&lt;&gt;"Complete",IF(COUNTIFS($A$4:$A193,$A194,$B$4:$B193,$B194,$I$4:$I193,"&lt;&gt;Complete")=0,$A194&amp;"|"&amp;$B194,""),"")</f>
        <v>|</v>
      </c>
      <c r="P194" t="str">
        <f ca="1">IF($K194="Yes",COUNTIFS($K$4:$K194,"Yes"),"")</f>
        <v/>
      </c>
      <c r="Q194">
        <f t="shared" ca="1" si="9"/>
        <v>0</v>
      </c>
      <c r="R194" t="str">
        <f ca="1">IF($Q194=1,SUM($Q$4:$Q194),"")</f>
        <v/>
      </c>
    </row>
    <row r="195" spans="1:18" ht="33.75" customHeight="1" x14ac:dyDescent="0.3">
      <c r="A195" s="2"/>
      <c r="B195" s="2"/>
      <c r="C195" s="3"/>
      <c r="D195" s="3"/>
      <c r="E195" s="2"/>
      <c r="F195" s="2"/>
      <c r="G195" s="5"/>
      <c r="H195" s="5"/>
      <c r="I195" s="4"/>
      <c r="J195" s="6" t="str">
        <f t="shared" si="7"/>
        <v/>
      </c>
      <c r="K195" s="4" t="str">
        <f t="shared" ca="1" si="8"/>
        <v/>
      </c>
      <c r="L195" s="7" t="str">
        <f>IF($H195="","",$H195-'[2]Read Me'!$B$4)</f>
        <v/>
      </c>
      <c r="M195" s="4" t="str">
        <f>IF($I195="Complete","Green",IF($H195="","Amber",IF($H195&lt;'[2]Read Me'!$B$4,"Red",IF($H195-'[2]Read Me'!$B$4&lt;=21,"Amber","Green"))))</f>
        <v>Amber</v>
      </c>
      <c r="N195" s="3"/>
      <c r="O195" t="str">
        <f>IF($I195&lt;&gt;"Complete",IF(COUNTIFS($A$4:$A194,$A195,$B$4:$B194,$B195,$I$4:$I194,"&lt;&gt;Complete")=0,$A195&amp;"|"&amp;$B195,""),"")</f>
        <v>|</v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/>
      <c r="B196" s="2"/>
      <c r="C196" s="3"/>
      <c r="D196" s="3"/>
      <c r="E196" s="2"/>
      <c r="F196" s="2"/>
      <c r="G196" s="5"/>
      <c r="H196" s="5"/>
      <c r="I196" s="4"/>
      <c r="J196" s="6" t="str">
        <f t="shared" ref="J196:J259" si="10">IF(OR($G196="",$H196=""),"",$H196-$G196)</f>
        <v/>
      </c>
      <c r="K196" s="4" t="str">
        <f t="shared" ref="K196:K243" ca="1" si="11">IF(C196="","",IF(H196="","",IF($I196="completed","-",IF($H196&gt;TODAY(),"No","Yes"))))</f>
        <v/>
      </c>
      <c r="L196" s="7" t="str">
        <f>IF($H196="","",$H196-'[2]Read Me'!$B$4)</f>
        <v/>
      </c>
      <c r="M196" s="4" t="str">
        <f>IF($I196="Complete","Green",IF($H196="","Amber",IF($H196&lt;'[2]Read Me'!$B$4,"Red",IF($H196-'[2]Read Me'!$B$4&lt;=21,"Amber","Green"))))</f>
        <v>Amber</v>
      </c>
      <c r="N196" s="3"/>
      <c r="O196" t="str">
        <f>IF($I196&lt;&gt;"Complete",IF(COUNTIFS($A$4:$A195,$A196,$B$4:$B195,$B196,$I$4:$I195,"&lt;&gt;Complete")=0,$A196&amp;"|"&amp;$B196,""),"")</f>
        <v>|</v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/>
      <c r="B197" s="2"/>
      <c r="C197" s="3"/>
      <c r="D197" s="3"/>
      <c r="E197" s="2"/>
      <c r="F197" s="2"/>
      <c r="G197" s="5"/>
      <c r="H197" s="5"/>
      <c r="I197" s="4"/>
      <c r="J197" s="6" t="str">
        <f t="shared" si="10"/>
        <v/>
      </c>
      <c r="K197" s="4" t="str">
        <f t="shared" ca="1" si="11"/>
        <v/>
      </c>
      <c r="L197" s="7" t="str">
        <f>IF($H197="","",$H197-'[2]Read Me'!$B$4)</f>
        <v/>
      </c>
      <c r="M197" s="4" t="str">
        <f>IF($I197="Complete","Green",IF($H197="","Amber",IF($H197&lt;'[2]Read Me'!$B$4,"Red",IF($H197-'[2]Read Me'!$B$4&lt;=21,"Amber","Green"))))</f>
        <v>Amber</v>
      </c>
      <c r="N197" s="3"/>
      <c r="O197" t="str">
        <f>IF($I197&lt;&gt;"Complete",IF(COUNTIFS($A$4:$A196,$A197,$B$4:$B196,$B197,$I$4:$I196,"&lt;&gt;Complete")=0,$A197&amp;"|"&amp;$B197,""),"")</f>
        <v>|</v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/>
      <c r="B198" s="2"/>
      <c r="C198" s="3"/>
      <c r="D198" s="3"/>
      <c r="E198" s="2"/>
      <c r="F198" s="2"/>
      <c r="G198" s="5"/>
      <c r="H198" s="5"/>
      <c r="I198" s="4"/>
      <c r="J198" s="6" t="str">
        <f t="shared" si="10"/>
        <v/>
      </c>
      <c r="K198" s="4" t="str">
        <f t="shared" ca="1" si="11"/>
        <v/>
      </c>
      <c r="L198" s="7" t="str">
        <f>IF($H198="","",$H198-'[2]Read Me'!$B$4)</f>
        <v/>
      </c>
      <c r="M198" s="4" t="str">
        <f>IF($I198="Complete","Green",IF($H198="","Amber",IF($H198&lt;'[2]Read Me'!$B$4,"Red",IF($H198-'[2]Read Me'!$B$4&lt;=21,"Amber","Green"))))</f>
        <v>Amber</v>
      </c>
      <c r="N198" s="3"/>
      <c r="O198" t="str">
        <f>IF($I198&lt;&gt;"Complete",IF(COUNTIFS($A$4:$A197,$A198,$B$4:$B197,$B198,$I$4:$I197,"&lt;&gt;Complete")=0,$A198&amp;"|"&amp;$B198,""),"")</f>
        <v>|</v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/>
      <c r="B199" s="2"/>
      <c r="C199" s="3"/>
      <c r="D199" s="3"/>
      <c r="E199" s="2"/>
      <c r="F199" s="2"/>
      <c r="G199" s="5"/>
      <c r="H199" s="5"/>
      <c r="I199" s="4"/>
      <c r="J199" s="6" t="str">
        <f t="shared" si="10"/>
        <v/>
      </c>
      <c r="K199" s="4" t="str">
        <f t="shared" ca="1" si="11"/>
        <v/>
      </c>
      <c r="L199" s="7" t="str">
        <f>IF($H199="","",$H199-'[2]Read Me'!$B$4)</f>
        <v/>
      </c>
      <c r="M199" s="4" t="str">
        <f>IF($I199="Complete","Green",IF($H199="","Amber",IF($H199&lt;'[2]Read Me'!$B$4,"Red",IF($H199-'[2]Read Me'!$B$4&lt;=21,"Amber","Green"))))</f>
        <v>Amber</v>
      </c>
      <c r="N199" s="3"/>
      <c r="O199" t="str">
        <f>IF($I199&lt;&gt;"Complete",IF(COUNTIFS($A$4:$A198,$A199,$B$4:$B198,$B199,$I$4:$I198,"&lt;&gt;Complete")=0,$A199&amp;"|"&amp;$B199,""),"")</f>
        <v>|</v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/>
      <c r="B200" s="2"/>
      <c r="C200" s="3"/>
      <c r="D200" s="3"/>
      <c r="E200" s="2"/>
      <c r="F200" s="2"/>
      <c r="G200" s="5"/>
      <c r="H200" s="5"/>
      <c r="I200" s="4"/>
      <c r="J200" s="6" t="str">
        <f t="shared" si="10"/>
        <v/>
      </c>
      <c r="K200" s="4" t="str">
        <f t="shared" ca="1" si="11"/>
        <v/>
      </c>
      <c r="L200" s="7" t="str">
        <f>IF($H200="","",$H200-'[2]Read Me'!$B$4)</f>
        <v/>
      </c>
      <c r="M200" s="4" t="str">
        <f>IF($I200="Complete","Green",IF($H200="","Amber",IF($H200&lt;'[2]Read Me'!$B$4,"Red",IF($H200-'[2]Read Me'!$B$4&lt;=21,"Amber","Green"))))</f>
        <v>Amber</v>
      </c>
      <c r="N200" s="3"/>
      <c r="O200" t="str">
        <f>IF($I200&lt;&gt;"Complete",IF(COUNTIFS($A$4:$A199,$A200,$B$4:$B199,$B200,$I$4:$I199,"&lt;&gt;Complete")=0,$A200&amp;"|"&amp;$B200,""),"")</f>
        <v>|</v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/>
      <c r="B201" s="2"/>
      <c r="C201" s="3"/>
      <c r="D201" s="3"/>
      <c r="E201" s="2"/>
      <c r="F201" s="2"/>
      <c r="G201" s="5"/>
      <c r="H201" s="5"/>
      <c r="I201" s="4"/>
      <c r="J201" s="6" t="str">
        <f t="shared" si="10"/>
        <v/>
      </c>
      <c r="K201" s="4" t="str">
        <f t="shared" ca="1" si="11"/>
        <v/>
      </c>
      <c r="L201" s="7" t="str">
        <f>IF($H201="","",$H201-'[2]Read Me'!$B$4)</f>
        <v/>
      </c>
      <c r="M201" s="4" t="str">
        <f>IF($I201="Complete","Green",IF($H201="","Amber",IF($H201&lt;'[2]Read Me'!$B$4,"Red",IF($H201-'[2]Read Me'!$B$4&lt;=21,"Amber","Green"))))</f>
        <v>Amber</v>
      </c>
      <c r="N201" s="3"/>
      <c r="O201" t="str">
        <f>IF($I201&lt;&gt;"Complete",IF(COUNTIFS($A$4:$A200,$A201,$B$4:$B200,$B201,$I$4:$I200,"&lt;&gt;Complete")=0,$A201&amp;"|"&amp;$B201,""),"")</f>
        <v>|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/>
      <c r="B202" s="2"/>
      <c r="C202" s="3"/>
      <c r="D202" s="3"/>
      <c r="E202" s="2"/>
      <c r="F202" s="2"/>
      <c r="G202" s="5"/>
      <c r="H202" s="5"/>
      <c r="I202" s="4"/>
      <c r="J202" s="6" t="str">
        <f t="shared" si="10"/>
        <v/>
      </c>
      <c r="K202" s="4" t="str">
        <f t="shared" ca="1" si="11"/>
        <v/>
      </c>
      <c r="L202" s="7" t="str">
        <f>IF($H202="","",$H202-'[2]Read Me'!$B$4)</f>
        <v/>
      </c>
      <c r="M202" s="4" t="str">
        <f>IF($I202="Complete","Green",IF($H202="","Amber",IF($H202&lt;'[2]Read Me'!$B$4,"Red",IF($H202-'[2]Read Me'!$B$4&lt;=21,"Amber","Green"))))</f>
        <v>Amber</v>
      </c>
      <c r="N202" s="3"/>
      <c r="O202" t="str">
        <f>IF($I202&lt;&gt;"Complete",IF(COUNTIFS($A$4:$A201,$A202,$B$4:$B201,$B202,$I$4:$I201,"&lt;&gt;Complete")=0,$A202&amp;"|"&amp;$B202,""),"")</f>
        <v>|</v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/>
      <c r="B203" s="2"/>
      <c r="C203" s="3"/>
      <c r="D203" s="3"/>
      <c r="E203" s="2"/>
      <c r="F203" s="2"/>
      <c r="G203" s="5"/>
      <c r="H203" s="5"/>
      <c r="I203" s="4"/>
      <c r="J203" s="6" t="str">
        <f t="shared" si="10"/>
        <v/>
      </c>
      <c r="K203" s="4" t="str">
        <f t="shared" ca="1" si="11"/>
        <v/>
      </c>
      <c r="L203" s="7" t="str">
        <f>IF($H203="","",$H203-'[2]Read Me'!$B$4)</f>
        <v/>
      </c>
      <c r="M203" s="4" t="str">
        <f>IF($I203="Complete","Green",IF($H203="","Amber",IF($H203&lt;'[2]Read Me'!$B$4,"Red",IF($H203-'[2]Read Me'!$B$4&lt;=21,"Amber","Green"))))</f>
        <v>Amber</v>
      </c>
      <c r="N203" s="3"/>
      <c r="O203" t="str">
        <f>IF($I203&lt;&gt;"Complete",IF(COUNTIFS($A$4:$A202,$A203,$B$4:$B202,$B203,$I$4:$I202,"&lt;&gt;Complete")=0,$A203&amp;"|"&amp;$B203,""),"")</f>
        <v>|</v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/>
      <c r="B204" s="2"/>
      <c r="C204" s="3"/>
      <c r="D204" s="3"/>
      <c r="E204" s="2"/>
      <c r="F204" s="2"/>
      <c r="G204" s="5"/>
      <c r="H204" s="5"/>
      <c r="I204" s="4"/>
      <c r="J204" s="6" t="str">
        <f t="shared" si="10"/>
        <v/>
      </c>
      <c r="K204" s="4" t="str">
        <f t="shared" ca="1" si="11"/>
        <v/>
      </c>
      <c r="L204" s="7" t="str">
        <f>IF($H204="","",$H204-'[2]Read Me'!$B$4)</f>
        <v/>
      </c>
      <c r="M204" s="4" t="str">
        <f>IF($I204="Complete","Green",IF($H204="","Amber",IF($H204&lt;'[2]Read Me'!$B$4,"Red",IF($H204-'[2]Read Me'!$B$4&lt;=21,"Amber","Green"))))</f>
        <v>Amber</v>
      </c>
      <c r="N204" s="3"/>
      <c r="O204" t="str">
        <f>IF($I204&lt;&gt;"Complete",IF(COUNTIFS($A$4:$A203,$A204,$B$4:$B203,$B204,$I$4:$I203,"&lt;&gt;Complete")=0,$A204&amp;"|"&amp;$B204,""),"")</f>
        <v>|</v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/>
      <c r="B205" s="2"/>
      <c r="C205" s="3"/>
      <c r="D205" s="3"/>
      <c r="E205" s="2"/>
      <c r="F205" s="2"/>
      <c r="G205" s="5"/>
      <c r="H205" s="5"/>
      <c r="I205" s="4"/>
      <c r="J205" s="6" t="str">
        <f t="shared" si="10"/>
        <v/>
      </c>
      <c r="K205" s="4" t="str">
        <f t="shared" ca="1" si="11"/>
        <v/>
      </c>
      <c r="L205" s="7" t="str">
        <f>IF($H205="","",$H205-'[2]Read Me'!$B$4)</f>
        <v/>
      </c>
      <c r="M205" s="4" t="str">
        <f>IF($I205="Complete","Green",IF($H205="","Amber",IF($H205&lt;'[2]Read Me'!$B$4,"Red",IF($H205-'[2]Read Me'!$B$4&lt;=21,"Amber","Green"))))</f>
        <v>Amber</v>
      </c>
      <c r="N205" s="3"/>
      <c r="O205" t="str">
        <f>IF($I205&lt;&gt;"Complete",IF(COUNTIFS($A$4:$A204,$A205,$B$4:$B204,$B205,$I$4:$I204,"&lt;&gt;Complete")=0,$A205&amp;"|"&amp;$B205,""),"")</f>
        <v>|</v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/>
      <c r="B206" s="2"/>
      <c r="C206" s="3"/>
      <c r="D206" s="3"/>
      <c r="E206" s="2"/>
      <c r="F206" s="2"/>
      <c r="G206" s="5"/>
      <c r="H206" s="5"/>
      <c r="I206" s="4"/>
      <c r="J206" s="6" t="str">
        <f t="shared" si="10"/>
        <v/>
      </c>
      <c r="K206" s="4" t="str">
        <f t="shared" ca="1" si="11"/>
        <v/>
      </c>
      <c r="L206" s="7" t="str">
        <f>IF($H206="","",$H206-'[2]Read Me'!$B$4)</f>
        <v/>
      </c>
      <c r="M206" s="4" t="str">
        <f>IF($I206="Complete","Green",IF($H206="","Amber",IF($H206&lt;'[2]Read Me'!$B$4,"Red",IF($H206-'[2]Read Me'!$B$4&lt;=21,"Amber","Green"))))</f>
        <v>Amber</v>
      </c>
      <c r="N206" s="3"/>
      <c r="O206" t="str">
        <f>IF($I206&lt;&gt;"Complete",IF(COUNTIFS($A$4:$A205,$A206,$B$4:$B205,$B206,$I$4:$I205,"&lt;&gt;Complete")=0,$A206&amp;"|"&amp;$B206,""),"")</f>
        <v>|</v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/>
      <c r="B207" s="2"/>
      <c r="C207" s="3"/>
      <c r="D207" s="3"/>
      <c r="E207" s="2"/>
      <c r="F207" s="2"/>
      <c r="G207" s="5"/>
      <c r="H207" s="5"/>
      <c r="I207" s="4"/>
      <c r="J207" s="6" t="str">
        <f t="shared" si="10"/>
        <v/>
      </c>
      <c r="K207" s="4" t="str">
        <f t="shared" ca="1" si="11"/>
        <v/>
      </c>
      <c r="L207" s="7" t="str">
        <f>IF($H207="","",$H207-'[2]Read Me'!$B$4)</f>
        <v/>
      </c>
      <c r="M207" s="4" t="str">
        <f>IF($I207="Complete","Green",IF($H207="","Amber",IF($H207&lt;'[2]Read Me'!$B$4,"Red",IF($H207-'[2]Read Me'!$B$4&lt;=21,"Amber","Green"))))</f>
        <v>Amber</v>
      </c>
      <c r="N207" s="3"/>
      <c r="O207" t="str">
        <f>IF($I207&lt;&gt;"Complete",IF(COUNTIFS($A$4:$A206,$A207,$B$4:$B206,$B207,$I$4:$I206,"&lt;&gt;Complete")=0,$A207&amp;"|"&amp;$B207,""),"")</f>
        <v>|</v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/>
      <c r="B208" s="2"/>
      <c r="C208" s="3"/>
      <c r="D208" s="3"/>
      <c r="E208" s="2"/>
      <c r="F208" s="2"/>
      <c r="G208" s="5"/>
      <c r="H208" s="5"/>
      <c r="I208" s="4"/>
      <c r="J208" s="6" t="str">
        <f t="shared" si="10"/>
        <v/>
      </c>
      <c r="K208" s="4" t="str">
        <f t="shared" ca="1" si="11"/>
        <v/>
      </c>
      <c r="L208" s="7" t="str">
        <f>IF($H208="","",$H208-'[2]Read Me'!$B$4)</f>
        <v/>
      </c>
      <c r="M208" s="4" t="str">
        <f>IF($I208="Complete","Green",IF($H208="","Amber",IF($H208&lt;'[2]Read Me'!$B$4,"Red",IF($H208-'[2]Read Me'!$B$4&lt;=21,"Amber","Green"))))</f>
        <v>Amber</v>
      </c>
      <c r="N208" s="3"/>
      <c r="O208" t="str">
        <f>IF($I208&lt;&gt;"Complete",IF(COUNTIFS($A$4:$A207,$A208,$B$4:$B207,$B208,$I$4:$I207,"&lt;&gt;Complete")=0,$A208&amp;"|"&amp;$B208,""),"")</f>
        <v>|</v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/>
      <c r="B209" s="2"/>
      <c r="C209" s="3"/>
      <c r="D209" s="3"/>
      <c r="E209" s="2"/>
      <c r="F209" s="2"/>
      <c r="G209" s="5"/>
      <c r="H209" s="5"/>
      <c r="I209" s="4"/>
      <c r="J209" s="6" t="str">
        <f t="shared" si="10"/>
        <v/>
      </c>
      <c r="K209" s="4" t="str">
        <f t="shared" ca="1" si="11"/>
        <v/>
      </c>
      <c r="L209" s="7" t="str">
        <f>IF($H209="","",$H209-'[2]Read Me'!$B$4)</f>
        <v/>
      </c>
      <c r="M209" s="4" t="str">
        <f>IF($I209="Complete","Green",IF($H209="","Amber",IF($H209&lt;'[2]Read Me'!$B$4,"Red",IF($H209-'[2]Read Me'!$B$4&lt;=21,"Amber","Green"))))</f>
        <v>Amber</v>
      </c>
      <c r="N209" s="3"/>
      <c r="O209" t="str">
        <f>IF($I209&lt;&gt;"Complete",IF(COUNTIFS($A$4:$A208,$A209,$B$4:$B208,$B209,$I$4:$I208,"&lt;&gt;Complete")=0,$A209&amp;"|"&amp;$B209,""),"")</f>
        <v>|</v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/>
      <c r="B210" s="2"/>
      <c r="C210" s="3"/>
      <c r="D210" s="3"/>
      <c r="E210" s="2"/>
      <c r="F210" s="2"/>
      <c r="G210" s="5"/>
      <c r="H210" s="5"/>
      <c r="I210" s="4"/>
      <c r="J210" s="6" t="str">
        <f t="shared" si="10"/>
        <v/>
      </c>
      <c r="K210" s="4" t="str">
        <f t="shared" ca="1" si="11"/>
        <v/>
      </c>
      <c r="L210" s="7" t="str">
        <f>IF($H210="","",$H210-'[2]Read Me'!$B$4)</f>
        <v/>
      </c>
      <c r="M210" s="4" t="str">
        <f>IF($I210="Complete","Green",IF($H210="","Amber",IF($H210&lt;'[2]Read Me'!$B$4,"Red",IF($H210-'[2]Read Me'!$B$4&lt;=21,"Amber","Green"))))</f>
        <v>Amber</v>
      </c>
      <c r="N210" s="3"/>
      <c r="O210" t="str">
        <f>IF($I210&lt;&gt;"Complete",IF(COUNTIFS($A$4:$A209,$A210,$B$4:$B209,$B210,$I$4:$I209,"&lt;&gt;Complete")=0,$A210&amp;"|"&amp;$B210,""),"")</f>
        <v>|</v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/>
      <c r="B211" s="2"/>
      <c r="C211" s="3"/>
      <c r="D211" s="3"/>
      <c r="E211" s="2"/>
      <c r="F211" s="2"/>
      <c r="G211" s="5"/>
      <c r="H211" s="5"/>
      <c r="I211" s="4"/>
      <c r="J211" s="6" t="str">
        <f t="shared" si="10"/>
        <v/>
      </c>
      <c r="K211" s="4" t="str">
        <f t="shared" ca="1" si="11"/>
        <v/>
      </c>
      <c r="L211" s="7" t="str">
        <f>IF($H211="","",$H211-'[2]Read Me'!$B$4)</f>
        <v/>
      </c>
      <c r="M211" s="4" t="str">
        <f>IF($I211="Complete","Green",IF($H211="","Amber",IF($H211&lt;'[2]Read Me'!$B$4,"Red",IF($H211-'[2]Read Me'!$B$4&lt;=21,"Amber","Green"))))</f>
        <v>Amber</v>
      </c>
      <c r="N211" s="3"/>
      <c r="O211" t="str">
        <f>IF($I211&lt;&gt;"Complete",IF(COUNTIFS($A$4:$A210,$A211,$B$4:$B210,$B211,$I$4:$I210,"&lt;&gt;Complete")=0,$A211&amp;"|"&amp;$B211,""),"")</f>
        <v>|</v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/>
      <c r="B212" s="2"/>
      <c r="C212" s="3"/>
      <c r="D212" s="3"/>
      <c r="E212" s="2"/>
      <c r="F212" s="2"/>
      <c r="G212" s="5"/>
      <c r="H212" s="5"/>
      <c r="I212" s="4"/>
      <c r="J212" s="6" t="str">
        <f t="shared" si="10"/>
        <v/>
      </c>
      <c r="K212" s="4" t="str">
        <f t="shared" ca="1" si="11"/>
        <v/>
      </c>
      <c r="L212" s="7" t="str">
        <f>IF($H212="","",$H212-'[2]Read Me'!$B$4)</f>
        <v/>
      </c>
      <c r="M212" s="4" t="str">
        <f>IF($I212="Complete","Green",IF($H212="","Amber",IF($H212&lt;'[2]Read Me'!$B$4,"Red",IF($H212-'[2]Read Me'!$B$4&lt;=21,"Amber","Green"))))</f>
        <v>Amber</v>
      </c>
      <c r="N212" s="3"/>
      <c r="O212" t="str">
        <f>IF($I212&lt;&gt;"Complete",IF(COUNTIFS($A$4:$A211,$A212,$B$4:$B211,$B212,$I$4:$I211,"&lt;&gt;Complete")=0,$A212&amp;"|"&amp;$B212,""),"")</f>
        <v>|</v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/>
      <c r="B213" s="2"/>
      <c r="C213" s="3"/>
      <c r="D213" s="3"/>
      <c r="E213" s="2"/>
      <c r="F213" s="2"/>
      <c r="G213" s="5"/>
      <c r="H213" s="5"/>
      <c r="I213" s="4"/>
      <c r="J213" s="6" t="str">
        <f t="shared" si="10"/>
        <v/>
      </c>
      <c r="K213" s="4" t="str">
        <f t="shared" ca="1" si="11"/>
        <v/>
      </c>
      <c r="L213" s="7" t="str">
        <f>IF($H213="","",$H213-'[2]Read Me'!$B$4)</f>
        <v/>
      </c>
      <c r="M213" s="4" t="str">
        <f>IF($I213="Complete","Green",IF($H213="","Amber",IF($H213&lt;'[2]Read Me'!$B$4,"Red",IF($H213-'[2]Read Me'!$B$4&lt;=21,"Amber","Green"))))</f>
        <v>Amber</v>
      </c>
      <c r="N213" s="3"/>
      <c r="O213" t="str">
        <f>IF($I213&lt;&gt;"Complete",IF(COUNTIFS($A$4:$A212,$A213,$B$4:$B212,$B213,$I$4:$I212,"&lt;&gt;Complete")=0,$A213&amp;"|"&amp;$B213,""),"")</f>
        <v>|</v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/>
      <c r="B214" s="2"/>
      <c r="C214" s="3"/>
      <c r="D214" s="3"/>
      <c r="E214" s="2"/>
      <c r="F214" s="2"/>
      <c r="G214" s="5"/>
      <c r="H214" s="5"/>
      <c r="I214" s="4"/>
      <c r="J214" s="6" t="str">
        <f t="shared" si="10"/>
        <v/>
      </c>
      <c r="K214" s="4" t="str">
        <f t="shared" ca="1" si="11"/>
        <v/>
      </c>
      <c r="L214" s="7" t="str">
        <f>IF($H214="","",$H214-'[2]Read Me'!$B$4)</f>
        <v/>
      </c>
      <c r="M214" s="4" t="str">
        <f>IF($I214="Complete","Green",IF($H214="","Amber",IF($H214&lt;'[2]Read Me'!$B$4,"Red",IF($H214-'[2]Read Me'!$B$4&lt;=21,"Amber","Green"))))</f>
        <v>Amber</v>
      </c>
      <c r="N214" s="3"/>
      <c r="O214" t="str">
        <f>IF($I214&lt;&gt;"Complete",IF(COUNTIFS($A$4:$A213,$A214,$B$4:$B213,$B214,$I$4:$I213,"&lt;&gt;Complete")=0,$A214&amp;"|"&amp;$B214,""),"")</f>
        <v>|</v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/>
      <c r="B215" s="2"/>
      <c r="C215" s="3"/>
      <c r="D215" s="3"/>
      <c r="E215" s="2"/>
      <c r="F215" s="2"/>
      <c r="G215" s="5"/>
      <c r="H215" s="5"/>
      <c r="I215" s="4"/>
      <c r="J215" s="6" t="str">
        <f t="shared" si="10"/>
        <v/>
      </c>
      <c r="K215" s="4" t="str">
        <f t="shared" ca="1" si="11"/>
        <v/>
      </c>
      <c r="L215" s="7" t="str">
        <f>IF($H215="","",$H215-'[2]Read Me'!$B$4)</f>
        <v/>
      </c>
      <c r="M215" s="4" t="str">
        <f>IF($I215="Complete","Green",IF($H215="","Amber",IF($H215&lt;'[2]Read Me'!$B$4,"Red",IF($H215-'[2]Read Me'!$B$4&lt;=21,"Amber","Green"))))</f>
        <v>Amber</v>
      </c>
      <c r="N215" s="3"/>
      <c r="O215" t="str">
        <f>IF($I215&lt;&gt;"Complete",IF(COUNTIFS($A$4:$A214,$A215,$B$4:$B214,$B215,$I$4:$I214,"&lt;&gt;Complete")=0,$A215&amp;"|"&amp;$B215,""),"")</f>
        <v>|</v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/>
      <c r="B216" s="2"/>
      <c r="C216" s="3"/>
      <c r="D216" s="3"/>
      <c r="E216" s="2"/>
      <c r="F216" s="2"/>
      <c r="G216" s="5"/>
      <c r="H216" s="5"/>
      <c r="I216" s="4"/>
      <c r="J216" s="6" t="str">
        <f t="shared" si="10"/>
        <v/>
      </c>
      <c r="K216" s="4" t="str">
        <f t="shared" ca="1" si="11"/>
        <v/>
      </c>
      <c r="L216" s="7" t="str">
        <f>IF($H216="","",$H216-'[2]Read Me'!$B$4)</f>
        <v/>
      </c>
      <c r="M216" s="4" t="str">
        <f>IF($I216="Complete","Green",IF($H216="","Amber",IF($H216&lt;'[2]Read Me'!$B$4,"Red",IF($H216-'[2]Read Me'!$B$4&lt;=21,"Amber","Green"))))</f>
        <v>Amber</v>
      </c>
      <c r="N216" s="3"/>
      <c r="O216" t="str">
        <f>IF($I216&lt;&gt;"Complete",IF(COUNTIFS($A$4:$A215,$A216,$B$4:$B215,$B216,$I$4:$I215,"&lt;&gt;Complete")=0,$A216&amp;"|"&amp;$B216,""),"")</f>
        <v>|</v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/>
      <c r="B217" s="2"/>
      <c r="C217" s="3"/>
      <c r="D217" s="3"/>
      <c r="E217" s="2"/>
      <c r="F217" s="2"/>
      <c r="G217" s="5"/>
      <c r="H217" s="5"/>
      <c r="I217" s="4"/>
      <c r="J217" s="6" t="str">
        <f t="shared" si="10"/>
        <v/>
      </c>
      <c r="K217" s="4" t="str">
        <f t="shared" ca="1" si="11"/>
        <v/>
      </c>
      <c r="L217" s="7" t="str">
        <f>IF($H217="","",$H217-'[2]Read Me'!$B$4)</f>
        <v/>
      </c>
      <c r="M217" s="4" t="str">
        <f>IF($I217="Complete","Green",IF($H217="","Amber",IF($H217&lt;'[2]Read Me'!$B$4,"Red",IF($H217-'[2]Read Me'!$B$4&lt;=21,"Amber","Green"))))</f>
        <v>Amber</v>
      </c>
      <c r="N217" s="3"/>
      <c r="O217" t="str">
        <f>IF($I217&lt;&gt;"Complete",IF(COUNTIFS($A$4:$A216,$A217,$B$4:$B216,$B217,$I$4:$I216,"&lt;&gt;Complete")=0,$A217&amp;"|"&amp;$B217,""),"")</f>
        <v>|</v>
      </c>
      <c r="P217" t="str">
        <f ca="1">IF($K217="Yes",COUNTIFS($K$4:$K217,"Yes"),"")</f>
        <v/>
      </c>
      <c r="Q217">
        <f t="shared" ca="1" si="12"/>
        <v>0</v>
      </c>
      <c r="R217" t="str">
        <f ca="1">IF($Q217=1,SUM($Q$4:$Q217),"")</f>
        <v/>
      </c>
    </row>
    <row r="218" spans="1:18" ht="22.5" customHeight="1" x14ac:dyDescent="0.3">
      <c r="A218" s="2"/>
      <c r="B218" s="2"/>
      <c r="C218" s="3"/>
      <c r="D218" s="3"/>
      <c r="E218" s="2"/>
      <c r="F218" s="2"/>
      <c r="G218" s="5"/>
      <c r="H218" s="5"/>
      <c r="I218" s="4"/>
      <c r="J218" s="6" t="str">
        <f t="shared" si="10"/>
        <v/>
      </c>
      <c r="K218" s="4" t="str">
        <f t="shared" ca="1" si="11"/>
        <v/>
      </c>
      <c r="L218" s="7" t="str">
        <f>IF($H218="","",$H218-'[2]Read Me'!$B$4)</f>
        <v/>
      </c>
      <c r="M218" s="4" t="str">
        <f>IF($I218="Complete","Green",IF($H218="","Amber",IF($H218&lt;'[2]Read Me'!$B$4,"Red",IF($H218-'[2]Read Me'!$B$4&lt;=21,"Amber","Green"))))</f>
        <v>Amber</v>
      </c>
      <c r="N218" s="3"/>
      <c r="O218" t="str">
        <f>IF($I218&lt;&gt;"Complete",IF(COUNTIFS($A$4:$A217,$A218,$B$4:$B217,$B218,$I$4:$I217,"&lt;&gt;Complete")=0,$A218&amp;"|"&amp;$B218,""),"")</f>
        <v>|</v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/>
      <c r="B219" s="2"/>
      <c r="C219" s="3"/>
      <c r="D219" s="3"/>
      <c r="E219" s="2"/>
      <c r="F219" s="2"/>
      <c r="G219" s="5"/>
      <c r="H219" s="5"/>
      <c r="I219" s="4"/>
      <c r="J219" s="6" t="str">
        <f t="shared" si="10"/>
        <v/>
      </c>
      <c r="K219" s="4" t="str">
        <f t="shared" ca="1" si="11"/>
        <v/>
      </c>
      <c r="L219" s="7" t="str">
        <f>IF($H219="","",$H219-'[2]Read Me'!$B$4)</f>
        <v/>
      </c>
      <c r="M219" s="4" t="str">
        <f>IF($I219="Complete","Green",IF($H219="","Amber",IF($H219&lt;'[2]Read Me'!$B$4,"Red",IF($H219-'[2]Read Me'!$B$4&lt;=21,"Amber","Green"))))</f>
        <v>Amber</v>
      </c>
      <c r="N219" s="3"/>
      <c r="O219" t="str">
        <f>IF($I219&lt;&gt;"Complete",IF(COUNTIFS($A$4:$A218,$A219,$B$4:$B218,$B219,$I$4:$I218,"&lt;&gt;Complete")=0,$A219&amp;"|"&amp;$B219,""),"")</f>
        <v>|</v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/>
      <c r="B220" s="2"/>
      <c r="C220" s="3"/>
      <c r="D220" s="3"/>
      <c r="E220" s="2"/>
      <c r="F220" s="2"/>
      <c r="G220" s="5"/>
      <c r="H220" s="5"/>
      <c r="I220" s="4"/>
      <c r="J220" s="6" t="str">
        <f t="shared" si="10"/>
        <v/>
      </c>
      <c r="K220" s="4" t="str">
        <f t="shared" ca="1" si="11"/>
        <v/>
      </c>
      <c r="L220" s="7" t="str">
        <f>IF($H220="","",$H220-'[2]Read Me'!$B$4)</f>
        <v/>
      </c>
      <c r="M220" s="4" t="str">
        <f>IF($I220="Complete","Green",IF($H220="","Amber",IF($H220&lt;'[2]Read Me'!$B$4,"Red",IF($H220-'[2]Read Me'!$B$4&lt;=21,"Amber","Green"))))</f>
        <v>Amber</v>
      </c>
      <c r="N220" s="3"/>
      <c r="O220" t="str">
        <f>IF($I220&lt;&gt;"Complete",IF(COUNTIFS($A$4:$A219,$A220,$B$4:$B219,$B220,$I$4:$I219,"&lt;&gt;Complete")=0,$A220&amp;"|"&amp;$B220,""),"")</f>
        <v>|</v>
      </c>
      <c r="P220" t="str">
        <f ca="1">IF($K220="Yes",COUNTIFS($K$4:$K220,"Yes"),"")</f>
        <v/>
      </c>
      <c r="Q220">
        <f t="shared" ca="1" si="12"/>
        <v>0</v>
      </c>
      <c r="R220" t="str">
        <f ca="1">IF($Q220=1,SUM($Q$4:$Q220),"")</f>
        <v/>
      </c>
    </row>
    <row r="221" spans="1:18" ht="22.5" customHeight="1" x14ac:dyDescent="0.3">
      <c r="A221" s="2"/>
      <c r="B221" s="2"/>
      <c r="C221" s="3"/>
      <c r="D221" s="3"/>
      <c r="E221" s="2"/>
      <c r="F221" s="2"/>
      <c r="G221" s="5"/>
      <c r="H221" s="5"/>
      <c r="I221" s="4"/>
      <c r="J221" s="6" t="str">
        <f t="shared" si="10"/>
        <v/>
      </c>
      <c r="K221" s="4" t="str">
        <f t="shared" ca="1" si="11"/>
        <v/>
      </c>
      <c r="L221" s="7" t="str">
        <f>IF($H221="","",$H221-'[2]Read Me'!$B$4)</f>
        <v/>
      </c>
      <c r="M221" s="4" t="str">
        <f>IF($I221="Complete","Green",IF($H221="","Amber",IF($H221&lt;'[2]Read Me'!$B$4,"Red",IF($H221-'[2]Read Me'!$B$4&lt;=21,"Amber","Green"))))</f>
        <v>Amber</v>
      </c>
      <c r="N221" s="3"/>
      <c r="O221" t="str">
        <f>IF($I221&lt;&gt;"Complete",IF(COUNTIFS($A$4:$A220,$A221,$B$4:$B220,$B221,$I$4:$I220,"&lt;&gt;Complete")=0,$A221&amp;"|"&amp;$B221,""),"")</f>
        <v>|</v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/>
      <c r="B222" s="2"/>
      <c r="C222" s="3"/>
      <c r="D222" s="3"/>
      <c r="E222" s="2"/>
      <c r="F222" s="2"/>
      <c r="G222" s="5"/>
      <c r="H222" s="5"/>
      <c r="I222" s="4"/>
      <c r="J222" s="6" t="str">
        <f t="shared" si="10"/>
        <v/>
      </c>
      <c r="K222" s="4" t="str">
        <f t="shared" ca="1" si="11"/>
        <v/>
      </c>
      <c r="L222" s="7" t="str">
        <f>IF($H222="","",$H222-'[2]Read Me'!$B$4)</f>
        <v/>
      </c>
      <c r="M222" s="4" t="str">
        <f>IF($I222="Complete","Green",IF($H222="","Amber",IF($H222&lt;'[2]Read Me'!$B$4,"Red",IF($H222-'[2]Read Me'!$B$4&lt;=21,"Amber","Green"))))</f>
        <v>Amber</v>
      </c>
      <c r="N222" s="3"/>
      <c r="O222" t="str">
        <f>IF($I222&lt;&gt;"Complete",IF(COUNTIFS($A$4:$A221,$A222,$B$4:$B221,$B222,$I$4:$I221,"&lt;&gt;Complete")=0,$A222&amp;"|"&amp;$B222,""),"")</f>
        <v>|</v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/>
      <c r="B223" s="2"/>
      <c r="C223" s="3"/>
      <c r="D223" s="3"/>
      <c r="E223" s="2"/>
      <c r="F223" s="2"/>
      <c r="G223" s="5"/>
      <c r="H223" s="5"/>
      <c r="I223" s="4"/>
      <c r="J223" s="6" t="str">
        <f t="shared" si="10"/>
        <v/>
      </c>
      <c r="K223" s="4" t="str">
        <f t="shared" ca="1" si="11"/>
        <v/>
      </c>
      <c r="L223" s="7" t="str">
        <f>IF($H223="","",$H223-'[2]Read Me'!$B$4)</f>
        <v/>
      </c>
      <c r="M223" s="4" t="str">
        <f>IF($I223="Complete","Green",IF($H223="","Amber",IF($H223&lt;'[2]Read Me'!$B$4,"Red",IF($H223-'[2]Read Me'!$B$4&lt;=21,"Amber","Green"))))</f>
        <v>Amber</v>
      </c>
      <c r="N223" s="3"/>
      <c r="O223" t="str">
        <f>IF($I223&lt;&gt;"Complete",IF(COUNTIFS($A$4:$A222,$A223,$B$4:$B222,$B223,$I$4:$I222,"&lt;&gt;Complete")=0,$A223&amp;"|"&amp;$B223,""),"")</f>
        <v>|</v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/>
      <c r="B224" s="2"/>
      <c r="C224" s="3"/>
      <c r="D224" s="3"/>
      <c r="E224" s="2"/>
      <c r="F224" s="2"/>
      <c r="G224" s="5"/>
      <c r="H224" s="5"/>
      <c r="I224" s="4"/>
      <c r="J224" s="6" t="str">
        <f t="shared" si="10"/>
        <v/>
      </c>
      <c r="K224" s="4" t="str">
        <f t="shared" ca="1" si="11"/>
        <v/>
      </c>
      <c r="L224" s="7" t="str">
        <f>IF($H224="","",$H224-'[2]Read Me'!$B$4)</f>
        <v/>
      </c>
      <c r="M224" s="4" t="str">
        <f>IF($I224="Complete","Green",IF($H224="","Amber",IF($H224&lt;'[2]Read Me'!$B$4,"Red",IF($H224-'[2]Read Me'!$B$4&lt;=21,"Amber","Green"))))</f>
        <v>Amber</v>
      </c>
      <c r="N224" s="3"/>
      <c r="O224" t="str">
        <f>IF($I224&lt;&gt;"Complete",IF(COUNTIFS($A$4:$A223,$A224,$B$4:$B223,$B224,$I$4:$I223,"&lt;&gt;Complete")=0,$A224&amp;"|"&amp;$B224,""),"")</f>
        <v>|</v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/>
      <c r="B225" s="2"/>
      <c r="C225" s="3"/>
      <c r="D225" s="3"/>
      <c r="E225" s="2"/>
      <c r="F225" s="2"/>
      <c r="G225" s="5"/>
      <c r="H225" s="5"/>
      <c r="I225" s="4"/>
      <c r="J225" s="6" t="str">
        <f t="shared" si="10"/>
        <v/>
      </c>
      <c r="K225" s="4" t="str">
        <f t="shared" ca="1" si="11"/>
        <v/>
      </c>
      <c r="L225" s="7" t="str">
        <f>IF($H225="","",$H225-'[2]Read Me'!$B$4)</f>
        <v/>
      </c>
      <c r="M225" s="4" t="str">
        <f>IF($I225="Complete","Green",IF($H225="","Amber",IF($H225&lt;'[2]Read Me'!$B$4,"Red",IF($H225-'[2]Read Me'!$B$4&lt;=21,"Amber","Green"))))</f>
        <v>Amber</v>
      </c>
      <c r="N225" s="3"/>
      <c r="O225" t="str">
        <f>IF($I225&lt;&gt;"Complete",IF(COUNTIFS($A$4:$A224,$A225,$B$4:$B224,$B225,$I$4:$I224,"&lt;&gt;Complete")=0,$A225&amp;"|"&amp;$B225,""),"")</f>
        <v>|</v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/>
      <c r="B226" s="2"/>
      <c r="C226" s="3"/>
      <c r="D226" s="3"/>
      <c r="E226" s="2"/>
      <c r="F226" s="2"/>
      <c r="G226" s="5"/>
      <c r="H226" s="5"/>
      <c r="I226" s="4"/>
      <c r="J226" s="6" t="str">
        <f t="shared" si="10"/>
        <v/>
      </c>
      <c r="K226" s="4" t="str">
        <f t="shared" ca="1" si="11"/>
        <v/>
      </c>
      <c r="L226" s="7" t="str">
        <f>IF($H226="","",$H226-'[2]Read Me'!$B$4)</f>
        <v/>
      </c>
      <c r="M226" s="4" t="str">
        <f>IF($I226="Complete","Green",IF($H226="","Amber",IF($H226&lt;'[2]Read Me'!$B$4,"Red",IF($H226-'[2]Read Me'!$B$4&lt;=21,"Amber","Green"))))</f>
        <v>Amber</v>
      </c>
      <c r="N226" s="3"/>
      <c r="O226" t="str">
        <f>IF($I226&lt;&gt;"Complete",IF(COUNTIFS($A$4:$A225,$A226,$B$4:$B225,$B226,$I$4:$I225,"&lt;&gt;Complete")=0,$A226&amp;"|"&amp;$B226,""),"")</f>
        <v>|</v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/>
      <c r="B227" s="2"/>
      <c r="C227" s="3"/>
      <c r="D227" s="3"/>
      <c r="E227" s="2"/>
      <c r="F227" s="2"/>
      <c r="G227" s="5"/>
      <c r="H227" s="5"/>
      <c r="I227" s="4"/>
      <c r="J227" s="6" t="str">
        <f t="shared" si="10"/>
        <v/>
      </c>
      <c r="K227" s="4" t="str">
        <f t="shared" ca="1" si="11"/>
        <v/>
      </c>
      <c r="L227" s="7" t="str">
        <f>IF($H227="","",$H227-'[2]Read Me'!$B$4)</f>
        <v/>
      </c>
      <c r="M227" s="4" t="str">
        <f>IF($I227="Complete","Green",IF($H227="","Amber",IF($H227&lt;'[2]Read Me'!$B$4,"Red",IF($H227-'[2]Read Me'!$B$4&lt;=21,"Amber","Green"))))</f>
        <v>Amber</v>
      </c>
      <c r="N227" s="3"/>
      <c r="O227" t="str">
        <f>IF($I227&lt;&gt;"Complete",IF(COUNTIFS($A$4:$A226,$A227,$B$4:$B226,$B227,$I$4:$I226,"&lt;&gt;Complete")=0,$A227&amp;"|"&amp;$B227,""),"")</f>
        <v>|</v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/>
      <c r="B228" s="2"/>
      <c r="C228" s="3"/>
      <c r="D228" s="3"/>
      <c r="E228" s="2"/>
      <c r="F228" s="2"/>
      <c r="G228" s="5"/>
      <c r="H228" s="5"/>
      <c r="I228" s="4"/>
      <c r="J228" s="6" t="str">
        <f t="shared" si="10"/>
        <v/>
      </c>
      <c r="K228" s="4" t="str">
        <f t="shared" ca="1" si="11"/>
        <v/>
      </c>
      <c r="L228" s="7" t="str">
        <f>IF($H228="","",$H228-'[2]Read Me'!$B$4)</f>
        <v/>
      </c>
      <c r="M228" s="4" t="str">
        <f>IF($I228="Complete","Green",IF($H228="","Amber",IF($H228&lt;'[2]Read Me'!$B$4,"Red",IF($H228-'[2]Read Me'!$B$4&lt;=21,"Amber","Green"))))</f>
        <v>Amber</v>
      </c>
      <c r="N228" s="3"/>
      <c r="O228" t="str">
        <f>IF($I228&lt;&gt;"Complete",IF(COUNTIFS($A$4:$A227,$A228,$B$4:$B227,$B228,$I$4:$I227,"&lt;&gt;Complete")=0,$A228&amp;"|"&amp;$B228,""),"")</f>
        <v>|</v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/>
      <c r="B229" s="2"/>
      <c r="C229" s="3"/>
      <c r="D229" s="3"/>
      <c r="E229" s="2"/>
      <c r="F229" s="2"/>
      <c r="G229" s="5"/>
      <c r="H229" s="5"/>
      <c r="I229" s="4"/>
      <c r="J229" s="6" t="str">
        <f t="shared" si="10"/>
        <v/>
      </c>
      <c r="K229" s="4" t="str">
        <f t="shared" ca="1" si="11"/>
        <v/>
      </c>
      <c r="L229" s="7" t="str">
        <f>IF($H229="","",$H229-'[2]Read Me'!$B$4)</f>
        <v/>
      </c>
      <c r="M229" s="4" t="str">
        <f>IF($I229="Complete","Green",IF($H229="","Amber",IF($H229&lt;'[2]Read Me'!$B$4,"Red",IF($H229-'[2]Read Me'!$B$4&lt;=21,"Amber","Green"))))</f>
        <v>Amber</v>
      </c>
      <c r="N229" s="3"/>
      <c r="O229" t="str">
        <f>IF($I229&lt;&gt;"Complete",IF(COUNTIFS($A$4:$A228,$A229,$B$4:$B228,$B229,$I$4:$I228,"&lt;&gt;Complete")=0,$A229&amp;"|"&amp;$B229,""),"")</f>
        <v>|</v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/>
      <c r="B230" s="2"/>
      <c r="C230" s="3"/>
      <c r="D230" s="3"/>
      <c r="E230" s="2"/>
      <c r="F230" s="2"/>
      <c r="G230" s="5"/>
      <c r="H230" s="5"/>
      <c r="I230" s="4"/>
      <c r="J230" s="6" t="str">
        <f t="shared" si="10"/>
        <v/>
      </c>
      <c r="K230" s="4" t="str">
        <f t="shared" ca="1" si="11"/>
        <v/>
      </c>
      <c r="L230" s="7" t="str">
        <f>IF($H230="","",$H230-'[2]Read Me'!$B$4)</f>
        <v/>
      </c>
      <c r="M230" s="4" t="str">
        <f>IF($I230="Complete","Green",IF($H230="","Amber",IF($H230&lt;'[2]Read Me'!$B$4,"Red",IF($H230-'[2]Read Me'!$B$4&lt;=21,"Amber","Green"))))</f>
        <v>Amber</v>
      </c>
      <c r="N230" s="3"/>
      <c r="O230" t="str">
        <f>IF($I230&lt;&gt;"Complete",IF(COUNTIFS($A$4:$A229,$A230,$B$4:$B229,$B230,$I$4:$I229,"&lt;&gt;Complete")=0,$A230&amp;"|"&amp;$B230,""),"")</f>
        <v>|</v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/>
      <c r="B231" s="2"/>
      <c r="C231" s="3"/>
      <c r="D231" s="3"/>
      <c r="E231" s="2"/>
      <c r="F231" s="2"/>
      <c r="G231" s="5"/>
      <c r="H231" s="5"/>
      <c r="I231" s="4"/>
      <c r="J231" s="6" t="str">
        <f t="shared" si="10"/>
        <v/>
      </c>
      <c r="K231" s="4" t="str">
        <f t="shared" ca="1" si="11"/>
        <v/>
      </c>
      <c r="L231" s="7" t="str">
        <f>IF($H231="","",$H231-'[2]Read Me'!$B$4)</f>
        <v/>
      </c>
      <c r="M231" s="4" t="str">
        <f>IF($I231="Complete","Green",IF($H231="","Amber",IF($H231&lt;'[2]Read Me'!$B$4,"Red",IF($H231-'[2]Read Me'!$B$4&lt;=21,"Amber","Green"))))</f>
        <v>Amber</v>
      </c>
      <c r="N231" s="3"/>
      <c r="O231" t="str">
        <f>IF($I231&lt;&gt;"Complete",IF(COUNTIFS($A$4:$A230,$A231,$B$4:$B230,$B231,$I$4:$I230,"&lt;&gt;Complete")=0,$A231&amp;"|"&amp;$B231,""),"")</f>
        <v>|</v>
      </c>
      <c r="P231" t="str">
        <f ca="1">IF($K231="Yes",COUNTIFS($K$4:$K231,"Yes"),"")</f>
        <v/>
      </c>
      <c r="Q231">
        <f t="shared" ca="1" si="12"/>
        <v>0</v>
      </c>
      <c r="R231" t="str">
        <f ca="1">IF($Q231=1,SUM($Q$4:$Q231),"")</f>
        <v/>
      </c>
    </row>
    <row r="232" spans="1:18" ht="22.5" customHeight="1" x14ac:dyDescent="0.3">
      <c r="A232" s="2"/>
      <c r="B232" s="2"/>
      <c r="C232" s="3"/>
      <c r="D232" s="3"/>
      <c r="E232" s="2"/>
      <c r="F232" s="2"/>
      <c r="G232" s="5"/>
      <c r="H232" s="5"/>
      <c r="I232" s="4"/>
      <c r="J232" s="6" t="str">
        <f t="shared" si="10"/>
        <v/>
      </c>
      <c r="K232" s="4" t="str">
        <f t="shared" ca="1" si="11"/>
        <v/>
      </c>
      <c r="L232" s="7" t="str">
        <f>IF($H232="","",$H232-'[2]Read Me'!$B$4)</f>
        <v/>
      </c>
      <c r="M232" s="4" t="str">
        <f>IF($I232="Complete","Green",IF($H232="","Amber",IF($H232&lt;'[2]Read Me'!$B$4,"Red",IF($H232-'[2]Read Me'!$B$4&lt;=21,"Amber","Green"))))</f>
        <v>Amber</v>
      </c>
      <c r="N232" s="3"/>
      <c r="O232" t="str">
        <f>IF($I232&lt;&gt;"Complete",IF(COUNTIFS($A$4:$A231,$A232,$B$4:$B231,$B232,$I$4:$I231,"&lt;&gt;Complete")=0,$A232&amp;"|"&amp;$B232,""),"")</f>
        <v>|</v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/>
      <c r="B233" s="2"/>
      <c r="C233" s="3"/>
      <c r="D233" s="3"/>
      <c r="E233" s="2"/>
      <c r="F233" s="2"/>
      <c r="G233" s="5"/>
      <c r="H233" s="5"/>
      <c r="I233" s="4"/>
      <c r="J233" s="6" t="str">
        <f t="shared" si="10"/>
        <v/>
      </c>
      <c r="K233" s="4" t="str">
        <f t="shared" ca="1" si="11"/>
        <v/>
      </c>
      <c r="L233" s="7" t="str">
        <f>IF($H233="","",$H233-'[2]Read Me'!$B$4)</f>
        <v/>
      </c>
      <c r="M233" s="4" t="str">
        <f>IF($I233="Complete","Green",IF($H233="","Amber",IF($H233&lt;'[2]Read Me'!$B$4,"Red",IF($H233-'[2]Read Me'!$B$4&lt;=21,"Amber","Green"))))</f>
        <v>Amber</v>
      </c>
      <c r="N233" s="3"/>
      <c r="O233" t="str">
        <f>IF($I233&lt;&gt;"Complete",IF(COUNTIFS($A$4:$A232,$A233,$B$4:$B232,$B233,$I$4:$I232,"&lt;&gt;Complete")=0,$A233&amp;"|"&amp;$B233,""),"")</f>
        <v>|</v>
      </c>
      <c r="P233" t="str">
        <f ca="1">IF($K233="Yes",COUNTIFS($K$4:$K233,"Yes"),"")</f>
        <v/>
      </c>
      <c r="Q233">
        <f t="shared" ca="1" si="12"/>
        <v>0</v>
      </c>
      <c r="R233" t="str">
        <f ca="1">IF($Q233=1,SUM($Q$4:$Q233),"")</f>
        <v/>
      </c>
    </row>
    <row r="234" spans="1:18" ht="22.5" customHeight="1" x14ac:dyDescent="0.3">
      <c r="A234" s="2"/>
      <c r="B234" s="2"/>
      <c r="C234" s="3"/>
      <c r="D234" s="3"/>
      <c r="E234" s="2"/>
      <c r="F234" s="2"/>
      <c r="G234" s="5"/>
      <c r="H234" s="5"/>
      <c r="I234" s="4"/>
      <c r="J234" s="6" t="str">
        <f t="shared" si="10"/>
        <v/>
      </c>
      <c r="K234" s="4" t="str">
        <f t="shared" ca="1" si="11"/>
        <v/>
      </c>
      <c r="L234" s="7" t="str">
        <f>IF($H234="","",$H234-'[2]Read Me'!$B$4)</f>
        <v/>
      </c>
      <c r="M234" s="4" t="str">
        <f>IF($I234="Complete","Green",IF($H234="","Amber",IF($H234&lt;'[2]Read Me'!$B$4,"Red",IF($H234-'[2]Read Me'!$B$4&lt;=21,"Amber","Green"))))</f>
        <v>Amber</v>
      </c>
      <c r="N234" s="3"/>
      <c r="O234" t="str">
        <f>IF($I234&lt;&gt;"Complete",IF(COUNTIFS($A$4:$A233,$A234,$B$4:$B233,$B234,$I$4:$I233,"&lt;&gt;Complete")=0,$A234&amp;"|"&amp;$B234,""),"")</f>
        <v>|</v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/>
      <c r="B235" s="2"/>
      <c r="C235" s="3"/>
      <c r="D235" s="3"/>
      <c r="E235" s="2"/>
      <c r="F235" s="2"/>
      <c r="G235" s="5"/>
      <c r="H235" s="5"/>
      <c r="I235" s="4"/>
      <c r="J235" s="6" t="str">
        <f t="shared" si="10"/>
        <v/>
      </c>
      <c r="K235" s="4" t="str">
        <f t="shared" ca="1" si="11"/>
        <v/>
      </c>
      <c r="L235" s="7" t="str">
        <f>IF($H235="","",$H235-'[2]Read Me'!$B$4)</f>
        <v/>
      </c>
      <c r="M235" s="4" t="str">
        <f>IF($I235="Complete","Green",IF($H235="","Amber",IF($H235&lt;'[2]Read Me'!$B$4,"Red",IF($H235-'[2]Read Me'!$B$4&lt;=21,"Amber","Green"))))</f>
        <v>Amber</v>
      </c>
      <c r="N235" s="3"/>
      <c r="O235" t="str">
        <f>IF($I235&lt;&gt;"Complete",IF(COUNTIFS($A$4:$A234,$A235,$B$4:$B234,$B235,$I$4:$I234,"&lt;&gt;Complete")=0,$A235&amp;"|"&amp;$B235,""),"")</f>
        <v>|</v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/>
      <c r="B236" s="2"/>
      <c r="C236" s="3"/>
      <c r="D236" s="3"/>
      <c r="E236" s="2"/>
      <c r="F236" s="2"/>
      <c r="G236" s="5"/>
      <c r="H236" s="5"/>
      <c r="I236" s="4"/>
      <c r="J236" s="6" t="str">
        <f t="shared" si="10"/>
        <v/>
      </c>
      <c r="K236" s="4" t="str">
        <f t="shared" ca="1" si="11"/>
        <v/>
      </c>
      <c r="L236" s="7" t="str">
        <f>IF($H236="","",$H236-'[2]Read Me'!$B$4)</f>
        <v/>
      </c>
      <c r="M236" s="4" t="str">
        <f>IF($I236="Complete","Green",IF($H236="","Amber",IF($H236&lt;'[2]Read Me'!$B$4,"Red",IF($H236-'[2]Read Me'!$B$4&lt;=21,"Amber","Green"))))</f>
        <v>Amber</v>
      </c>
      <c r="N236" s="3"/>
      <c r="O236" t="str">
        <f>IF($I236&lt;&gt;"Complete",IF(COUNTIFS($A$4:$A235,$A236,$B$4:$B235,$B236,$I$4:$I235,"&lt;&gt;Complete")=0,$A236&amp;"|"&amp;$B236,""),"")</f>
        <v>|</v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/>
      <c r="B237" s="2"/>
      <c r="C237" s="3"/>
      <c r="D237" s="3"/>
      <c r="E237" s="2"/>
      <c r="F237" s="2"/>
      <c r="G237" s="5"/>
      <c r="H237" s="5"/>
      <c r="I237" s="4"/>
      <c r="J237" s="6" t="str">
        <f t="shared" si="10"/>
        <v/>
      </c>
      <c r="K237" s="4" t="str">
        <f t="shared" ca="1" si="11"/>
        <v/>
      </c>
      <c r="L237" s="7" t="str">
        <f>IF($H237="","",$H237-'[2]Read Me'!$B$4)</f>
        <v/>
      </c>
      <c r="M237" s="4" t="str">
        <f>IF($I237="Complete","Green",IF($H237="","Amber",IF($H237&lt;'[2]Read Me'!$B$4,"Red",IF($H237-'[2]Read Me'!$B$4&lt;=21,"Amber","Green"))))</f>
        <v>Amber</v>
      </c>
      <c r="N237" s="3"/>
      <c r="O237" t="str">
        <f>IF($I237&lt;&gt;"Complete",IF(COUNTIFS($A$4:$A236,$A237,$B$4:$B236,$B237,$I$4:$I236,"&lt;&gt;Complete")=0,$A237&amp;"|"&amp;$B237,""),"")</f>
        <v>|</v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/>
      <c r="B238" s="2"/>
      <c r="C238" s="3"/>
      <c r="D238" s="3"/>
      <c r="E238" s="2"/>
      <c r="F238" s="2"/>
      <c r="G238" s="5"/>
      <c r="H238" s="5"/>
      <c r="I238" s="4"/>
      <c r="J238" s="6" t="str">
        <f t="shared" si="10"/>
        <v/>
      </c>
      <c r="K238" s="4" t="str">
        <f t="shared" ca="1" si="11"/>
        <v/>
      </c>
      <c r="L238" s="7" t="str">
        <f>IF($H238="","",$H238-'[2]Read Me'!$B$4)</f>
        <v/>
      </c>
      <c r="M238" s="4" t="str">
        <f>IF($I238="Complete","Green",IF($H238="","Amber",IF($H238&lt;'[2]Read Me'!$B$4,"Red",IF($H238-'[2]Read Me'!$B$4&lt;=21,"Amber","Green"))))</f>
        <v>Amber</v>
      </c>
      <c r="N238" s="3"/>
      <c r="O238" t="str">
        <f>IF($I238&lt;&gt;"Complete",IF(COUNTIFS($A$4:$A237,$A238,$B$4:$B237,$B238,$I$4:$I237,"&lt;&gt;Complete")=0,$A238&amp;"|"&amp;$B238,""),"")</f>
        <v>|</v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/>
      <c r="B239" s="2"/>
      <c r="C239" s="3"/>
      <c r="D239" s="3"/>
      <c r="E239" s="2"/>
      <c r="F239" s="2"/>
      <c r="G239" s="5"/>
      <c r="H239" s="5"/>
      <c r="I239" s="4"/>
      <c r="J239" s="6" t="str">
        <f t="shared" si="10"/>
        <v/>
      </c>
      <c r="K239" s="4" t="str">
        <f t="shared" ca="1" si="11"/>
        <v/>
      </c>
      <c r="L239" s="7" t="str">
        <f>IF($H239="","",$H239-'[2]Read Me'!$B$4)</f>
        <v/>
      </c>
      <c r="M239" s="4" t="str">
        <f>IF($I239="Complete","Green",IF($H239="","Amber",IF($H239&lt;'[2]Read Me'!$B$4,"Red",IF($H239-'[2]Read Me'!$B$4&lt;=21,"Amber","Green"))))</f>
        <v>Amber</v>
      </c>
      <c r="N239" s="3"/>
      <c r="O239" t="str">
        <f>IF($I239&lt;&gt;"Complete",IF(COUNTIFS($A$4:$A238,$A239,$B$4:$B238,$B239,$I$4:$I238,"&lt;&gt;Complete")=0,$A239&amp;"|"&amp;$B239,""),"")</f>
        <v>|</v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/>
      <c r="B240" s="2"/>
      <c r="C240" s="3"/>
      <c r="D240" s="3"/>
      <c r="E240" s="2"/>
      <c r="F240" s="2"/>
      <c r="G240" s="5"/>
      <c r="H240" s="5"/>
      <c r="I240" s="4"/>
      <c r="J240" s="6" t="str">
        <f t="shared" si="10"/>
        <v/>
      </c>
      <c r="K240" s="4" t="str">
        <f t="shared" ca="1" si="11"/>
        <v/>
      </c>
      <c r="L240" s="7" t="str">
        <f>IF($H240="","",$H240-'[2]Read Me'!$B$4)</f>
        <v/>
      </c>
      <c r="M240" s="4" t="str">
        <f>IF($I240="Complete","Green",IF($H240="","Amber",IF($H240&lt;'[2]Read Me'!$B$4,"Red",IF($H240-'[2]Read Me'!$B$4&lt;=21,"Amber","Green"))))</f>
        <v>Amber</v>
      </c>
      <c r="N240" s="3"/>
      <c r="O240" t="str">
        <f>IF($I240&lt;&gt;"Complete",IF(COUNTIFS($A$4:$A239,$A240,$B$4:$B239,$B240,$I$4:$I239,"&lt;&gt;Complete")=0,$A240&amp;"|"&amp;$B240,""),"")</f>
        <v>|</v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/>
      <c r="B241" s="2"/>
      <c r="C241" s="3"/>
      <c r="D241" s="3"/>
      <c r="E241" s="2"/>
      <c r="F241" s="2"/>
      <c r="G241" s="5"/>
      <c r="H241" s="5"/>
      <c r="I241" s="4"/>
      <c r="J241" s="6" t="str">
        <f t="shared" si="10"/>
        <v/>
      </c>
      <c r="K241" s="4" t="str">
        <f t="shared" ca="1" si="11"/>
        <v/>
      </c>
      <c r="L241" s="7" t="str">
        <f>IF($H241="","",$H241-'[2]Read Me'!$B$4)</f>
        <v/>
      </c>
      <c r="M241" s="4" t="str">
        <f>IF($I241="Complete","Green",IF($H241="","Amber",IF($H241&lt;'[2]Read Me'!$B$4,"Red",IF($H241-'[2]Read Me'!$B$4&lt;=21,"Amber","Green"))))</f>
        <v>Amber</v>
      </c>
      <c r="N241" s="3"/>
      <c r="O241" t="str">
        <f>IF($I241&lt;&gt;"Complete",IF(COUNTIFS($A$4:$A240,$A241,$B$4:$B240,$B241,$I$4:$I240,"&lt;&gt;Complete")=0,$A241&amp;"|"&amp;$B241,""),"")</f>
        <v>|</v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/>
      <c r="B242" s="2"/>
      <c r="C242" s="3"/>
      <c r="D242" s="3"/>
      <c r="E242" s="2"/>
      <c r="F242" s="2"/>
      <c r="G242" s="5"/>
      <c r="H242" s="5"/>
      <c r="I242" s="4"/>
      <c r="J242" s="6" t="str">
        <f t="shared" si="10"/>
        <v/>
      </c>
      <c r="K242" s="4" t="str">
        <f t="shared" ca="1" si="11"/>
        <v/>
      </c>
      <c r="L242" s="7" t="str">
        <f>IF($H242="","",$H242-'[2]Read Me'!$B$4)</f>
        <v/>
      </c>
      <c r="M242" s="4" t="str">
        <f>IF($I242="Complete","Green",IF($H242="","Amber",IF($H242&lt;'[2]Read Me'!$B$4,"Red",IF($H242-'[2]Read Me'!$B$4&lt;=21,"Amber","Green"))))</f>
        <v>Amber</v>
      </c>
      <c r="N242" s="3"/>
      <c r="O242" t="str">
        <f>IF($I242&lt;&gt;"Complete",IF(COUNTIFS($A$4:$A241,$A242,$B$4:$B241,$B242,$I$4:$I241,"&lt;&gt;Complete")=0,$A242&amp;"|"&amp;$B242,""),"")</f>
        <v>|</v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/>
      <c r="B243" s="2"/>
      <c r="C243" s="3"/>
      <c r="D243" s="3"/>
      <c r="E243" s="2"/>
      <c r="F243" s="2"/>
      <c r="G243" s="5"/>
      <c r="H243" s="5"/>
      <c r="I243" s="4"/>
      <c r="J243" s="6" t="str">
        <f t="shared" si="10"/>
        <v/>
      </c>
      <c r="K243" s="4" t="str">
        <f t="shared" ca="1" si="11"/>
        <v/>
      </c>
      <c r="L243" s="7" t="str">
        <f>IF($H243="","",$H243-'[2]Read Me'!$B$4)</f>
        <v/>
      </c>
      <c r="M243" s="4" t="str">
        <f>IF($I243="Complete","Green",IF($H243="","Amber",IF($H243&lt;'[2]Read Me'!$B$4,"Red",IF($H243-'[2]Read Me'!$B$4&lt;=21,"Amber","Green"))))</f>
        <v>Amber</v>
      </c>
      <c r="N243" s="3"/>
      <c r="O243" t="str">
        <f>IF($I243&lt;&gt;"Complete",IF(COUNTIFS($A$4:$A242,$A243,$B$4:$B242,$B243,$I$4:$I242,"&lt;&gt;Complete")=0,$A243&amp;"|"&amp;$B243,""),"")</f>
        <v>|</v>
      </c>
      <c r="P243" t="str">
        <f ca="1">IF($K243="Yes",COUNTIFS($K$4:$K243,"Yes"),"")</f>
        <v/>
      </c>
      <c r="Q243">
        <f t="shared" ca="1" si="12"/>
        <v>0</v>
      </c>
      <c r="R243" t="str">
        <f ca="1">IF($Q243=1,SUM($Q$4:$Q243),"")</f>
        <v/>
      </c>
    </row>
    <row r="244" spans="1:18" ht="22.5" customHeight="1" x14ac:dyDescent="0.3">
      <c r="A244" s="2"/>
      <c r="B244" s="2"/>
      <c r="C244" s="3"/>
      <c r="D244" s="3"/>
      <c r="E244" s="2"/>
      <c r="F244" s="2"/>
      <c r="G244" s="5"/>
      <c r="H244" s="5"/>
      <c r="I244" s="4"/>
      <c r="J244" s="6" t="str">
        <f t="shared" si="10"/>
        <v/>
      </c>
      <c r="K244" s="4" t="str">
        <f t="shared" ref="K244:K264" ca="1" si="13">IF($H244="","",IF($H244&gt;TODAY(),"No","Yes"))</f>
        <v/>
      </c>
      <c r="L244" s="7" t="str">
        <f>IF($H244="","",$H244-'[2]Read Me'!$B$4)</f>
        <v/>
      </c>
      <c r="M244" s="4" t="str">
        <f>IF($I244="Complete","Green",IF($H244="","Amber",IF($H244&lt;'[2]Read Me'!$B$4,"Red",IF($H244-'[2]Read Me'!$B$4&lt;=21,"Amber","Green"))))</f>
        <v>Amber</v>
      </c>
      <c r="N244" s="3"/>
      <c r="O244" t="str">
        <f>IF($I244&lt;&gt;"Complete",IF(COUNTIFS($A$4:$A243,$A244,$B$4:$B243,$B244,$I$4:$I243,"&lt;&gt;Complete")=0,$A244&amp;"|"&amp;$B244,""),"")</f>
        <v>|</v>
      </c>
      <c r="P244" t="str">
        <f ca="1">IF($K244="Yes",COUNTIFS($K$4:$K244,"Yes"),"")</f>
        <v/>
      </c>
      <c r="Q244">
        <f t="shared" ca="1" si="12"/>
        <v>0</v>
      </c>
      <c r="R244" t="str">
        <f ca="1">IF($Q244=1,SUM($Q$4:$Q244),"")</f>
        <v/>
      </c>
    </row>
    <row r="245" spans="1:18" ht="22.5" customHeight="1" x14ac:dyDescent="0.3">
      <c r="A245" s="2"/>
      <c r="B245" s="2"/>
      <c r="C245" s="3"/>
      <c r="D245" s="3"/>
      <c r="E245" s="2"/>
      <c r="F245" s="2"/>
      <c r="G245" s="5"/>
      <c r="H245" s="5"/>
      <c r="I245" s="4"/>
      <c r="J245" s="6" t="str">
        <f t="shared" si="10"/>
        <v/>
      </c>
      <c r="K245" s="4" t="str">
        <f t="shared" ca="1" si="13"/>
        <v/>
      </c>
      <c r="L245" s="7" t="str">
        <f>IF($H245="","",$H245-'[2]Read Me'!$B$4)</f>
        <v/>
      </c>
      <c r="M245" s="4" t="str">
        <f>IF($I245="Complete","Green",IF($H245="","Amber",IF($H245&lt;'[2]Read Me'!$B$4,"Red",IF($H245-'[2]Read Me'!$B$4&lt;=21,"Amber","Green"))))</f>
        <v>Amber</v>
      </c>
      <c r="N245" s="3"/>
      <c r="O245" t="str">
        <f>IF($I245&lt;&gt;"Complete",IF(COUNTIFS($A$4:$A244,$A245,$B$4:$B244,$B245,$I$4:$I244,"&lt;&gt;Complete")=0,$A245&amp;"|"&amp;$B245,""),"")</f>
        <v>|</v>
      </c>
      <c r="P245" t="str">
        <f ca="1">IF($K245="Yes",COUNTIFS($K$4:$K245,"Yes"),"")</f>
        <v/>
      </c>
      <c r="Q245">
        <f t="shared" ca="1" si="12"/>
        <v>0</v>
      </c>
      <c r="R245" t="str">
        <f ca="1">IF($Q245=1,SUM($Q$4:$Q245),"")</f>
        <v/>
      </c>
    </row>
    <row r="246" spans="1:18" ht="22.5" customHeight="1" x14ac:dyDescent="0.3">
      <c r="A246" s="2"/>
      <c r="B246" s="2"/>
      <c r="C246" s="3"/>
      <c r="D246" s="3"/>
      <c r="E246" s="2"/>
      <c r="F246" s="2"/>
      <c r="G246" s="5"/>
      <c r="H246" s="5"/>
      <c r="I246" s="4"/>
      <c r="J246" s="6" t="str">
        <f t="shared" si="10"/>
        <v/>
      </c>
      <c r="K246" s="4" t="str">
        <f t="shared" ca="1" si="13"/>
        <v/>
      </c>
      <c r="L246" s="7" t="str">
        <f>IF($H246="","",$H246-'[2]Read Me'!$B$4)</f>
        <v/>
      </c>
      <c r="M246" s="4" t="str">
        <f>IF($I246="Complete","Green",IF($H246="","Amber",IF($H246&lt;'[2]Read Me'!$B$4,"Red",IF($H246-'[2]Read Me'!$B$4&lt;=21,"Amber","Green"))))</f>
        <v>Amber</v>
      </c>
      <c r="N246" s="3"/>
      <c r="O246" t="str">
        <f>IF($I246&lt;&gt;"Complete",IF(COUNTIFS($A$4:$A245,$A246,$B$4:$B245,$B246,$I$4:$I245,"&lt;&gt;Complete")=0,$A246&amp;"|"&amp;$B246,""),"")</f>
        <v>|</v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/>
      <c r="B247" s="2"/>
      <c r="C247" s="3"/>
      <c r="D247" s="3"/>
      <c r="E247" s="2"/>
      <c r="F247" s="2"/>
      <c r="G247" s="5"/>
      <c r="H247" s="5"/>
      <c r="I247" s="4"/>
      <c r="J247" s="6" t="str">
        <f t="shared" si="10"/>
        <v/>
      </c>
      <c r="K247" s="4" t="str">
        <f t="shared" ca="1" si="13"/>
        <v/>
      </c>
      <c r="L247" s="7" t="str">
        <f>IF($H247="","",$H247-'[2]Read Me'!$B$4)</f>
        <v/>
      </c>
      <c r="M247" s="4" t="str">
        <f>IF($I247="Complete","Green",IF($H247="","Amber",IF($H247&lt;'[2]Read Me'!$B$4,"Red",IF($H247-'[2]Read Me'!$B$4&lt;=21,"Amber","Green"))))</f>
        <v>Amber</v>
      </c>
      <c r="N247" s="3"/>
      <c r="O247" t="str">
        <f>IF($I247&lt;&gt;"Complete",IF(COUNTIFS($A$4:$A246,$A247,$B$4:$B246,$B247,$I$4:$I246,"&lt;&gt;Complete")=0,$A247&amp;"|"&amp;$B247,""),"")</f>
        <v>|</v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/>
      <c r="B248" s="2"/>
      <c r="C248" s="3"/>
      <c r="D248" s="3"/>
      <c r="E248" s="2"/>
      <c r="F248" s="2"/>
      <c r="G248" s="5"/>
      <c r="H248" s="5"/>
      <c r="I248" s="4"/>
      <c r="J248" s="6" t="str">
        <f t="shared" si="10"/>
        <v/>
      </c>
      <c r="K248" s="4" t="str">
        <f t="shared" ca="1" si="13"/>
        <v/>
      </c>
      <c r="L248" s="7" t="str">
        <f>IF($H248="","",$H248-'[2]Read Me'!$B$4)</f>
        <v/>
      </c>
      <c r="M248" s="4" t="str">
        <f>IF($I248="Complete","Green",IF($H248="","Amber",IF($H248&lt;'[2]Read Me'!$B$4,"Red",IF($H248-'[2]Read Me'!$B$4&lt;=21,"Amber","Green"))))</f>
        <v>Amber</v>
      </c>
      <c r="N248" s="3"/>
      <c r="O248" t="str">
        <f>IF($I248&lt;&gt;"Complete",IF(COUNTIFS($A$4:$A247,$A248,$B$4:$B247,$B248,$I$4:$I247,"&lt;&gt;Complete")=0,$A248&amp;"|"&amp;$B248,""),"")</f>
        <v>|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/>
      <c r="B249" s="2"/>
      <c r="C249" s="3"/>
      <c r="D249" s="3"/>
      <c r="E249" s="2"/>
      <c r="F249" s="2"/>
      <c r="G249" s="5"/>
      <c r="H249" s="5"/>
      <c r="I249" s="4"/>
      <c r="J249" s="6" t="str">
        <f t="shared" si="10"/>
        <v/>
      </c>
      <c r="K249" s="4" t="str">
        <f t="shared" ca="1" si="13"/>
        <v/>
      </c>
      <c r="L249" s="7" t="str">
        <f>IF($H249="","",$H249-'[2]Read Me'!$B$4)</f>
        <v/>
      </c>
      <c r="M249" s="4" t="str">
        <f>IF($I249="Complete","Green",IF($H249="","Amber",IF($H249&lt;'[2]Read Me'!$B$4,"Red",IF($H249-'[2]Read Me'!$B$4&lt;=21,"Amber","Green"))))</f>
        <v>Amber</v>
      </c>
      <c r="N249" s="3"/>
      <c r="O249" t="str">
        <f>IF($I249&lt;&gt;"Complete",IF(COUNTIFS($A$4:$A248,$A249,$B$4:$B248,$B249,$I$4:$I248,"&lt;&gt;Complete")=0,$A249&amp;"|"&amp;$B249,""),"")</f>
        <v>|</v>
      </c>
      <c r="P249" t="str">
        <f ca="1">IF($K249="Yes",COUNTIFS($K$4:$K249,"Yes"),"")</f>
        <v/>
      </c>
      <c r="Q249">
        <f t="shared" ca="1" si="12"/>
        <v>0</v>
      </c>
      <c r="R249" t="str">
        <f ca="1">IF($Q249=1,SUM($Q$4:$Q249),"")</f>
        <v/>
      </c>
    </row>
    <row r="250" spans="1:18" ht="22.5" customHeight="1" x14ac:dyDescent="0.3">
      <c r="A250" s="2"/>
      <c r="B250" s="2"/>
      <c r="C250" s="3"/>
      <c r="D250" s="3"/>
      <c r="E250" s="2"/>
      <c r="F250" s="2"/>
      <c r="G250" s="5"/>
      <c r="H250" s="5"/>
      <c r="I250" s="4"/>
      <c r="J250" s="6" t="str">
        <f t="shared" si="10"/>
        <v/>
      </c>
      <c r="K250" s="4" t="str">
        <f t="shared" ca="1" si="13"/>
        <v/>
      </c>
      <c r="L250" s="7" t="str">
        <f>IF($H250="","",$H250-'[2]Read Me'!$B$4)</f>
        <v/>
      </c>
      <c r="M250" s="4" t="str">
        <f>IF($I250="Complete","Green",IF($H250="","Amber",IF($H250&lt;'[2]Read Me'!$B$4,"Red",IF($H250-'[2]Read Me'!$B$4&lt;=21,"Amber","Green"))))</f>
        <v>Amber</v>
      </c>
      <c r="N250" s="8"/>
      <c r="O250" t="str">
        <f>IF($I250&lt;&gt;"Complete",IF(COUNTIFS($A$4:$A249,$A250,$B$4:$B249,$B250,$I$4:$I249,"&lt;&gt;Complete")=0,$A250&amp;"|"&amp;$B250,""),"")</f>
        <v>|</v>
      </c>
      <c r="P250" t="str">
        <f ca="1">IF($K250="Yes",COUNTIFS($K$4:$K250,"Yes"),"")</f>
        <v/>
      </c>
      <c r="Q250">
        <f t="shared" ca="1" si="12"/>
        <v>0</v>
      </c>
      <c r="R250" t="str">
        <f ca="1">IF($Q250=1,SUM($Q$4:$Q250),"")</f>
        <v/>
      </c>
    </row>
    <row r="251" spans="1:18" ht="22.5" customHeight="1" x14ac:dyDescent="0.3">
      <c r="A251" s="2"/>
      <c r="B251" s="2"/>
      <c r="C251" s="3"/>
      <c r="D251" s="3"/>
      <c r="E251" s="2"/>
      <c r="F251" s="2"/>
      <c r="G251" s="5"/>
      <c r="H251" s="5"/>
      <c r="I251" s="4"/>
      <c r="J251" s="6" t="str">
        <f t="shared" si="10"/>
        <v/>
      </c>
      <c r="K251" s="4" t="str">
        <f t="shared" ca="1" si="13"/>
        <v/>
      </c>
      <c r="L251" s="7" t="str">
        <f>IF($H251="","",$H251-'[2]Read Me'!$B$4)</f>
        <v/>
      </c>
      <c r="M251" s="4" t="str">
        <f>IF($I251="Complete","Green",IF($H251="","Amber",IF($H251&lt;'[2]Read Me'!$B$4,"Red",IF($H251-'[2]Read Me'!$B$4&lt;=21,"Amber","Green"))))</f>
        <v>Amber</v>
      </c>
      <c r="N251" s="3"/>
      <c r="O251" t="str">
        <f>IF($I251&lt;&gt;"Complete",IF(COUNTIFS($A$4:$A250,$A251,$B$4:$B250,$B251,$I$4:$I250,"&lt;&gt;Complete")=0,$A251&amp;"|"&amp;$B251,""),"")</f>
        <v>|</v>
      </c>
      <c r="P251" t="str">
        <f ca="1">IF($K251="Yes",COUNTIFS($K$4:$K251,"Yes"),"")</f>
        <v/>
      </c>
      <c r="Q251">
        <f t="shared" ca="1" si="12"/>
        <v>0</v>
      </c>
      <c r="R251" t="str">
        <f ca="1">IF($Q251=1,SUM($Q$4:$Q251),"")</f>
        <v/>
      </c>
    </row>
    <row r="252" spans="1:18" ht="22.5" customHeight="1" x14ac:dyDescent="0.3">
      <c r="A252" s="2"/>
      <c r="B252" s="2"/>
      <c r="C252" s="3"/>
      <c r="D252" s="3"/>
      <c r="E252" s="2"/>
      <c r="F252" s="2"/>
      <c r="G252" s="5"/>
      <c r="H252" s="5"/>
      <c r="I252" s="4"/>
      <c r="J252" s="6" t="str">
        <f t="shared" si="10"/>
        <v/>
      </c>
      <c r="K252" s="4" t="str">
        <f t="shared" ca="1" si="13"/>
        <v/>
      </c>
      <c r="L252" s="7" t="str">
        <f>IF($H252="","",$H252-'[2]Read Me'!$B$4)</f>
        <v/>
      </c>
      <c r="M252" s="4" t="str">
        <f>IF($I252="Complete","Green",IF($H252="","Amber",IF($H252&lt;'[2]Read Me'!$B$4,"Red",IF($H252-'[2]Read Me'!$B$4&lt;=21,"Amber","Green"))))</f>
        <v>Amber</v>
      </c>
      <c r="N252" s="3"/>
      <c r="O252" t="str">
        <f>IF($I252&lt;&gt;"Complete",IF(COUNTIFS($A$4:$A251,$A252,$B$4:$B251,$B252,$I$4:$I251,"&lt;&gt;Complete")=0,$A252&amp;"|"&amp;$B252,""),"")</f>
        <v>|</v>
      </c>
      <c r="P252" t="str">
        <f ca="1">IF($K252="Yes",COUNTIFS($K$4:$K252,"Yes"),"")</f>
        <v/>
      </c>
      <c r="Q252">
        <f t="shared" ca="1" si="12"/>
        <v>0</v>
      </c>
      <c r="R252" t="str">
        <f ca="1">IF($Q252=1,SUM($Q$4:$Q252),"")</f>
        <v/>
      </c>
    </row>
    <row r="253" spans="1:18" ht="22.5" customHeight="1" x14ac:dyDescent="0.3">
      <c r="A253" s="2"/>
      <c r="B253" s="2"/>
      <c r="C253" s="3"/>
      <c r="D253" s="3"/>
      <c r="E253" s="2"/>
      <c r="F253" s="2"/>
      <c r="G253" s="5"/>
      <c r="H253" s="5"/>
      <c r="I253" s="4"/>
      <c r="J253" s="6" t="str">
        <f t="shared" si="10"/>
        <v/>
      </c>
      <c r="K253" s="4" t="str">
        <f t="shared" ca="1" si="13"/>
        <v/>
      </c>
      <c r="L253" s="7" t="str">
        <f>IF($H253="","",$H253-'[2]Read Me'!$B$4)</f>
        <v/>
      </c>
      <c r="M253" s="4" t="str">
        <f>IF($I253="Complete","Green",IF($H253="","Amber",IF($H253&lt;'[2]Read Me'!$B$4,"Red",IF($H253-'[2]Read Me'!$B$4&lt;=21,"Amber","Green"))))</f>
        <v>Amber</v>
      </c>
      <c r="N253" s="3"/>
      <c r="O253" t="str">
        <f>IF($I253&lt;&gt;"Complete",IF(COUNTIFS($A$4:$A252,$A253,$B$4:$B252,$B253,$I$4:$I252,"&lt;&gt;Complete")=0,$A253&amp;"|"&amp;$B253,""),"")</f>
        <v>|</v>
      </c>
      <c r="P253" t="str">
        <f ca="1">IF($K253="Yes",COUNTIFS($K$4:$K253,"Yes"),"")</f>
        <v/>
      </c>
      <c r="Q253">
        <f t="shared" ca="1" si="12"/>
        <v>0</v>
      </c>
      <c r="R253" t="str">
        <f ca="1">IF($Q253=1,SUM($Q$4:$Q253),"")</f>
        <v/>
      </c>
    </row>
    <row r="254" spans="1:18" ht="22.5" customHeight="1" x14ac:dyDescent="0.3">
      <c r="A254" s="2"/>
      <c r="B254" s="2"/>
      <c r="C254" s="3"/>
      <c r="D254" s="3"/>
      <c r="E254" s="2"/>
      <c r="F254" s="2"/>
      <c r="G254" s="5"/>
      <c r="H254" s="5"/>
      <c r="I254" s="4"/>
      <c r="J254" s="6" t="str">
        <f t="shared" si="10"/>
        <v/>
      </c>
      <c r="K254" s="4" t="str">
        <f t="shared" ca="1" si="13"/>
        <v/>
      </c>
      <c r="L254" s="7" t="str">
        <f>IF($H254="","",$H254-'[2]Read Me'!$B$4)</f>
        <v/>
      </c>
      <c r="M254" s="4" t="str">
        <f>IF($I254="Complete","Green",IF($H254="","Amber",IF($H254&lt;'[2]Read Me'!$B$4,"Red",IF($H254-'[2]Read Me'!$B$4&lt;=21,"Amber","Green"))))</f>
        <v>Amber</v>
      </c>
      <c r="N254" s="3"/>
      <c r="O254" t="str">
        <f>IF($I254&lt;&gt;"Complete",IF(COUNTIFS($A$4:$A253,$A254,$B$4:$B253,$B254,$I$4:$I253,"&lt;&gt;Complete")=0,$A254&amp;"|"&amp;$B254,""),"")</f>
        <v>|</v>
      </c>
      <c r="P254" t="str">
        <f ca="1">IF($K254="Yes",COUNTIFS($K$4:$K254,"Yes"),"")</f>
        <v/>
      </c>
      <c r="Q254">
        <f t="shared" ca="1" si="12"/>
        <v>0</v>
      </c>
      <c r="R254" t="str">
        <f ca="1">IF($Q254=1,SUM($Q$4:$Q254),"")</f>
        <v/>
      </c>
    </row>
    <row r="255" spans="1:18" ht="22.5" customHeight="1" x14ac:dyDescent="0.3">
      <c r="A255" s="2"/>
      <c r="B255" s="2"/>
      <c r="C255" s="3"/>
      <c r="D255" s="3"/>
      <c r="E255" s="2"/>
      <c r="F255" s="2"/>
      <c r="G255" s="5"/>
      <c r="H255" s="5"/>
      <c r="I255" s="4"/>
      <c r="J255" s="6" t="str">
        <f t="shared" si="10"/>
        <v/>
      </c>
      <c r="K255" s="4" t="str">
        <f t="shared" ca="1" si="13"/>
        <v/>
      </c>
      <c r="L255" s="7" t="str">
        <f>IF($H255="","",$H255-'[2]Read Me'!$B$4)</f>
        <v/>
      </c>
      <c r="M255" s="4" t="str">
        <f>IF($I255="Complete","Green",IF($H255="","Amber",IF($H255&lt;'[2]Read Me'!$B$4,"Red",IF($H255-'[2]Read Me'!$B$4&lt;=21,"Amber","Green"))))</f>
        <v>Amber</v>
      </c>
      <c r="N255" s="3"/>
      <c r="O255" t="str">
        <f>IF($I255&lt;&gt;"Complete",IF(COUNTIFS($A$4:$A254,$A255,$B$4:$B254,$B255,$I$4:$I254,"&lt;&gt;Complete")=0,$A255&amp;"|"&amp;$B255,""),"")</f>
        <v>|</v>
      </c>
      <c r="P255" t="str">
        <f ca="1">IF($K255="Yes",COUNTIFS($K$4:$K255,"Yes"),"")</f>
        <v/>
      </c>
      <c r="Q255">
        <f t="shared" ca="1" si="12"/>
        <v>0</v>
      </c>
      <c r="R255" t="str">
        <f ca="1">IF($Q255=1,SUM($Q$4:$Q255),"")</f>
        <v/>
      </c>
    </row>
    <row r="256" spans="1:18" ht="22.5" customHeight="1" x14ac:dyDescent="0.3">
      <c r="A256" s="2"/>
      <c r="B256" s="2"/>
      <c r="C256" s="3"/>
      <c r="D256" s="3"/>
      <c r="E256" s="2"/>
      <c r="F256" s="2"/>
      <c r="G256" s="5"/>
      <c r="H256" s="5"/>
      <c r="I256" s="4"/>
      <c r="J256" s="6" t="str">
        <f t="shared" si="10"/>
        <v/>
      </c>
      <c r="K256" s="4" t="str">
        <f t="shared" ca="1" si="13"/>
        <v/>
      </c>
      <c r="L256" s="7" t="str">
        <f>IF($H256="","",$H256-'[2]Read Me'!$B$4)</f>
        <v/>
      </c>
      <c r="M256" s="4" t="str">
        <f>IF($I256="Complete","Green",IF($H256="","Amber",IF($H256&lt;'[2]Read Me'!$B$4,"Red",IF($H256-'[2]Read Me'!$B$4&lt;=21,"Amber","Green"))))</f>
        <v>Amber</v>
      </c>
      <c r="N256" s="3"/>
      <c r="O256" t="str">
        <f>IF($I256&lt;&gt;"Complete",IF(COUNTIFS($A$4:$A255,$A256,$B$4:$B255,$B256,$I$4:$I255,"&lt;&gt;Complete")=0,$A256&amp;"|"&amp;$B256,""),"")</f>
        <v>|</v>
      </c>
      <c r="P256" t="str">
        <f ca="1">IF($K256="Yes",COUNTIFS($K$4:$K256,"Yes"),"")</f>
        <v/>
      </c>
      <c r="Q256">
        <f t="shared" ca="1" si="12"/>
        <v>0</v>
      </c>
      <c r="R256" t="str">
        <f ca="1">IF($Q256=1,SUM($Q$4:$Q256),"")</f>
        <v/>
      </c>
    </row>
    <row r="257" spans="1:18" ht="22.5" customHeight="1" x14ac:dyDescent="0.3">
      <c r="A257" s="2"/>
      <c r="B257" s="2"/>
      <c r="C257" s="3"/>
      <c r="D257" s="3"/>
      <c r="E257" s="2"/>
      <c r="F257" s="2"/>
      <c r="G257" s="5"/>
      <c r="H257" s="5"/>
      <c r="I257" s="4"/>
      <c r="J257" s="6" t="str">
        <f t="shared" si="10"/>
        <v/>
      </c>
      <c r="K257" s="4" t="str">
        <f t="shared" ca="1" si="13"/>
        <v/>
      </c>
      <c r="L257" s="7" t="str">
        <f>IF($H257="","",$H257-'[2]Read Me'!$B$4)</f>
        <v/>
      </c>
      <c r="M257" s="4" t="str">
        <f>IF($I257="Complete","Green",IF($H257="","Amber",IF($H257&lt;'[2]Read Me'!$B$4,"Red",IF($H257-'[2]Read Me'!$B$4&lt;=21,"Amber","Green"))))</f>
        <v>Amber</v>
      </c>
      <c r="N257" s="3"/>
      <c r="O257" t="str">
        <f>IF($I257&lt;&gt;"Complete",IF(COUNTIFS($A$4:$A256,$A257,$B$4:$B256,$B257,$I$4:$I256,"&lt;&gt;Complete")=0,$A257&amp;"|"&amp;$B257,""),"")</f>
        <v>|</v>
      </c>
      <c r="P257" t="str">
        <f ca="1">IF($K257="Yes",COUNTIFS($K$4:$K257,"Yes"),"")</f>
        <v/>
      </c>
      <c r="Q257">
        <f t="shared" ca="1" si="12"/>
        <v>0</v>
      </c>
      <c r="R257" t="str">
        <f ca="1">IF($Q257=1,SUM($Q$4:$Q257),"")</f>
        <v/>
      </c>
    </row>
    <row r="258" spans="1:18" ht="45" customHeight="1" x14ac:dyDescent="0.3">
      <c r="A258" s="2"/>
      <c r="B258" s="2"/>
      <c r="C258" s="3"/>
      <c r="D258" s="3"/>
      <c r="E258" s="2"/>
      <c r="F258" s="2"/>
      <c r="G258" s="5"/>
      <c r="H258" s="5"/>
      <c r="I258" s="4"/>
      <c r="J258" s="6" t="str">
        <f t="shared" si="10"/>
        <v/>
      </c>
      <c r="K258" s="4" t="str">
        <f t="shared" ca="1" si="13"/>
        <v/>
      </c>
      <c r="L258" s="7" t="str">
        <f>IF($H258="","",$H258-'[2]Read Me'!$B$4)</f>
        <v/>
      </c>
      <c r="M258" s="4" t="str">
        <f>IF($I258="Complete","Green",IF($H258="","Amber",IF($H258&lt;'[2]Read Me'!$B$4,"Red",IF($H258-'[2]Read Me'!$B$4&lt;=21,"Amber","Green"))))</f>
        <v>Amber</v>
      </c>
      <c r="N258" s="3"/>
      <c r="O258" t="str">
        <f>IF($I258&lt;&gt;"Complete",IF(COUNTIFS($A$4:$A257,$A258,$B$4:$B257,$B258,$I$4:$I257,"&lt;&gt;Complete")=0,$A258&amp;"|"&amp;$B258,""),"")</f>
        <v>|</v>
      </c>
      <c r="P258" t="str">
        <f ca="1">IF($K258="Yes",COUNTIFS($K$4:$K258,"Yes"),"")</f>
        <v/>
      </c>
      <c r="Q258">
        <f t="shared" ca="1" si="12"/>
        <v>0</v>
      </c>
      <c r="R258" t="str">
        <f ca="1">IF($Q258=1,SUM($Q$4:$Q258),"")</f>
        <v/>
      </c>
    </row>
    <row r="259" spans="1:18" ht="45" customHeight="1" x14ac:dyDescent="0.3">
      <c r="A259" s="2"/>
      <c r="B259" s="2"/>
      <c r="C259" s="3"/>
      <c r="D259" s="3"/>
      <c r="E259" s="2"/>
      <c r="F259" s="2"/>
      <c r="G259" s="5"/>
      <c r="H259" s="5"/>
      <c r="I259" s="4"/>
      <c r="J259" s="6" t="str">
        <f t="shared" si="10"/>
        <v/>
      </c>
      <c r="K259" s="4" t="str">
        <f t="shared" ca="1" si="13"/>
        <v/>
      </c>
      <c r="L259" s="7" t="str">
        <f>IF($H259="","",$H259-'[2]Read Me'!$B$4)</f>
        <v/>
      </c>
      <c r="M259" s="4" t="str">
        <f>IF($I259="Complete","Green",IF($H259="","Amber",IF($H259&lt;'[2]Read Me'!$B$4,"Red",IF($H259-'[2]Read Me'!$B$4&lt;=21,"Amber","Green"))))</f>
        <v>Amber</v>
      </c>
      <c r="N259" s="3"/>
      <c r="O259" t="str">
        <f>IF($I259&lt;&gt;"Complete",IF(COUNTIFS($A$4:$A258,$A259,$B$4:$B258,$B259,$I$4:$I258,"&lt;&gt;Complete")=0,$A259&amp;"|"&amp;$B259,""),"")</f>
        <v>|</v>
      </c>
      <c r="P259" t="str">
        <f ca="1">IF($K259="Yes",COUNTIFS($K$4:$K259,"Yes"),"")</f>
        <v/>
      </c>
      <c r="Q259">
        <f t="shared" ca="1" si="12"/>
        <v>0</v>
      </c>
      <c r="R259" t="str">
        <f ca="1">IF($Q259=1,SUM($Q$4:$Q259),"")</f>
        <v/>
      </c>
    </row>
    <row r="260" spans="1:18" ht="45" customHeight="1" x14ac:dyDescent="0.3">
      <c r="A260" s="2"/>
      <c r="B260" s="2"/>
      <c r="C260" s="3"/>
      <c r="D260" s="3"/>
      <c r="E260" s="2"/>
      <c r="F260" s="2"/>
      <c r="G260" s="5"/>
      <c r="H260" s="5"/>
      <c r="I260" s="4"/>
      <c r="J260" s="6" t="str">
        <f t="shared" ref="J260:J312" si="14">IF(OR($G260="",$H260=""),"",$H260-$G260)</f>
        <v/>
      </c>
      <c r="K260" s="4" t="str">
        <f t="shared" ca="1" si="13"/>
        <v/>
      </c>
      <c r="L260" s="7" t="str">
        <f>IF($H260="","",$H260-'[2]Read Me'!$B$4)</f>
        <v/>
      </c>
      <c r="M260" s="4" t="str">
        <f>IF($I260="Complete","Green",IF($H260="","Amber",IF($H260&lt;'[2]Read Me'!$B$4,"Red",IF($H260-'[2]Read Me'!$B$4&lt;=21,"Amber","Green"))))</f>
        <v>Amber</v>
      </c>
      <c r="N260" s="3"/>
      <c r="O260" t="str">
        <f>IF($I260&lt;&gt;"Complete",IF(COUNTIFS($A$4:$A259,$A260,$B$4:$B259,$B260,$I$4:$I259,"&lt;&gt;Complete")=0,$A260&amp;"|"&amp;$B260,""),"")</f>
        <v>|</v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/>
      <c r="B261" s="2"/>
      <c r="C261" s="3"/>
      <c r="D261" s="3"/>
      <c r="E261" s="2"/>
      <c r="F261" s="2"/>
      <c r="G261" s="5"/>
      <c r="H261" s="5"/>
      <c r="I261" s="4"/>
      <c r="J261" s="6" t="str">
        <f t="shared" si="14"/>
        <v/>
      </c>
      <c r="K261" s="4" t="str">
        <f t="shared" ca="1" si="13"/>
        <v/>
      </c>
      <c r="L261" s="7" t="str">
        <f>IF($H261="","",$H261-'[2]Read Me'!$B$4)</f>
        <v/>
      </c>
      <c r="M261" s="4" t="str">
        <f>IF($I261="Complete","Green",IF($H261="","Amber",IF($H261&lt;'[2]Read Me'!$B$4,"Red",IF($H261-'[2]Read Me'!$B$4&lt;=21,"Amber","Green"))))</f>
        <v>Amber</v>
      </c>
      <c r="N261" s="3"/>
      <c r="O261" t="str">
        <f>IF($I261&lt;&gt;"Complete",IF(COUNTIFS($A$4:$A260,$A261,$B$4:$B260,$B261,$I$4:$I260,"&lt;&gt;Complete")=0,$A261&amp;"|"&amp;$B261,""),"")</f>
        <v>|</v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/>
      <c r="B262" s="2"/>
      <c r="C262" s="3"/>
      <c r="D262" s="3"/>
      <c r="E262" s="2"/>
      <c r="F262" s="2"/>
      <c r="G262" s="5"/>
      <c r="H262" s="5"/>
      <c r="I262" s="4"/>
      <c r="J262" s="6" t="str">
        <f t="shared" si="14"/>
        <v/>
      </c>
      <c r="K262" s="4" t="str">
        <f t="shared" ca="1" si="13"/>
        <v/>
      </c>
      <c r="L262" s="7" t="str">
        <f>IF($H262="","",$H262-'[2]Read Me'!$B$4)</f>
        <v/>
      </c>
      <c r="M262" s="4" t="str">
        <f>IF($I262="Complete","Green",IF($H262="","Amber",IF($H262&lt;'[2]Read Me'!$B$4,"Red",IF($H262-'[2]Read Me'!$B$4&lt;=21,"Amber","Green"))))</f>
        <v>Amber</v>
      </c>
      <c r="N262" s="3"/>
      <c r="O262" t="str">
        <f>IF($I262&lt;&gt;"Complete",IF(COUNTIFS($A$4:$A261,$A262,$B$4:$B261,$B262,$I$4:$I261,"&lt;&gt;Complete")=0,$A262&amp;"|"&amp;$B262,""),"")</f>
        <v>|</v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/>
      <c r="B263" s="2"/>
      <c r="C263" s="3"/>
      <c r="D263" s="3"/>
      <c r="E263" s="2"/>
      <c r="F263" s="2"/>
      <c r="G263" s="5"/>
      <c r="H263" s="5"/>
      <c r="I263" s="4"/>
      <c r="J263" s="6" t="str">
        <f t="shared" si="14"/>
        <v/>
      </c>
      <c r="K263" s="4" t="str">
        <f t="shared" ca="1" si="13"/>
        <v/>
      </c>
      <c r="L263" s="7" t="str">
        <f>IF($H263="","",$H263-'[2]Read Me'!$B$4)</f>
        <v/>
      </c>
      <c r="M263" s="4" t="str">
        <f>IF($I263="Complete","Green",IF($H263="","Amber",IF($H263&lt;'[2]Read Me'!$B$4,"Red",IF($H263-'[2]Read Me'!$B$4&lt;=21,"Amber","Green"))))</f>
        <v>Amber</v>
      </c>
      <c r="N263" s="3"/>
      <c r="O263" t="str">
        <f>IF($I263&lt;&gt;"Complete",IF(COUNTIFS($A$4:$A262,$A263,$B$4:$B262,$B263,$I$4:$I262,"&lt;&gt;Complete")=0,$A263&amp;"|"&amp;$B263,""),"")</f>
        <v>|</v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/>
      <c r="B264" s="2"/>
      <c r="C264" s="3"/>
      <c r="D264" s="3"/>
      <c r="E264" s="2"/>
      <c r="F264" s="2"/>
      <c r="G264" s="5"/>
      <c r="H264" s="5"/>
      <c r="I264" s="4"/>
      <c r="J264" s="6" t="str">
        <f t="shared" si="14"/>
        <v/>
      </c>
      <c r="K264" s="4" t="str">
        <f t="shared" ca="1" si="13"/>
        <v/>
      </c>
      <c r="L264" s="7" t="str">
        <f>IF($H264="","",$H264-'[2]Read Me'!$B$4)</f>
        <v/>
      </c>
      <c r="M264" s="4" t="str">
        <f>IF($I264="Complete","Green",IF($H264="","Amber",IF($H264&lt;'[2]Read Me'!$B$4,"Red",IF($H264-'[2]Read Me'!$B$4&lt;=21,"Amber","Green"))))</f>
        <v>Amber</v>
      </c>
      <c r="N264" s="3"/>
      <c r="O264" t="str">
        <f>IF($I264&lt;&gt;"Complete",IF(COUNTIFS($A$4:$A263,$A264,$B$4:$B263,$B264,$I$4:$I263,"&lt;&gt;Complete")=0,$A264&amp;"|"&amp;$B264,""),"")</f>
        <v>|</v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/>
      <c r="B265" s="2"/>
      <c r="C265" s="3"/>
      <c r="D265" s="3"/>
      <c r="E265" s="2"/>
      <c r="F265" s="2"/>
      <c r="G265" s="5"/>
      <c r="H265" s="5"/>
      <c r="I265" s="4"/>
      <c r="J265" s="6" t="str">
        <f t="shared" si="14"/>
        <v/>
      </c>
      <c r="K265" s="4" t="str">
        <f t="shared" ref="K265:K312" ca="1" si="16">IF($H265="","",IF($H265&lt;TODAY(),"No","Yes"))</f>
        <v/>
      </c>
      <c r="L265" s="7" t="str">
        <f>IF($H265="","",$H265-'[2]Read Me'!$B$4)</f>
        <v/>
      </c>
      <c r="M265" s="4" t="str">
        <f>IF($I265="Complete","Green",IF($H265="","Amber",IF($H265&lt;'[2]Read Me'!$B$4,"Red",IF($H265-'[2]Read Me'!$B$4&lt;=21,"Amber","Green"))))</f>
        <v>Amber</v>
      </c>
      <c r="N265" s="3"/>
      <c r="O265" t="str">
        <f>IF($I265&lt;&gt;"Complete",IF(COUNTIFS($A$4:$A264,$A265,$B$4:$B264,$B265,$I$4:$I264,"&lt;&gt;Complete")=0,$A265&amp;"|"&amp;$B265,""),"")</f>
        <v>|</v>
      </c>
      <c r="P265" t="str">
        <f ca="1">IF($K265="Yes",COUNTIFS($K$4:$K265,"Yes"),"")</f>
        <v/>
      </c>
      <c r="Q265">
        <f t="shared" ca="1" si="15"/>
        <v>0</v>
      </c>
      <c r="R265" t="str">
        <f ca="1">IF($Q265=1,SUM($Q$4:$Q265),"")</f>
        <v/>
      </c>
    </row>
    <row r="266" spans="1:18" ht="45" customHeight="1" x14ac:dyDescent="0.3">
      <c r="A266" s="2"/>
      <c r="B266" s="2"/>
      <c r="C266" s="3"/>
      <c r="D266" s="3"/>
      <c r="E266" s="2"/>
      <c r="F266" s="2"/>
      <c r="G266" s="5"/>
      <c r="H266" s="5"/>
      <c r="I266" s="4"/>
      <c r="J266" s="6" t="str">
        <f t="shared" si="14"/>
        <v/>
      </c>
      <c r="K266" s="4" t="str">
        <f t="shared" ca="1" si="16"/>
        <v/>
      </c>
      <c r="L266" s="7" t="str">
        <f>IF($H266="","",$H266-'[2]Read Me'!$B$4)</f>
        <v/>
      </c>
      <c r="M266" s="4" t="str">
        <f>IF($I266="Complete","Green",IF($H266="","Amber",IF($H266&lt;'[2]Read Me'!$B$4,"Red",IF($H266-'[2]Read Me'!$B$4&lt;=21,"Amber","Green"))))</f>
        <v>Amber</v>
      </c>
      <c r="N266" s="3"/>
      <c r="O266" t="str">
        <f>IF($I266&lt;&gt;"Complete",IF(COUNTIFS($A$4:$A265,$A266,$B$4:$B265,$B266,$I$4:$I265,"&lt;&gt;Complete")=0,$A266&amp;"|"&amp;$B266,""),"")</f>
        <v>|</v>
      </c>
      <c r="P266" t="str">
        <f ca="1">IF($K266="Yes",COUNTIFS($K$4:$K266,"Yes"),"")</f>
        <v/>
      </c>
      <c r="Q266">
        <f t="shared" ca="1" si="15"/>
        <v>0</v>
      </c>
      <c r="R266" t="str">
        <f ca="1">IF($Q266=1,SUM($Q$4:$Q266),"")</f>
        <v/>
      </c>
    </row>
    <row r="267" spans="1:18" ht="45" customHeight="1" x14ac:dyDescent="0.3">
      <c r="A267" s="2"/>
      <c r="B267" s="2"/>
      <c r="C267" s="3"/>
      <c r="D267" s="3"/>
      <c r="E267" s="2"/>
      <c r="F267" s="2"/>
      <c r="G267" s="5"/>
      <c r="H267" s="5"/>
      <c r="I267" s="4"/>
      <c r="J267" s="6" t="str">
        <f t="shared" si="14"/>
        <v/>
      </c>
      <c r="K267" s="4" t="str">
        <f t="shared" ca="1" si="16"/>
        <v/>
      </c>
      <c r="L267" s="7" t="str">
        <f>IF($H267="","",$H267-'[2]Read Me'!$B$4)</f>
        <v/>
      </c>
      <c r="M267" s="4" t="str">
        <f>IF($I267="Complete","Green",IF($H267="","Amber",IF($H267&lt;'[2]Read Me'!$B$4,"Red",IF($H267-'[2]Read Me'!$B$4&lt;=21,"Amber","Green"))))</f>
        <v>Amber</v>
      </c>
      <c r="N267" s="3"/>
      <c r="O267" t="str">
        <f>IF($I267&lt;&gt;"Complete",IF(COUNTIFS($A$4:$A266,$A267,$B$4:$B266,$B267,$I$4:$I266,"&lt;&gt;Complete")=0,$A267&amp;"|"&amp;$B267,""),"")</f>
        <v>|</v>
      </c>
      <c r="P267" t="str">
        <f ca="1">IF($K267="Yes",COUNTIFS($K$4:$K267,"Yes"),"")</f>
        <v/>
      </c>
      <c r="Q267">
        <f t="shared" ca="1" si="15"/>
        <v>0</v>
      </c>
      <c r="R267" t="str">
        <f ca="1">IF($Q267=1,SUM($Q$4:$Q267),"")</f>
        <v/>
      </c>
    </row>
    <row r="268" spans="1:18" ht="14.25" customHeight="1" x14ac:dyDescent="0.3">
      <c r="A268" s="2"/>
      <c r="B268" s="2"/>
      <c r="C268" s="3"/>
      <c r="D268" s="3"/>
      <c r="E268" s="2"/>
      <c r="F268" s="2"/>
      <c r="G268" s="5"/>
      <c r="H268" s="5"/>
      <c r="I268" s="4"/>
      <c r="J268" s="6" t="str">
        <f t="shared" si="14"/>
        <v/>
      </c>
      <c r="K268" s="4" t="str">
        <f t="shared" ca="1" si="16"/>
        <v/>
      </c>
      <c r="L268" s="7" t="str">
        <f>IF($H268="","",$H268-'[2]Read Me'!$B$4)</f>
        <v/>
      </c>
      <c r="M268" s="4" t="str">
        <f>IF($I268="Complete","Green",IF($H268="","Amber",IF($H268&lt;'[2]Read Me'!$B$4,"Red",IF($H268-'[2]Read Me'!$B$4&lt;=21,"Amber","Green"))))</f>
        <v>Amber</v>
      </c>
      <c r="N268" s="3"/>
      <c r="O268" t="str">
        <f>IF($I268&lt;&gt;"Complete",IF(COUNTIFS($A$4:$A267,$A268,$B$4:$B267,$B268,$I$4:$I267,"&lt;&gt;Complete")=0,$A268&amp;"|"&amp;$B268,""),"")</f>
        <v>|</v>
      </c>
      <c r="P268" t="str">
        <f ca="1">IF($K268="Yes",COUNTIFS($K$4:$K268,"Yes"),"")</f>
        <v/>
      </c>
      <c r="Q268">
        <f t="shared" ca="1" si="15"/>
        <v>0</v>
      </c>
      <c r="R268" t="str">
        <f ca="1">IF($Q268=1,SUM($Q$4:$Q268),"")</f>
        <v/>
      </c>
    </row>
    <row r="269" spans="1:18" ht="14.25" customHeight="1" x14ac:dyDescent="0.3">
      <c r="A269" s="2"/>
      <c r="B269" s="2"/>
      <c r="C269" s="3"/>
      <c r="D269" s="3"/>
      <c r="E269" s="2"/>
      <c r="F269" s="2"/>
      <c r="G269" s="5"/>
      <c r="H269" s="5"/>
      <c r="I269" s="4"/>
      <c r="J269" s="6" t="str">
        <f t="shared" si="14"/>
        <v/>
      </c>
      <c r="K269" s="4" t="str">
        <f t="shared" ca="1" si="16"/>
        <v/>
      </c>
      <c r="L269" s="7" t="str">
        <f>IF($H269="","",$H269-'[2]Read Me'!$B$4)</f>
        <v/>
      </c>
      <c r="M269" s="4" t="str">
        <f>IF($I269="Complete","Green",IF($H269="","Amber",IF($H269&lt;'[2]Read Me'!$B$4,"Red",IF($H269-'[2]Read Me'!$B$4&lt;=21,"Amber","Green"))))</f>
        <v>Amber</v>
      </c>
      <c r="N269" s="3"/>
      <c r="O269" t="str">
        <f>IF($I269&lt;&gt;"Complete",IF(COUNTIFS($A$4:$A268,$A269,$B$4:$B268,$B269,$I$4:$I268,"&lt;&gt;Complete")=0,$A269&amp;"|"&amp;$B269,""),"")</f>
        <v>|</v>
      </c>
      <c r="P269" t="str">
        <f ca="1">IF($K269="Yes",COUNTIFS($K$4:$K269,"Yes"),"")</f>
        <v/>
      </c>
      <c r="Q269">
        <f t="shared" ca="1" si="15"/>
        <v>0</v>
      </c>
      <c r="R269" t="str">
        <f ca="1">IF($Q269=1,SUM($Q$4:$Q269),"")</f>
        <v/>
      </c>
    </row>
    <row r="270" spans="1:18" ht="14.25" customHeight="1" x14ac:dyDescent="0.3">
      <c r="A270" s="2"/>
      <c r="B270" s="2"/>
      <c r="C270" s="3"/>
      <c r="D270" s="3"/>
      <c r="E270" s="2"/>
      <c r="F270" s="2"/>
      <c r="G270" s="5"/>
      <c r="H270" s="5"/>
      <c r="I270" s="4"/>
      <c r="J270" s="6" t="str">
        <f t="shared" si="14"/>
        <v/>
      </c>
      <c r="K270" s="4" t="str">
        <f t="shared" ca="1" si="16"/>
        <v/>
      </c>
      <c r="L270" s="7" t="str">
        <f>IF($H270="","",$H270-'[2]Read Me'!$B$4)</f>
        <v/>
      </c>
      <c r="M270" s="4" t="str">
        <f>IF($I270="Complete","Green",IF($H270="","Amber",IF($H270&lt;'[2]Read Me'!$B$4,"Red",IF($H270-'[2]Read Me'!$B$4&lt;=21,"Amber","Green"))))</f>
        <v>Amber</v>
      </c>
      <c r="N270" s="3"/>
      <c r="O270" t="str">
        <f>IF($I270&lt;&gt;"Complete",IF(COUNTIFS($A$4:$A269,$A270,$B$4:$B269,$B270,$I$4:$I269,"&lt;&gt;Complete")=0,$A270&amp;"|"&amp;$B270,""),"")</f>
        <v>|</v>
      </c>
      <c r="P270" t="str">
        <f ca="1">IF($K270="Yes",COUNTIFS($K$4:$K270,"Yes"),"")</f>
        <v/>
      </c>
      <c r="Q270">
        <f t="shared" ca="1" si="15"/>
        <v>0</v>
      </c>
      <c r="R270" t="str">
        <f ca="1">IF($Q270=1,SUM($Q$4:$Q270),"")</f>
        <v/>
      </c>
    </row>
    <row r="271" spans="1:18" ht="14.25" customHeight="1" x14ac:dyDescent="0.3">
      <c r="A271" s="2"/>
      <c r="B271" s="2"/>
      <c r="C271" s="3"/>
      <c r="D271" s="3"/>
      <c r="E271" s="2"/>
      <c r="F271" s="2"/>
      <c r="G271" s="5"/>
      <c r="H271" s="5"/>
      <c r="I271" s="4"/>
      <c r="J271" s="6" t="str">
        <f t="shared" si="14"/>
        <v/>
      </c>
      <c r="K271" s="4" t="str">
        <f t="shared" ca="1" si="16"/>
        <v/>
      </c>
      <c r="L271" s="7" t="str">
        <f>IF($H271="","",$H271-'[2]Read Me'!$B$4)</f>
        <v/>
      </c>
      <c r="M271" s="4" t="str">
        <f>IF($I271="Complete","Green",IF($H271="","Amber",IF($H271&lt;'[2]Read Me'!$B$4,"Red",IF($H271-'[2]Read Me'!$B$4&lt;=21,"Amber","Green"))))</f>
        <v>Amber</v>
      </c>
      <c r="N271" s="3"/>
      <c r="O271" t="str">
        <f>IF($I271&lt;&gt;"Complete",IF(COUNTIFS($A$4:$A270,$A271,$B$4:$B270,$B271,$I$4:$I270,"&lt;&gt;Complete")=0,$A271&amp;"|"&amp;$B271,""),"")</f>
        <v>|</v>
      </c>
      <c r="P271" t="str">
        <f ca="1">IF($K271="Yes",COUNTIFS($K$4:$K271,"Yes"),"")</f>
        <v/>
      </c>
      <c r="Q271">
        <f t="shared" ca="1" si="15"/>
        <v>0</v>
      </c>
      <c r="R271" t="str">
        <f ca="1">IF($Q271=1,SUM($Q$4:$Q271),"")</f>
        <v/>
      </c>
    </row>
    <row r="272" spans="1:18" ht="14.25" customHeight="1" x14ac:dyDescent="0.3">
      <c r="A272" s="2"/>
      <c r="B272" s="2"/>
      <c r="C272" s="3"/>
      <c r="D272" s="3"/>
      <c r="E272" s="2"/>
      <c r="F272" s="2"/>
      <c r="G272" s="5"/>
      <c r="H272" s="5"/>
      <c r="I272" s="4"/>
      <c r="J272" s="6" t="str">
        <f t="shared" si="14"/>
        <v/>
      </c>
      <c r="K272" s="4" t="str">
        <f t="shared" ca="1" si="16"/>
        <v/>
      </c>
      <c r="L272" s="7" t="str">
        <f>IF($H272="","",$H272-'[2]Read Me'!$B$4)</f>
        <v/>
      </c>
      <c r="M272" s="4" t="str">
        <f>IF($I272="Complete","Green",IF($H272="","Amber",IF($H272&lt;'[2]Read Me'!$B$4,"Red",IF($H272-'[2]Read Me'!$B$4&lt;=21,"Amber","Green"))))</f>
        <v>Amber</v>
      </c>
      <c r="N272" s="3"/>
      <c r="O272" t="str">
        <f>IF($I272&lt;&gt;"Complete",IF(COUNTIFS($A$4:$A271,$A272,$B$4:$B271,$B272,$I$4:$I271,"&lt;&gt;Complete")=0,$A272&amp;"|"&amp;$B272,""),"")</f>
        <v>|</v>
      </c>
      <c r="P272" t="str">
        <f ca="1">IF($K272="Yes",COUNTIFS($K$4:$K272,"Yes"),"")</f>
        <v/>
      </c>
      <c r="Q272">
        <f t="shared" ca="1" si="15"/>
        <v>0</v>
      </c>
      <c r="R272" t="str">
        <f ca="1">IF($Q272=1,SUM($Q$4:$Q272),"")</f>
        <v/>
      </c>
    </row>
    <row r="273" spans="1:18" ht="14.25" customHeight="1" x14ac:dyDescent="0.3">
      <c r="A273" s="2"/>
      <c r="B273" s="2"/>
      <c r="C273" s="3"/>
      <c r="D273" s="3"/>
      <c r="E273" s="2"/>
      <c r="F273" s="2"/>
      <c r="G273" s="5"/>
      <c r="H273" s="5"/>
      <c r="I273" s="4"/>
      <c r="J273" s="6" t="str">
        <f t="shared" si="14"/>
        <v/>
      </c>
      <c r="K273" s="4" t="str">
        <f t="shared" ca="1" si="16"/>
        <v/>
      </c>
      <c r="L273" s="7" t="str">
        <f>IF($H273="","",$H273-'[2]Read Me'!$B$4)</f>
        <v/>
      </c>
      <c r="M273" s="4" t="str">
        <f>IF($I273="Complete","Green",IF($H273="","Amber",IF($H273&lt;'[2]Read Me'!$B$4,"Red",IF($H273-'[2]Read Me'!$B$4&lt;=21,"Amber","Green"))))</f>
        <v>Amber</v>
      </c>
      <c r="N273" s="3"/>
      <c r="O273" t="str">
        <f>IF($I273&lt;&gt;"Complete",IF(COUNTIFS($A$4:$A272,$A273,$B$4:$B272,$B273,$I$4:$I272,"&lt;&gt;Complete")=0,$A273&amp;"|"&amp;$B273,""),"")</f>
        <v>|</v>
      </c>
      <c r="P273" t="str">
        <f ca="1">IF($K273="Yes",COUNTIFS($K$4:$K273,"Yes"),"")</f>
        <v/>
      </c>
      <c r="Q273">
        <f t="shared" ca="1" si="15"/>
        <v>0</v>
      </c>
      <c r="R273" t="str">
        <f ca="1">IF($Q273=1,SUM($Q$4:$Q273),"")</f>
        <v/>
      </c>
    </row>
    <row r="274" spans="1:18" ht="14.25" customHeight="1" x14ac:dyDescent="0.3">
      <c r="A274" s="2"/>
      <c r="B274" s="2"/>
      <c r="C274" s="3"/>
      <c r="D274" s="3"/>
      <c r="E274" s="2"/>
      <c r="F274" s="2"/>
      <c r="G274" s="5"/>
      <c r="H274" s="5"/>
      <c r="I274" s="4"/>
      <c r="J274" s="6" t="str">
        <f t="shared" si="14"/>
        <v/>
      </c>
      <c r="K274" s="4" t="str">
        <f t="shared" ca="1" si="16"/>
        <v/>
      </c>
      <c r="L274" s="7" t="str">
        <f>IF($H274="","",$H274-'[2]Read Me'!$B$4)</f>
        <v/>
      </c>
      <c r="M274" s="4" t="str">
        <f>IF($I274="Complete","Green",IF($H274="","Amber",IF($H274&lt;'[2]Read Me'!$B$4,"Red",IF($H274-'[2]Read Me'!$B$4&lt;=21,"Amber","Green"))))</f>
        <v>Amber</v>
      </c>
      <c r="N274" s="3"/>
      <c r="O274" t="str">
        <f>IF($I274&lt;&gt;"Complete",IF(COUNTIFS($A$4:$A273,$A274,$B$4:$B273,$B274,$I$4:$I273,"&lt;&gt;Complete")=0,$A274&amp;"|"&amp;$B274,""),"")</f>
        <v>|</v>
      </c>
      <c r="P274" t="str">
        <f ca="1">IF($K274="Yes",COUNTIFS($K$4:$K274,"Yes"),"")</f>
        <v/>
      </c>
      <c r="Q274">
        <f t="shared" ca="1" si="15"/>
        <v>0</v>
      </c>
      <c r="R274" t="str">
        <f ca="1">IF($Q274=1,SUM($Q$4:$Q274),"")</f>
        <v/>
      </c>
    </row>
    <row r="275" spans="1:18" ht="14.25" customHeight="1" x14ac:dyDescent="0.3">
      <c r="A275" s="2"/>
      <c r="B275" s="2"/>
      <c r="C275" s="3"/>
      <c r="D275" s="3"/>
      <c r="E275" s="2"/>
      <c r="F275" s="2"/>
      <c r="G275" s="5"/>
      <c r="H275" s="5"/>
      <c r="I275" s="4"/>
      <c r="J275" s="6" t="str">
        <f t="shared" si="14"/>
        <v/>
      </c>
      <c r="K275" s="4" t="str">
        <f t="shared" ca="1" si="16"/>
        <v/>
      </c>
      <c r="L275" s="7" t="str">
        <f>IF($H275="","",$H275-'[2]Read Me'!$B$4)</f>
        <v/>
      </c>
      <c r="M275" s="4" t="str">
        <f>IF($I275="Complete","Green",IF($H275="","Amber",IF($H275&lt;'[2]Read Me'!$B$4,"Red",IF($H275-'[2]Read Me'!$B$4&lt;=21,"Amber","Green"))))</f>
        <v>Amber</v>
      </c>
      <c r="N275" s="3"/>
      <c r="O275" t="str">
        <f>IF($I275&lt;&gt;"Complete",IF(COUNTIFS($A$4:$A274,$A275,$B$4:$B274,$B275,$I$4:$I274,"&lt;&gt;Complete")=0,$A275&amp;"|"&amp;$B275,""),"")</f>
        <v>|</v>
      </c>
      <c r="P275" t="str">
        <f ca="1">IF($K275="Yes",COUNTIFS($K$4:$K275,"Yes"),"")</f>
        <v/>
      </c>
      <c r="Q275">
        <f t="shared" ca="1" si="15"/>
        <v>0</v>
      </c>
      <c r="R275" t="str">
        <f ca="1">IF($Q275=1,SUM($Q$4:$Q275),"")</f>
        <v/>
      </c>
    </row>
    <row r="276" spans="1:18" ht="14.25" customHeight="1" x14ac:dyDescent="0.3">
      <c r="A276" s="2"/>
      <c r="B276" s="2"/>
      <c r="C276" s="3"/>
      <c r="D276" s="3"/>
      <c r="E276" s="2"/>
      <c r="F276" s="2"/>
      <c r="G276" s="5"/>
      <c r="H276" s="5"/>
      <c r="I276" s="4"/>
      <c r="J276" s="6" t="str">
        <f t="shared" si="14"/>
        <v/>
      </c>
      <c r="K276" s="4" t="str">
        <f t="shared" ca="1" si="16"/>
        <v/>
      </c>
      <c r="L276" s="7" t="str">
        <f>IF($H276="","",$H276-'[2]Read Me'!$B$4)</f>
        <v/>
      </c>
      <c r="M276" s="4" t="str">
        <f>IF($I276="Complete","Green",IF($H276="","Amber",IF($H276&lt;'[2]Read Me'!$B$4,"Red",IF($H276-'[2]Read Me'!$B$4&lt;=21,"Amber","Green"))))</f>
        <v>Amber</v>
      </c>
      <c r="N276" s="3"/>
      <c r="O276" t="str">
        <f>IF($I276&lt;&gt;"Complete",IF(COUNTIFS($A$4:$A275,$A276,$B$4:$B275,$B276,$I$4:$I275,"&lt;&gt;Complete")=0,$A276&amp;"|"&amp;$B276,""),"")</f>
        <v>|</v>
      </c>
      <c r="P276" t="str">
        <f ca="1">IF($K276="Yes",COUNTIFS($K$4:$K276,"Yes"),"")</f>
        <v/>
      </c>
      <c r="Q276">
        <f t="shared" ca="1" si="15"/>
        <v>0</v>
      </c>
      <c r="R276" t="str">
        <f ca="1">IF($Q276=1,SUM($Q$4:$Q276),"")</f>
        <v/>
      </c>
    </row>
    <row r="277" spans="1:18" ht="14.25" customHeight="1" x14ac:dyDescent="0.3">
      <c r="A277" s="2"/>
      <c r="B277" s="2"/>
      <c r="C277" s="3"/>
      <c r="D277" s="3"/>
      <c r="E277" s="2"/>
      <c r="F277" s="2"/>
      <c r="G277" s="5"/>
      <c r="H277" s="5"/>
      <c r="I277" s="4"/>
      <c r="J277" s="6" t="str">
        <f t="shared" si="14"/>
        <v/>
      </c>
      <c r="K277" s="4" t="str">
        <f t="shared" ca="1" si="16"/>
        <v/>
      </c>
      <c r="L277" s="7" t="str">
        <f>IF($H277="","",$H277-'[2]Read Me'!$B$4)</f>
        <v/>
      </c>
      <c r="M277" s="4" t="str">
        <f>IF($I277="Complete","Green",IF($H277="","Amber",IF($H277&lt;'[2]Read Me'!$B$4,"Red",IF($H277-'[2]Read Me'!$B$4&lt;=21,"Amber","Green"))))</f>
        <v>Amber</v>
      </c>
      <c r="N277" s="3"/>
      <c r="O277" t="str">
        <f>IF($I277&lt;&gt;"Complete",IF(COUNTIFS($A$4:$A276,$A277,$B$4:$B276,$B277,$I$4:$I276,"&lt;&gt;Complete")=0,$A277&amp;"|"&amp;$B277,""),"")</f>
        <v>|</v>
      </c>
      <c r="P277" t="str">
        <f ca="1">IF($K277="Yes",COUNTIFS($K$4:$K277,"Yes"),"")</f>
        <v/>
      </c>
      <c r="Q277">
        <f t="shared" ca="1" si="15"/>
        <v>0</v>
      </c>
      <c r="R277" t="str">
        <f ca="1">IF($Q277=1,SUM($Q$4:$Q277),"")</f>
        <v/>
      </c>
    </row>
    <row r="278" spans="1:18" ht="14.25" customHeight="1" x14ac:dyDescent="0.3">
      <c r="A278" s="2"/>
      <c r="B278" s="2"/>
      <c r="C278" s="3"/>
      <c r="D278" s="3"/>
      <c r="E278" s="2"/>
      <c r="F278" s="2"/>
      <c r="G278" s="5"/>
      <c r="H278" s="5"/>
      <c r="I278" s="4"/>
      <c r="J278" s="6" t="str">
        <f t="shared" si="14"/>
        <v/>
      </c>
      <c r="K278" s="4" t="str">
        <f t="shared" ca="1" si="16"/>
        <v/>
      </c>
      <c r="L278" s="7" t="str">
        <f>IF($H278="","",$H278-'[2]Read Me'!$B$4)</f>
        <v/>
      </c>
      <c r="M278" s="4" t="str">
        <f>IF($I278="Complete","Green",IF($H278="","Amber",IF($H278&lt;'[2]Read Me'!$B$4,"Red",IF($H278-'[2]Read Me'!$B$4&lt;=21,"Amber","Green"))))</f>
        <v>Amber</v>
      </c>
      <c r="N278" s="3"/>
      <c r="O278" t="str">
        <f>IF($I278&lt;&gt;"Complete",IF(COUNTIFS($A$4:$A277,$A278,$B$4:$B277,$B278,$I$4:$I277,"&lt;&gt;Complete")=0,$A278&amp;"|"&amp;$B278,""),"")</f>
        <v>|</v>
      </c>
      <c r="P278" t="str">
        <f ca="1">IF($K278="Yes",COUNTIFS($K$4:$K278,"Yes"),"")</f>
        <v/>
      </c>
      <c r="Q278">
        <f t="shared" ca="1" si="15"/>
        <v>0</v>
      </c>
      <c r="R278" t="str">
        <f ca="1">IF($Q278=1,SUM($Q$4:$Q278),"")</f>
        <v/>
      </c>
    </row>
    <row r="279" spans="1:18" ht="14.25" customHeight="1" x14ac:dyDescent="0.3">
      <c r="A279" s="2"/>
      <c r="B279" s="2"/>
      <c r="C279" s="3"/>
      <c r="D279" s="3"/>
      <c r="E279" s="2"/>
      <c r="F279" s="2"/>
      <c r="G279" s="5"/>
      <c r="H279" s="5"/>
      <c r="I279" s="4"/>
      <c r="J279" s="6" t="str">
        <f t="shared" si="14"/>
        <v/>
      </c>
      <c r="K279" s="4" t="str">
        <f t="shared" ca="1" si="16"/>
        <v/>
      </c>
      <c r="L279" s="7" t="str">
        <f>IF($H279="","",$H279-'[2]Read Me'!$B$4)</f>
        <v/>
      </c>
      <c r="M279" s="4" t="str">
        <f>IF($I279="Complete","Green",IF($H279="","Amber",IF($H279&lt;'[2]Read Me'!$B$4,"Red",IF($H279-'[2]Read Me'!$B$4&lt;=21,"Amber","Green"))))</f>
        <v>Amber</v>
      </c>
      <c r="N279" s="3"/>
      <c r="O279" t="str">
        <f>IF($I279&lt;&gt;"Complete",IF(COUNTIFS($A$4:$A278,$A279,$B$4:$B278,$B279,$I$4:$I278,"&lt;&gt;Complete")=0,$A279&amp;"|"&amp;$B279,""),"")</f>
        <v>|</v>
      </c>
      <c r="P279" t="str">
        <f ca="1">IF($K279="Yes",COUNTIFS($K$4:$K279,"Yes"),"")</f>
        <v/>
      </c>
      <c r="Q279">
        <f t="shared" ca="1" si="15"/>
        <v>0</v>
      </c>
      <c r="R279" t="str">
        <f ca="1">IF($Q279=1,SUM($Q$4:$Q279),"")</f>
        <v/>
      </c>
    </row>
    <row r="280" spans="1:18" ht="14.25" customHeight="1" x14ac:dyDescent="0.3">
      <c r="A280" s="2"/>
      <c r="B280" s="2"/>
      <c r="C280" s="3"/>
      <c r="D280" s="3"/>
      <c r="E280" s="2"/>
      <c r="F280" s="2"/>
      <c r="G280" s="5"/>
      <c r="H280" s="5"/>
      <c r="I280" s="4"/>
      <c r="J280" s="6" t="str">
        <f t="shared" si="14"/>
        <v/>
      </c>
      <c r="K280" s="4" t="str">
        <f t="shared" ca="1" si="16"/>
        <v/>
      </c>
      <c r="L280" s="7" t="str">
        <f>IF($H280="","",$H280-'[2]Read Me'!$B$4)</f>
        <v/>
      </c>
      <c r="M280" s="4" t="str">
        <f>IF($I280="Complete","Green",IF($H280="","Amber",IF($H280&lt;'[2]Read Me'!$B$4,"Red",IF($H280-'[2]Read Me'!$B$4&lt;=21,"Amber","Green"))))</f>
        <v>Amber</v>
      </c>
      <c r="N280" s="3"/>
      <c r="O280" t="str">
        <f>IF($I280&lt;&gt;"Complete",IF(COUNTIFS($A$4:$A279,$A280,$B$4:$B279,$B280,$I$4:$I279,"&lt;&gt;Complete")=0,$A280&amp;"|"&amp;$B280,""),"")</f>
        <v>|</v>
      </c>
      <c r="P280" t="str">
        <f ca="1">IF($K280="Yes",COUNTIFS($K$4:$K280,"Yes"),"")</f>
        <v/>
      </c>
      <c r="Q280">
        <f t="shared" ca="1" si="15"/>
        <v>0</v>
      </c>
      <c r="R280" t="str">
        <f ca="1">IF($Q280=1,SUM($Q$4:$Q280),"")</f>
        <v/>
      </c>
    </row>
    <row r="281" spans="1:18" ht="14.25" customHeight="1" x14ac:dyDescent="0.3">
      <c r="A281" s="2"/>
      <c r="B281" s="2"/>
      <c r="C281" s="3"/>
      <c r="D281" s="3"/>
      <c r="E281" s="2"/>
      <c r="F281" s="2"/>
      <c r="G281" s="5"/>
      <c r="H281" s="5"/>
      <c r="I281" s="4"/>
      <c r="J281" s="6" t="str">
        <f t="shared" si="14"/>
        <v/>
      </c>
      <c r="K281" s="4" t="str">
        <f t="shared" ca="1" si="16"/>
        <v/>
      </c>
      <c r="L281" s="7" t="str">
        <f>IF($H281="","",$H281-'[2]Read Me'!$B$4)</f>
        <v/>
      </c>
      <c r="M281" s="4" t="str">
        <f>IF($I281="Complete","Green",IF($H281="","Amber",IF($H281&lt;'[2]Read Me'!$B$4,"Red",IF($H281-'[2]Read Me'!$B$4&lt;=21,"Amber","Green"))))</f>
        <v>Amber</v>
      </c>
      <c r="N281" s="3"/>
      <c r="O281" t="str">
        <f>IF($I281&lt;&gt;"Complete",IF(COUNTIFS($A$4:$A280,$A281,$B$4:$B280,$B281,$I$4:$I280,"&lt;&gt;Complete")=0,$A281&amp;"|"&amp;$B281,""),"")</f>
        <v>|</v>
      </c>
      <c r="P281" t="str">
        <f ca="1">IF($K281="Yes",COUNTIFS($K$4:$K281,"Yes"),"")</f>
        <v/>
      </c>
      <c r="Q281">
        <f t="shared" ca="1" si="15"/>
        <v>0</v>
      </c>
      <c r="R281" t="str">
        <f ca="1">IF($Q281=1,SUM($Q$4:$Q281),"")</f>
        <v/>
      </c>
    </row>
    <row r="282" spans="1:18" ht="14.25" customHeight="1" x14ac:dyDescent="0.3">
      <c r="A282" s="2"/>
      <c r="B282" s="2"/>
      <c r="C282" s="3"/>
      <c r="D282" s="3"/>
      <c r="E282" s="2"/>
      <c r="F282" s="2"/>
      <c r="G282" s="5"/>
      <c r="H282" s="5"/>
      <c r="I282" s="4"/>
      <c r="J282" s="6" t="str">
        <f t="shared" si="14"/>
        <v/>
      </c>
      <c r="K282" s="4" t="str">
        <f t="shared" ca="1" si="16"/>
        <v/>
      </c>
      <c r="L282" s="7" t="str">
        <f>IF($H282="","",$H282-'[2]Read Me'!$B$4)</f>
        <v/>
      </c>
      <c r="M282" s="4" t="str">
        <f>IF($I282="Complete","Green",IF($H282="","Amber",IF($H282&lt;'[2]Read Me'!$B$4,"Red",IF($H282-'[2]Read Me'!$B$4&lt;=21,"Amber","Green"))))</f>
        <v>Amber</v>
      </c>
      <c r="N282" s="3"/>
      <c r="O282" t="str">
        <f>IF($I282&lt;&gt;"Complete",IF(COUNTIFS($A$4:$A281,$A282,$B$4:$B281,$B282,$I$4:$I281,"&lt;&gt;Complete")=0,$A282&amp;"|"&amp;$B282,""),"")</f>
        <v>|</v>
      </c>
      <c r="P282" t="str">
        <f ca="1">IF($K282="Yes",COUNTIFS($K$4:$K282,"Yes"),"")</f>
        <v/>
      </c>
      <c r="Q282">
        <f t="shared" ca="1" si="15"/>
        <v>0</v>
      </c>
      <c r="R282" t="str">
        <f ca="1">IF($Q282=1,SUM($Q$4:$Q282),"")</f>
        <v/>
      </c>
    </row>
    <row r="283" spans="1:18" ht="14.25" customHeight="1" x14ac:dyDescent="0.3">
      <c r="A283" s="2"/>
      <c r="B283" s="2"/>
      <c r="C283" s="3"/>
      <c r="D283" s="3"/>
      <c r="E283" s="2"/>
      <c r="F283" s="2"/>
      <c r="G283" s="5"/>
      <c r="H283" s="5"/>
      <c r="I283" s="4"/>
      <c r="J283" s="6" t="str">
        <f t="shared" si="14"/>
        <v/>
      </c>
      <c r="K283" s="4" t="str">
        <f t="shared" ca="1" si="16"/>
        <v/>
      </c>
      <c r="L283" s="7" t="str">
        <f>IF($H283="","",$H283-'[2]Read Me'!$B$4)</f>
        <v/>
      </c>
      <c r="M283" s="4" t="str">
        <f>IF($I283="Complete","Green",IF($H283="","Amber",IF($H283&lt;'[2]Read Me'!$B$4,"Red",IF($H283-'[2]Read Me'!$B$4&lt;=21,"Amber","Green"))))</f>
        <v>Amber</v>
      </c>
      <c r="N283" s="3"/>
      <c r="O283" t="str">
        <f>IF($I283&lt;&gt;"Complete",IF(COUNTIFS($A$4:$A282,$A283,$B$4:$B282,$B283,$I$4:$I282,"&lt;&gt;Complete")=0,$A283&amp;"|"&amp;$B283,""),"")</f>
        <v>|</v>
      </c>
      <c r="P283" t="str">
        <f ca="1">IF($K283="Yes",COUNTIFS($K$4:$K283,"Yes"),"")</f>
        <v/>
      </c>
      <c r="Q283">
        <f t="shared" ca="1" si="15"/>
        <v>0</v>
      </c>
      <c r="R283" t="str">
        <f ca="1">IF($Q283=1,SUM($Q$4:$Q283),"")</f>
        <v/>
      </c>
    </row>
    <row r="284" spans="1:18" ht="14.25" customHeight="1" x14ac:dyDescent="0.3">
      <c r="A284" s="2"/>
      <c r="B284" s="2"/>
      <c r="C284" s="3"/>
      <c r="D284" s="3"/>
      <c r="E284" s="2"/>
      <c r="F284" s="2"/>
      <c r="G284" s="5"/>
      <c r="H284" s="5"/>
      <c r="I284" s="4"/>
      <c r="J284" s="6" t="str">
        <f t="shared" si="14"/>
        <v/>
      </c>
      <c r="K284" s="4" t="str">
        <f t="shared" ca="1" si="16"/>
        <v/>
      </c>
      <c r="L284" s="7" t="str">
        <f>IF($H284="","",$H284-'[2]Read Me'!$B$4)</f>
        <v/>
      </c>
      <c r="M284" s="4" t="str">
        <f>IF($I284="Complete","Green",IF($H284="","Amber",IF($H284&lt;'[2]Read Me'!$B$4,"Red",IF($H284-'[2]Read Me'!$B$4&lt;=21,"Amber","Green"))))</f>
        <v>Amber</v>
      </c>
      <c r="N284" s="3"/>
      <c r="O284" t="str">
        <f>IF($I284&lt;&gt;"Complete",IF(COUNTIFS($A$4:$A283,$A284,$B$4:$B283,$B284,$I$4:$I283,"&lt;&gt;Complete")=0,$A284&amp;"|"&amp;$B284,""),"")</f>
        <v>|</v>
      </c>
      <c r="P284" t="str">
        <f ca="1">IF($K284="Yes",COUNTIFS($K$4:$K284,"Yes"),"")</f>
        <v/>
      </c>
      <c r="Q284">
        <f t="shared" ca="1" si="15"/>
        <v>0</v>
      </c>
      <c r="R284" t="str">
        <f ca="1">IF($Q284=1,SUM($Q$4:$Q284),"")</f>
        <v/>
      </c>
    </row>
    <row r="285" spans="1:18" ht="14.25" customHeight="1" x14ac:dyDescent="0.3">
      <c r="A285" s="2"/>
      <c r="B285" s="2"/>
      <c r="C285" s="3"/>
      <c r="D285" s="3"/>
      <c r="E285" s="2"/>
      <c r="F285" s="2"/>
      <c r="G285" s="5"/>
      <c r="H285" s="5"/>
      <c r="I285" s="4"/>
      <c r="J285" s="6" t="str">
        <f t="shared" si="14"/>
        <v/>
      </c>
      <c r="K285" s="4" t="str">
        <f t="shared" ca="1" si="16"/>
        <v/>
      </c>
      <c r="L285" s="7" t="str">
        <f>IF($H285="","",$H285-'[2]Read Me'!$B$4)</f>
        <v/>
      </c>
      <c r="M285" s="4" t="str">
        <f>IF($I285="Complete","Green",IF($H285="","Amber",IF($H285&lt;'[2]Read Me'!$B$4,"Red",IF($H285-'[2]Read Me'!$B$4&lt;=21,"Amber","Green"))))</f>
        <v>Amber</v>
      </c>
      <c r="N285" s="3"/>
      <c r="O285" t="str">
        <f>IF($I285&lt;&gt;"Complete",IF(COUNTIFS($A$4:$A284,$A285,$B$4:$B284,$B285,$I$4:$I284,"&lt;&gt;Complete")=0,$A285&amp;"|"&amp;$B285,""),"")</f>
        <v>|</v>
      </c>
      <c r="P285" t="str">
        <f ca="1">IF($K285="Yes",COUNTIFS($K$4:$K285,"Yes"),"")</f>
        <v/>
      </c>
      <c r="Q285">
        <f t="shared" ca="1" si="15"/>
        <v>0</v>
      </c>
      <c r="R285" t="str">
        <f ca="1">IF($Q285=1,SUM($Q$4:$Q285),"")</f>
        <v/>
      </c>
    </row>
    <row r="286" spans="1:18" ht="14.25" customHeight="1" x14ac:dyDescent="0.3">
      <c r="A286" s="2"/>
      <c r="B286" s="2"/>
      <c r="C286" s="3"/>
      <c r="D286" s="3"/>
      <c r="E286" s="2"/>
      <c r="F286" s="2"/>
      <c r="G286" s="5"/>
      <c r="H286" s="5"/>
      <c r="I286" s="4"/>
      <c r="J286" s="6" t="str">
        <f t="shared" si="14"/>
        <v/>
      </c>
      <c r="K286" s="4" t="str">
        <f t="shared" ca="1" si="16"/>
        <v/>
      </c>
      <c r="L286" s="7" t="str">
        <f>IF($H286="","",$H286-'[2]Read Me'!$B$4)</f>
        <v/>
      </c>
      <c r="M286" s="4" t="str">
        <f>IF($I286="Complete","Green",IF($H286="","Amber",IF($H286&lt;'[2]Read Me'!$B$4,"Red",IF($H286-'[2]Read Me'!$B$4&lt;=21,"Amber","Green"))))</f>
        <v>Amber</v>
      </c>
      <c r="N286" s="3"/>
      <c r="O286" t="str">
        <f>IF($I286&lt;&gt;"Complete",IF(COUNTIFS($A$4:$A285,$A286,$B$4:$B285,$B286,$I$4:$I285,"&lt;&gt;Complete")=0,$A286&amp;"|"&amp;$B286,""),"")</f>
        <v>|</v>
      </c>
      <c r="P286" t="str">
        <f ca="1">IF($K286="Yes",COUNTIFS($K$4:$K286,"Yes"),"")</f>
        <v/>
      </c>
      <c r="Q286">
        <f t="shared" ca="1" si="15"/>
        <v>0</v>
      </c>
      <c r="R286" t="str">
        <f ca="1">IF($Q286=1,SUM($Q$4:$Q286),"")</f>
        <v/>
      </c>
    </row>
    <row r="287" spans="1:18" ht="14.25" customHeight="1" x14ac:dyDescent="0.3">
      <c r="A287" s="2"/>
      <c r="B287" s="2"/>
      <c r="C287" s="3"/>
      <c r="D287" s="3"/>
      <c r="E287" s="2"/>
      <c r="F287" s="2"/>
      <c r="G287" s="5"/>
      <c r="H287" s="5"/>
      <c r="I287" s="4"/>
      <c r="J287" s="6" t="str">
        <f t="shared" si="14"/>
        <v/>
      </c>
      <c r="K287" s="4" t="str">
        <f t="shared" ca="1" si="16"/>
        <v/>
      </c>
      <c r="L287" s="7" t="str">
        <f>IF($H287="","",$H287-'[2]Read Me'!$B$4)</f>
        <v/>
      </c>
      <c r="M287" s="4" t="str">
        <f>IF($I287="Complete","Green",IF($H287="","Amber",IF($H287&lt;'[2]Read Me'!$B$4,"Red",IF($H287-'[2]Read Me'!$B$4&lt;=21,"Amber","Green"))))</f>
        <v>Amber</v>
      </c>
      <c r="N287" s="3"/>
      <c r="O287" t="str">
        <f>IF($I287&lt;&gt;"Complete",IF(COUNTIFS($A$4:$A286,$A287,$B$4:$B286,$B287,$I$4:$I286,"&lt;&gt;Complete")=0,$A287&amp;"|"&amp;$B287,""),"")</f>
        <v>|</v>
      </c>
      <c r="P287" t="str">
        <f ca="1">IF($K287="Yes",COUNTIFS($K$4:$K287,"Yes"),"")</f>
        <v/>
      </c>
      <c r="Q287">
        <f t="shared" ca="1" si="15"/>
        <v>0</v>
      </c>
      <c r="R287" t="str">
        <f ca="1">IF($Q287=1,SUM($Q$4:$Q287),"")</f>
        <v/>
      </c>
    </row>
    <row r="288" spans="1:18" ht="14.25" customHeight="1" x14ac:dyDescent="0.3">
      <c r="A288" s="2"/>
      <c r="B288" s="2"/>
      <c r="C288" s="3"/>
      <c r="D288" s="3"/>
      <c r="E288" s="2"/>
      <c r="F288" s="2"/>
      <c r="G288" s="5"/>
      <c r="H288" s="5"/>
      <c r="I288" s="4"/>
      <c r="J288" s="6" t="str">
        <f t="shared" si="14"/>
        <v/>
      </c>
      <c r="K288" s="4" t="str">
        <f t="shared" ca="1" si="16"/>
        <v/>
      </c>
      <c r="L288" s="7" t="str">
        <f>IF($H288="","",$H288-'[2]Read Me'!$B$4)</f>
        <v/>
      </c>
      <c r="M288" s="4" t="str">
        <f>IF($I288="Complete","Green",IF($H288="","Amber",IF($H288&lt;'[2]Read Me'!$B$4,"Red",IF($H288-'[2]Read Me'!$B$4&lt;=21,"Amber","Green"))))</f>
        <v>Amber</v>
      </c>
      <c r="N288" s="3"/>
      <c r="O288" t="str">
        <f>IF($I288&lt;&gt;"Complete",IF(COUNTIFS($A$4:$A287,$A288,$B$4:$B287,$B288,$I$4:$I287,"&lt;&gt;Complete")=0,$A288&amp;"|"&amp;$B288,""),"")</f>
        <v>|</v>
      </c>
      <c r="P288" t="str">
        <f ca="1">IF($K288="Yes",COUNTIFS($K$4:$K288,"Yes"),"")</f>
        <v/>
      </c>
      <c r="Q288">
        <f t="shared" ca="1" si="15"/>
        <v>0</v>
      </c>
      <c r="R288" t="str">
        <f ca="1">IF($Q288=1,SUM($Q$4:$Q288),"")</f>
        <v/>
      </c>
    </row>
    <row r="289" spans="1:18" ht="14.25" customHeight="1" x14ac:dyDescent="0.3">
      <c r="A289" s="2"/>
      <c r="B289" s="2"/>
      <c r="C289" s="3"/>
      <c r="D289" s="3"/>
      <c r="E289" s="2"/>
      <c r="F289" s="2"/>
      <c r="G289" s="5"/>
      <c r="H289" s="5"/>
      <c r="I289" s="4"/>
      <c r="J289" s="6" t="str">
        <f t="shared" si="14"/>
        <v/>
      </c>
      <c r="K289" s="4" t="str">
        <f t="shared" ca="1" si="16"/>
        <v/>
      </c>
      <c r="L289" s="7" t="str">
        <f>IF($H289="","",$H289-'[2]Read Me'!$B$4)</f>
        <v/>
      </c>
      <c r="M289" s="4" t="str">
        <f>IF($I289="Complete","Green",IF($H289="","Amber",IF($H289&lt;'[2]Read Me'!$B$4,"Red",IF($H289-'[2]Read Me'!$B$4&lt;=21,"Amber","Green"))))</f>
        <v>Amber</v>
      </c>
      <c r="N289" s="3"/>
      <c r="O289" t="str">
        <f>IF($I289&lt;&gt;"Complete",IF(COUNTIFS($A$4:$A288,$A289,$B$4:$B288,$B289,$I$4:$I288,"&lt;&gt;Complete")=0,$A289&amp;"|"&amp;$B289,""),"")</f>
        <v>|</v>
      </c>
      <c r="P289" t="str">
        <f ca="1">IF($K289="Yes",COUNTIFS($K$4:$K289,"Yes"),"")</f>
        <v/>
      </c>
      <c r="Q289">
        <f t="shared" ca="1" si="15"/>
        <v>0</v>
      </c>
      <c r="R289" t="str">
        <f ca="1">IF($Q289=1,SUM($Q$4:$Q289),"")</f>
        <v/>
      </c>
    </row>
    <row r="290" spans="1:18" ht="14.25" customHeight="1" x14ac:dyDescent="0.3">
      <c r="A290" s="2"/>
      <c r="B290" s="2"/>
      <c r="C290" s="3"/>
      <c r="D290" s="3"/>
      <c r="E290" s="2"/>
      <c r="F290" s="2"/>
      <c r="G290" s="5"/>
      <c r="H290" s="5"/>
      <c r="I290" s="4"/>
      <c r="J290" s="6" t="str">
        <f t="shared" si="14"/>
        <v/>
      </c>
      <c r="K290" s="4" t="str">
        <f t="shared" ca="1" si="16"/>
        <v/>
      </c>
      <c r="L290" s="7" t="str">
        <f>IF($H290="","",$H290-'[2]Read Me'!$B$4)</f>
        <v/>
      </c>
      <c r="M290" s="4" t="str">
        <f>IF($I290="Complete","Green",IF($H290="","Amber",IF($H290&lt;'[2]Read Me'!$B$4,"Red",IF($H290-'[2]Read Me'!$B$4&lt;=21,"Amber","Green"))))</f>
        <v>Amber</v>
      </c>
      <c r="N290" s="3"/>
      <c r="O290" t="str">
        <f>IF($I290&lt;&gt;"Complete",IF(COUNTIFS($A$4:$A289,$A290,$B$4:$B289,$B290,$I$4:$I289,"&lt;&gt;Complete")=0,$A290&amp;"|"&amp;$B290,""),"")</f>
        <v>|</v>
      </c>
      <c r="P290" t="str">
        <f ca="1">IF($K290="Yes",COUNTIFS($K$4:$K290,"Yes"),"")</f>
        <v/>
      </c>
      <c r="Q290">
        <f t="shared" ca="1" si="15"/>
        <v>0</v>
      </c>
      <c r="R290" t="str">
        <f ca="1">IF($Q290=1,SUM($Q$4:$Q290),"")</f>
        <v/>
      </c>
    </row>
    <row r="291" spans="1:18" ht="14.25" customHeight="1" x14ac:dyDescent="0.3">
      <c r="A291" s="2"/>
      <c r="B291" s="2"/>
      <c r="C291" s="3"/>
      <c r="D291" s="3"/>
      <c r="E291" s="2"/>
      <c r="F291" s="2"/>
      <c r="G291" s="5"/>
      <c r="H291" s="5"/>
      <c r="I291" s="4"/>
      <c r="J291" s="6" t="str">
        <f t="shared" si="14"/>
        <v/>
      </c>
      <c r="K291" s="4" t="str">
        <f t="shared" ca="1" si="16"/>
        <v/>
      </c>
      <c r="L291" s="7" t="str">
        <f>IF($H291="","",$H291-'[2]Read Me'!$B$4)</f>
        <v/>
      </c>
      <c r="M291" s="4" t="str">
        <f>IF($I291="Complete","Green",IF($H291="","Amber",IF($H291&lt;'[2]Read Me'!$B$4,"Red",IF($H291-'[2]Read Me'!$B$4&lt;=21,"Amber","Green"))))</f>
        <v>Amber</v>
      </c>
      <c r="N291" s="3"/>
      <c r="O291" t="str">
        <f>IF($I291&lt;&gt;"Complete",IF(COUNTIFS($A$4:$A290,$A291,$B$4:$B290,$B291,$I$4:$I290,"&lt;&gt;Complete")=0,$A291&amp;"|"&amp;$B291,""),"")</f>
        <v>|</v>
      </c>
      <c r="P291" t="str">
        <f ca="1">IF($K291="Yes",COUNTIFS($K$4:$K291,"Yes"),"")</f>
        <v/>
      </c>
      <c r="Q291">
        <f t="shared" ca="1" si="15"/>
        <v>0</v>
      </c>
      <c r="R291" t="str">
        <f ca="1">IF($Q291=1,SUM($Q$4:$Q291),"")</f>
        <v/>
      </c>
    </row>
    <row r="292" spans="1:18" ht="14.25" customHeight="1" x14ac:dyDescent="0.3">
      <c r="A292" s="2"/>
      <c r="B292" s="2"/>
      <c r="C292" s="3"/>
      <c r="D292" s="3"/>
      <c r="E292" s="2"/>
      <c r="F292" s="2"/>
      <c r="G292" s="5"/>
      <c r="H292" s="5"/>
      <c r="I292" s="4"/>
      <c r="J292" s="6" t="str">
        <f t="shared" si="14"/>
        <v/>
      </c>
      <c r="K292" s="4" t="str">
        <f t="shared" ca="1" si="16"/>
        <v/>
      </c>
      <c r="L292" s="7" t="str">
        <f>IF($H292="","",$H292-'[2]Read Me'!$B$4)</f>
        <v/>
      </c>
      <c r="M292" s="4" t="str">
        <f>IF($I292="Complete","Green",IF($H292="","Amber",IF($H292&lt;'[2]Read Me'!$B$4,"Red",IF($H292-'[2]Read Me'!$B$4&lt;=21,"Amber","Green"))))</f>
        <v>Amber</v>
      </c>
      <c r="N292" s="3"/>
      <c r="O292" t="str">
        <f>IF($I292&lt;&gt;"Complete",IF(COUNTIFS($A$4:$A291,$A292,$B$4:$B291,$B292,$I$4:$I291,"&lt;&gt;Complete")=0,$A292&amp;"|"&amp;$B292,""),"")</f>
        <v>|</v>
      </c>
      <c r="P292" t="str">
        <f ca="1">IF($K292="Yes",COUNTIFS($K$4:$K292,"Yes"),"")</f>
        <v/>
      </c>
      <c r="Q292">
        <f t="shared" ca="1" si="15"/>
        <v>0</v>
      </c>
      <c r="R292" t="str">
        <f ca="1">IF($Q292=1,SUM($Q$4:$Q292),"")</f>
        <v/>
      </c>
    </row>
    <row r="293" spans="1:18" ht="22.5" customHeight="1" x14ac:dyDescent="0.3">
      <c r="A293" s="2"/>
      <c r="B293" s="2"/>
      <c r="C293" s="3"/>
      <c r="D293" s="3"/>
      <c r="E293" s="2"/>
      <c r="F293" s="2"/>
      <c r="G293" s="5"/>
      <c r="H293" s="5"/>
      <c r="I293" s="4"/>
      <c r="J293" s="6" t="str">
        <f t="shared" si="14"/>
        <v/>
      </c>
      <c r="K293" s="4" t="str">
        <f t="shared" ca="1" si="16"/>
        <v/>
      </c>
      <c r="L293" s="7" t="str">
        <f>IF($H293="","",$H293-'[2]Read Me'!$B$4)</f>
        <v/>
      </c>
      <c r="M293" s="4" t="str">
        <f>IF($I293="Complete","Green",IF($H293="","Amber",IF($H293&lt;'[2]Read Me'!$B$4,"Red",IF($H293-'[2]Read Me'!$B$4&lt;=21,"Amber","Green"))))</f>
        <v>Amber</v>
      </c>
      <c r="N293" s="3"/>
      <c r="O293" t="str">
        <f>IF($I293&lt;&gt;"Complete",IF(COUNTIFS($A$4:$A292,$A293,$B$4:$B292,$B293,$I$4:$I292,"&lt;&gt;Complete")=0,$A293&amp;"|"&amp;$B293,""),"")</f>
        <v>|</v>
      </c>
      <c r="P293" t="str">
        <f ca="1">IF($K293="Yes",COUNTIFS($K$4:$K293,"Yes"),"")</f>
        <v/>
      </c>
      <c r="Q293">
        <f t="shared" ca="1" si="15"/>
        <v>0</v>
      </c>
      <c r="R293" t="str">
        <f ca="1">IF($Q293=1,SUM($Q$4:$Q293),"")</f>
        <v/>
      </c>
    </row>
    <row r="294" spans="1:18" ht="22.5" customHeight="1" x14ac:dyDescent="0.3">
      <c r="A294" s="2"/>
      <c r="B294" s="2"/>
      <c r="C294" s="3"/>
      <c r="D294" s="3"/>
      <c r="E294" s="2"/>
      <c r="F294" s="2"/>
      <c r="G294" s="5"/>
      <c r="H294" s="5"/>
      <c r="I294" s="4"/>
      <c r="J294" s="6" t="str">
        <f t="shared" si="14"/>
        <v/>
      </c>
      <c r="K294" s="4" t="str">
        <f t="shared" ca="1" si="16"/>
        <v/>
      </c>
      <c r="L294" s="7" t="str">
        <f>IF($H294="","",$H294-'[2]Read Me'!$B$4)</f>
        <v/>
      </c>
      <c r="M294" s="4" t="str">
        <f>IF($I294="Complete","Green",IF($H294="","Amber",IF($H294&lt;'[2]Read Me'!$B$4,"Red",IF($H294-'[2]Read Me'!$B$4&lt;=21,"Amber","Green"))))</f>
        <v>Amber</v>
      </c>
      <c r="N294" s="3"/>
      <c r="O294" t="str">
        <f>IF($I294&lt;&gt;"Complete",IF(COUNTIFS($A$4:$A293,$A294,$B$4:$B293,$B294,$I$4:$I293,"&lt;&gt;Complete")=0,$A294&amp;"|"&amp;$B294,""),"")</f>
        <v>|</v>
      </c>
      <c r="P294" t="str">
        <f ca="1">IF($K294="Yes",COUNTIFS($K$4:$K294,"Yes"),"")</f>
        <v/>
      </c>
      <c r="Q294">
        <f t="shared" ca="1" si="15"/>
        <v>0</v>
      </c>
      <c r="R294" t="str">
        <f ca="1">IF($Q294=1,SUM($Q$4:$Q294),"")</f>
        <v/>
      </c>
    </row>
    <row r="295" spans="1:18" ht="22.5" customHeight="1" x14ac:dyDescent="0.3">
      <c r="A295" s="2"/>
      <c r="B295" s="2"/>
      <c r="C295" s="3"/>
      <c r="D295" s="3"/>
      <c r="E295" s="2"/>
      <c r="F295" s="2"/>
      <c r="G295" s="5"/>
      <c r="H295" s="5"/>
      <c r="I295" s="4"/>
      <c r="J295" s="6" t="str">
        <f t="shared" si="14"/>
        <v/>
      </c>
      <c r="K295" s="4" t="str">
        <f t="shared" ca="1" si="16"/>
        <v/>
      </c>
      <c r="L295" s="7" t="str">
        <f>IF($H295="","",$H295-'[2]Read Me'!$B$4)</f>
        <v/>
      </c>
      <c r="M295" s="4" t="str">
        <f>IF($I295="Complete","Green",IF($H295="","Amber",IF($H295&lt;'[2]Read Me'!$B$4,"Red",IF($H295-'[2]Read Me'!$B$4&lt;=21,"Amber","Green"))))</f>
        <v>Amber</v>
      </c>
      <c r="N295" s="3"/>
      <c r="O295" t="str">
        <f>IF($I295&lt;&gt;"Complete",IF(COUNTIFS($A$4:$A294,$A295,$B$4:$B294,$B295,$I$4:$I294,"&lt;&gt;Complete")=0,$A295&amp;"|"&amp;$B295,""),"")</f>
        <v>|</v>
      </c>
      <c r="P295" t="str">
        <f ca="1">IF($K295="Yes",COUNTIFS($K$4:$K295,"Yes"),"")</f>
        <v/>
      </c>
      <c r="Q295">
        <f t="shared" ca="1" si="15"/>
        <v>0</v>
      </c>
      <c r="R295" t="str">
        <f ca="1">IF($Q295=1,SUM($Q$4:$Q295),"")</f>
        <v/>
      </c>
    </row>
    <row r="296" spans="1:18" ht="22.5" customHeight="1" x14ac:dyDescent="0.3">
      <c r="A296" s="2"/>
      <c r="B296" s="2"/>
      <c r="C296" s="3"/>
      <c r="D296" s="3"/>
      <c r="E296" s="2"/>
      <c r="F296" s="2"/>
      <c r="G296" s="5"/>
      <c r="H296" s="5"/>
      <c r="I296" s="4"/>
      <c r="J296" s="6" t="str">
        <f t="shared" si="14"/>
        <v/>
      </c>
      <c r="K296" s="4" t="str">
        <f t="shared" ca="1" si="16"/>
        <v/>
      </c>
      <c r="L296" s="7" t="str">
        <f>IF($H296="","",$H296-'[2]Read Me'!$B$4)</f>
        <v/>
      </c>
      <c r="M296" s="4" t="str">
        <f>IF($I296="Complete","Green",IF($H296="","Amber",IF($H296&lt;'[2]Read Me'!$B$4,"Red",IF($H296-'[2]Read Me'!$B$4&lt;=21,"Amber","Green"))))</f>
        <v>Amber</v>
      </c>
      <c r="N296" s="3"/>
      <c r="O296" t="str">
        <f>IF($I296&lt;&gt;"Complete",IF(COUNTIFS($A$4:$A295,$A296,$B$4:$B295,$B296,$I$4:$I295,"&lt;&gt;Complete")=0,$A296&amp;"|"&amp;$B296,""),"")</f>
        <v>|</v>
      </c>
      <c r="P296" t="str">
        <f ca="1">IF($K296="Yes",COUNTIFS($K$4:$K296,"Yes"),"")</f>
        <v/>
      </c>
      <c r="Q296">
        <f t="shared" ca="1" si="15"/>
        <v>0</v>
      </c>
      <c r="R296" t="str">
        <f ca="1">IF($Q296=1,SUM($Q$4:$Q296),"")</f>
        <v/>
      </c>
    </row>
    <row r="297" spans="1:18" ht="22.5" customHeight="1" x14ac:dyDescent="0.3">
      <c r="A297" s="2"/>
      <c r="B297" s="2"/>
      <c r="C297" s="3"/>
      <c r="D297" s="3"/>
      <c r="E297" s="2"/>
      <c r="F297" s="2"/>
      <c r="G297" s="5"/>
      <c r="H297" s="5"/>
      <c r="I297" s="4"/>
      <c r="J297" s="6" t="str">
        <f t="shared" si="14"/>
        <v/>
      </c>
      <c r="K297" s="4" t="str">
        <f t="shared" ca="1" si="16"/>
        <v/>
      </c>
      <c r="L297" s="7" t="str">
        <f>IF($H297="","",$H297-'[2]Read Me'!$B$4)</f>
        <v/>
      </c>
      <c r="M297" s="4" t="str">
        <f>IF($I297="Complete","Green",IF($H297="","Amber",IF($H297&lt;'[2]Read Me'!$B$4,"Red",IF($H297-'[2]Read Me'!$B$4&lt;=21,"Amber","Green"))))</f>
        <v>Amber</v>
      </c>
      <c r="N297" s="3"/>
      <c r="O297" t="str">
        <f>IF($I297&lt;&gt;"Complete",IF(COUNTIFS($A$4:$A296,$A297,$B$4:$B296,$B297,$I$4:$I296,"&lt;&gt;Complete")=0,$A297&amp;"|"&amp;$B297,""),"")</f>
        <v>|</v>
      </c>
      <c r="P297" t="str">
        <f ca="1">IF($K297="Yes",COUNTIFS($K$4:$K297,"Yes"),"")</f>
        <v/>
      </c>
      <c r="Q297">
        <f t="shared" ca="1" si="15"/>
        <v>0</v>
      </c>
      <c r="R297" t="str">
        <f ca="1">IF($Q297=1,SUM($Q$4:$Q297),"")</f>
        <v/>
      </c>
    </row>
    <row r="298" spans="1:18" ht="22.5" customHeight="1" x14ac:dyDescent="0.3">
      <c r="A298" s="2"/>
      <c r="B298" s="2"/>
      <c r="C298" s="3"/>
      <c r="D298" s="3"/>
      <c r="E298" s="2"/>
      <c r="F298" s="2"/>
      <c r="G298" s="5"/>
      <c r="H298" s="5"/>
      <c r="I298" s="4"/>
      <c r="J298" s="6" t="str">
        <f t="shared" si="14"/>
        <v/>
      </c>
      <c r="K298" s="4" t="str">
        <f t="shared" ca="1" si="16"/>
        <v/>
      </c>
      <c r="L298" s="7" t="str">
        <f>IF($H298="","",$H298-'[2]Read Me'!$B$4)</f>
        <v/>
      </c>
      <c r="M298" s="4" t="str">
        <f>IF($I298="Complete","Green",IF($H298="","Amber",IF($H298&lt;'[2]Read Me'!$B$4,"Red",IF($H298-'[2]Read Me'!$B$4&lt;=21,"Amber","Green"))))</f>
        <v>Amber</v>
      </c>
      <c r="N298" s="3"/>
      <c r="O298" t="str">
        <f>IF($I298&lt;&gt;"Complete",IF(COUNTIFS($A$4:$A297,$A298,$B$4:$B297,$B298,$I$4:$I297,"&lt;&gt;Complete")=0,$A298&amp;"|"&amp;$B298,""),"")</f>
        <v>|</v>
      </c>
      <c r="P298" t="str">
        <f ca="1">IF($K298="Yes",COUNTIFS($K$4:$K298,"Yes"),"")</f>
        <v/>
      </c>
      <c r="Q298">
        <f t="shared" ca="1" si="15"/>
        <v>0</v>
      </c>
      <c r="R298" t="str">
        <f ca="1">IF($Q298=1,SUM($Q$4:$Q298),"")</f>
        <v/>
      </c>
    </row>
    <row r="299" spans="1:18" ht="22.5" customHeight="1" x14ac:dyDescent="0.3">
      <c r="A299" s="2"/>
      <c r="B299" s="2"/>
      <c r="C299" s="3"/>
      <c r="D299" s="3"/>
      <c r="E299" s="2"/>
      <c r="F299" s="2"/>
      <c r="G299" s="5"/>
      <c r="H299" s="5"/>
      <c r="I299" s="4"/>
      <c r="J299" s="6" t="str">
        <f t="shared" si="14"/>
        <v/>
      </c>
      <c r="K299" s="4" t="str">
        <f t="shared" ca="1" si="16"/>
        <v/>
      </c>
      <c r="L299" s="7" t="str">
        <f>IF($H299="","",$H299-'[2]Read Me'!$B$4)</f>
        <v/>
      </c>
      <c r="M299" s="4" t="str">
        <f>IF($I299="Complete","Green",IF($H299="","Amber",IF($H299&lt;'[2]Read Me'!$B$4,"Red",IF($H299-'[2]Read Me'!$B$4&lt;=21,"Amber","Green"))))</f>
        <v>Amber</v>
      </c>
      <c r="N299" s="3"/>
      <c r="O299" t="str">
        <f>IF($I299&lt;&gt;"Complete",IF(COUNTIFS($A$4:$A298,$A299,$B$4:$B298,$B299,$I$4:$I298,"&lt;&gt;Complete")=0,$A299&amp;"|"&amp;$B299,""),"")</f>
        <v>|</v>
      </c>
      <c r="P299" t="str">
        <f ca="1">IF($K299="Yes",COUNTIFS($K$4:$K299,"Yes"),"")</f>
        <v/>
      </c>
      <c r="Q299">
        <f t="shared" ca="1" si="15"/>
        <v>0</v>
      </c>
      <c r="R299" t="str">
        <f ca="1">IF($Q299=1,SUM($Q$4:$Q299),"")</f>
        <v/>
      </c>
    </row>
    <row r="300" spans="1:18" ht="22.5" customHeight="1" x14ac:dyDescent="0.3">
      <c r="A300" s="2"/>
      <c r="B300" s="2"/>
      <c r="C300" s="3"/>
      <c r="D300" s="3"/>
      <c r="E300" s="2"/>
      <c r="F300" s="2"/>
      <c r="G300" s="5"/>
      <c r="H300" s="5"/>
      <c r="I300" s="4"/>
      <c r="J300" s="6" t="str">
        <f t="shared" si="14"/>
        <v/>
      </c>
      <c r="K300" s="4" t="str">
        <f t="shared" ca="1" si="16"/>
        <v/>
      </c>
      <c r="L300" s="7" t="str">
        <f>IF($H300="","",$H300-'[2]Read Me'!$B$4)</f>
        <v/>
      </c>
      <c r="M300" s="4" t="str">
        <f>IF($I300="Complete","Green",IF($H300="","Amber",IF($H300&lt;'[2]Read Me'!$B$4,"Red",IF($H300-'[2]Read Me'!$B$4&lt;=21,"Amber","Green"))))</f>
        <v>Amber</v>
      </c>
      <c r="N300" s="3"/>
      <c r="O300" t="str">
        <f>IF($I300&lt;&gt;"Complete",IF(COUNTIFS($A$4:$A299,$A300,$B$4:$B299,$B300,$I$4:$I299,"&lt;&gt;Complete")=0,$A300&amp;"|"&amp;$B300,""),"")</f>
        <v>|</v>
      </c>
      <c r="P300" t="str">
        <f ca="1">IF($K300="Yes",COUNTIFS($K$4:$K300,"Yes"),"")</f>
        <v/>
      </c>
      <c r="Q300">
        <f t="shared" ca="1" si="15"/>
        <v>0</v>
      </c>
      <c r="R300" t="str">
        <f ca="1">IF($Q300=1,SUM($Q$4:$Q300),"")</f>
        <v/>
      </c>
    </row>
    <row r="301" spans="1:18" ht="22.5" customHeight="1" x14ac:dyDescent="0.3">
      <c r="A301" s="2"/>
      <c r="B301" s="2"/>
      <c r="C301" s="3"/>
      <c r="D301" s="3"/>
      <c r="E301" s="2"/>
      <c r="F301" s="2"/>
      <c r="G301" s="5"/>
      <c r="H301" s="5"/>
      <c r="I301" s="4"/>
      <c r="J301" s="6" t="str">
        <f t="shared" si="14"/>
        <v/>
      </c>
      <c r="K301" s="4" t="str">
        <f t="shared" ca="1" si="16"/>
        <v/>
      </c>
      <c r="L301" s="7" t="str">
        <f>IF($H301="","",$H301-'[2]Read Me'!$B$4)</f>
        <v/>
      </c>
      <c r="M301" s="4" t="str">
        <f>IF($I301="Complete","Green",IF($H301="","Amber",IF($H301&lt;'[2]Read Me'!$B$4,"Red",IF($H301-'[2]Read Me'!$B$4&lt;=21,"Amber","Green"))))</f>
        <v>Amber</v>
      </c>
      <c r="N301" s="3"/>
      <c r="O301" t="str">
        <f>IF($I301&lt;&gt;"Complete",IF(COUNTIFS($A$4:$A300,$A301,$B$4:$B300,$B301,$I$4:$I300,"&lt;&gt;Complete")=0,$A301&amp;"|"&amp;$B301,""),"")</f>
        <v>|</v>
      </c>
      <c r="P301" t="str">
        <f ca="1">IF($K301="Yes",COUNTIFS($K$4:$K301,"Yes"),"")</f>
        <v/>
      </c>
      <c r="Q301">
        <f t="shared" ca="1" si="15"/>
        <v>0</v>
      </c>
      <c r="R301" t="str">
        <f ca="1">IF($Q301=1,SUM($Q$4:$Q301),"")</f>
        <v/>
      </c>
    </row>
    <row r="302" spans="1:18" ht="22.5" customHeight="1" x14ac:dyDescent="0.3">
      <c r="A302" s="2"/>
      <c r="B302" s="2"/>
      <c r="C302" s="3"/>
      <c r="D302" s="3"/>
      <c r="E302" s="2"/>
      <c r="F302" s="2"/>
      <c r="G302" s="5"/>
      <c r="H302" s="5"/>
      <c r="I302" s="4"/>
      <c r="J302" s="6" t="str">
        <f t="shared" si="14"/>
        <v/>
      </c>
      <c r="K302" s="4" t="str">
        <f t="shared" ca="1" si="16"/>
        <v/>
      </c>
      <c r="L302" s="7" t="str">
        <f>IF($H302="","",$H302-'[2]Read Me'!$B$4)</f>
        <v/>
      </c>
      <c r="M302" s="4" t="str">
        <f>IF($I302="Complete","Green",IF($H302="","Amber",IF($H302&lt;'[2]Read Me'!$B$4,"Red",IF($H302-'[2]Read Me'!$B$4&lt;=21,"Amber","Green"))))</f>
        <v>Amber</v>
      </c>
      <c r="N302" s="3"/>
      <c r="O302" t="str">
        <f>IF($I302&lt;&gt;"Complete",IF(COUNTIFS($A$4:$A301,$A302,$B$4:$B301,$B302,$I$4:$I301,"&lt;&gt;Complete")=0,$A302&amp;"|"&amp;$B302,""),"")</f>
        <v>|</v>
      </c>
      <c r="P302" t="str">
        <f ca="1">IF($K302="Yes",COUNTIFS($K$4:$K302,"Yes"),"")</f>
        <v/>
      </c>
      <c r="Q302">
        <f t="shared" ca="1" si="15"/>
        <v>0</v>
      </c>
      <c r="R302" t="str">
        <f ca="1">IF($Q302=1,SUM($Q$4:$Q302),"")</f>
        <v/>
      </c>
    </row>
    <row r="303" spans="1:18" ht="22.5" customHeight="1" x14ac:dyDescent="0.3">
      <c r="A303" s="2"/>
      <c r="B303" s="2"/>
      <c r="C303" s="3"/>
      <c r="D303" s="3"/>
      <c r="E303" s="2"/>
      <c r="F303" s="2"/>
      <c r="G303" s="5"/>
      <c r="H303" s="5"/>
      <c r="I303" s="4"/>
      <c r="J303" s="6" t="str">
        <f t="shared" si="14"/>
        <v/>
      </c>
      <c r="K303" s="4" t="str">
        <f t="shared" ca="1" si="16"/>
        <v/>
      </c>
      <c r="L303" s="7" t="str">
        <f>IF($H303="","",$H303-'[2]Read Me'!$B$4)</f>
        <v/>
      </c>
      <c r="M303" s="4" t="str">
        <f>IF($I303="Complete","Green",IF($H303="","Amber",IF($H303&lt;'[2]Read Me'!$B$4,"Red",IF($H303-'[2]Read Me'!$B$4&lt;=21,"Amber","Green"))))</f>
        <v>Amber</v>
      </c>
      <c r="N303" s="3"/>
      <c r="O303" t="str">
        <f>IF($I303&lt;&gt;"Complete",IF(COUNTIFS($A$4:$A302,$A303,$B$4:$B302,$B303,$I$4:$I302,"&lt;&gt;Complete")=0,$A303&amp;"|"&amp;$B303,""),"")</f>
        <v>|</v>
      </c>
      <c r="P303" t="str">
        <f ca="1">IF($K303="Yes",COUNTIFS($K$4:$K303,"Yes"),"")</f>
        <v/>
      </c>
      <c r="Q303">
        <f t="shared" ca="1" si="15"/>
        <v>0</v>
      </c>
      <c r="R303" t="str">
        <f ca="1">IF($Q303=1,SUM($Q$4:$Q303),"")</f>
        <v/>
      </c>
    </row>
    <row r="304" spans="1:18" ht="22.5" customHeight="1" x14ac:dyDescent="0.3">
      <c r="A304" s="2"/>
      <c r="B304" s="2"/>
      <c r="C304" s="3"/>
      <c r="D304" s="3"/>
      <c r="E304" s="2"/>
      <c r="F304" s="2"/>
      <c r="G304" s="5"/>
      <c r="H304" s="5"/>
      <c r="I304" s="4"/>
      <c r="J304" s="6" t="str">
        <f t="shared" si="14"/>
        <v/>
      </c>
      <c r="K304" s="4" t="str">
        <f t="shared" ca="1" si="16"/>
        <v/>
      </c>
      <c r="L304" s="7" t="str">
        <f>IF($H304="","",$H304-'[2]Read Me'!$B$4)</f>
        <v/>
      </c>
      <c r="M304" s="4" t="str">
        <f>IF($I304="Complete","Green",IF($H304="","Amber",IF($H304&lt;'[2]Read Me'!$B$4,"Red",IF($H304-'[2]Read Me'!$B$4&lt;=21,"Amber","Green"))))</f>
        <v>Amber</v>
      </c>
      <c r="N304" s="3"/>
      <c r="O304" t="str">
        <f>IF($I304&lt;&gt;"Complete",IF(COUNTIFS($A$4:$A303,$A304,$B$4:$B303,$B304,$I$4:$I303,"&lt;&gt;Complete")=0,$A304&amp;"|"&amp;$B304,""),"")</f>
        <v>|</v>
      </c>
      <c r="P304" t="str">
        <f ca="1">IF($K304="Yes",COUNTIFS($K$4:$K304,"Yes"),"")</f>
        <v/>
      </c>
      <c r="Q304">
        <f t="shared" ca="1" si="15"/>
        <v>0</v>
      </c>
      <c r="R304" t="str">
        <f ca="1">IF($Q304=1,SUM($Q$4:$Q304),"")</f>
        <v/>
      </c>
    </row>
    <row r="305" spans="1:18" ht="22.5" customHeight="1" x14ac:dyDescent="0.3">
      <c r="A305" s="2"/>
      <c r="B305" s="2"/>
      <c r="C305" s="3"/>
      <c r="D305" s="3"/>
      <c r="E305" s="2"/>
      <c r="F305" s="2"/>
      <c r="G305" s="5"/>
      <c r="H305" s="5"/>
      <c r="I305" s="4"/>
      <c r="J305" s="6" t="str">
        <f t="shared" si="14"/>
        <v/>
      </c>
      <c r="K305" s="4" t="str">
        <f t="shared" ca="1" si="16"/>
        <v/>
      </c>
      <c r="L305" s="7" t="str">
        <f>IF($H305="","",$H305-'[2]Read Me'!$B$4)</f>
        <v/>
      </c>
      <c r="M305" s="4" t="str">
        <f>IF($I305="Complete","Green",IF($H305="","Amber",IF($H305&lt;'[2]Read Me'!$B$4,"Red",IF($H305-'[2]Read Me'!$B$4&lt;=21,"Amber","Green"))))</f>
        <v>Amber</v>
      </c>
      <c r="N305" s="3"/>
      <c r="O305" t="str">
        <f>IF($I305&lt;&gt;"Complete",IF(COUNTIFS($A$4:$A304,$A305,$B$4:$B304,$B305,$I$4:$I304,"&lt;&gt;Complete")=0,$A305&amp;"|"&amp;$B305,""),"")</f>
        <v>|</v>
      </c>
      <c r="P305" t="str">
        <f ca="1">IF($K305="Yes",COUNTIFS($K$4:$K305,"Yes"),"")</f>
        <v/>
      </c>
      <c r="Q305">
        <f t="shared" ca="1" si="15"/>
        <v>0</v>
      </c>
      <c r="R305" t="str">
        <f ca="1">IF($Q305=1,SUM($Q$4:$Q305),"")</f>
        <v/>
      </c>
    </row>
    <row r="306" spans="1:18" ht="22.5" customHeight="1" x14ac:dyDescent="0.3">
      <c r="A306" s="2"/>
      <c r="B306" s="2"/>
      <c r="C306" s="3"/>
      <c r="D306" s="3"/>
      <c r="E306" s="2"/>
      <c r="F306" s="2"/>
      <c r="G306" s="5"/>
      <c r="H306" s="5"/>
      <c r="I306" s="4"/>
      <c r="J306" s="6" t="str">
        <f t="shared" si="14"/>
        <v/>
      </c>
      <c r="K306" s="4" t="str">
        <f t="shared" ca="1" si="16"/>
        <v/>
      </c>
      <c r="L306" s="7" t="str">
        <f>IF($H306="","",$H306-'[2]Read Me'!$B$4)</f>
        <v/>
      </c>
      <c r="M306" s="4" t="str">
        <f>IF($I306="Complete","Green",IF($H306="","Amber",IF($H306&lt;'[2]Read Me'!$B$4,"Red",IF($H306-'[2]Read Me'!$B$4&lt;=21,"Amber","Green"))))</f>
        <v>Amber</v>
      </c>
      <c r="N306" s="3"/>
      <c r="O306" t="str">
        <f>IF($I306&lt;&gt;"Complete",IF(COUNTIFS($A$4:$A305,$A306,$B$4:$B305,$B306,$I$4:$I305,"&lt;&gt;Complete")=0,$A306&amp;"|"&amp;$B306,""),"")</f>
        <v>|</v>
      </c>
      <c r="P306" t="str">
        <f ca="1">IF($K306="Yes",COUNTIFS($K$4:$K306,"Yes"),"")</f>
        <v/>
      </c>
      <c r="Q306">
        <f t="shared" ca="1" si="15"/>
        <v>0</v>
      </c>
      <c r="R306" t="str">
        <f ca="1">IF($Q306=1,SUM($Q$4:$Q306),"")</f>
        <v/>
      </c>
    </row>
    <row r="307" spans="1:18" ht="22.5" customHeight="1" x14ac:dyDescent="0.3">
      <c r="A307" s="2"/>
      <c r="B307" s="2"/>
      <c r="C307" s="3"/>
      <c r="D307" s="3"/>
      <c r="E307" s="2"/>
      <c r="F307" s="2"/>
      <c r="G307" s="5"/>
      <c r="H307" s="5"/>
      <c r="I307" s="4"/>
      <c r="J307" s="6" t="str">
        <f t="shared" si="14"/>
        <v/>
      </c>
      <c r="K307" s="4" t="str">
        <f t="shared" ca="1" si="16"/>
        <v/>
      </c>
      <c r="L307" s="7" t="str">
        <f>IF($H307="","",$H307-'[2]Read Me'!$B$4)</f>
        <v/>
      </c>
      <c r="M307" s="4" t="str">
        <f>IF($I307="Complete","Green",IF($H307="","Amber",IF($H307&lt;'[2]Read Me'!$B$4,"Red",IF($H307-'[2]Read Me'!$B$4&lt;=21,"Amber","Green"))))</f>
        <v>Amber</v>
      </c>
      <c r="N307" s="3"/>
      <c r="O307" t="str">
        <f>IF($I307&lt;&gt;"Complete",IF(COUNTIFS($A$4:$A306,$A307,$B$4:$B306,$B307,$I$4:$I306,"&lt;&gt;Complete")=0,$A307&amp;"|"&amp;$B307,""),"")</f>
        <v>|</v>
      </c>
      <c r="P307" t="str">
        <f ca="1">IF($K307="Yes",COUNTIFS($K$4:$K307,"Yes"),"")</f>
        <v/>
      </c>
      <c r="Q307">
        <f t="shared" ca="1" si="15"/>
        <v>0</v>
      </c>
      <c r="R307" t="str">
        <f ca="1">IF($Q307=1,SUM($Q$4:$Q307),"")</f>
        <v/>
      </c>
    </row>
    <row r="308" spans="1:18" ht="22.5" customHeight="1" x14ac:dyDescent="0.3">
      <c r="A308" s="2"/>
      <c r="B308" s="2"/>
      <c r="C308" s="3"/>
      <c r="D308" s="3"/>
      <c r="E308" s="2"/>
      <c r="F308" s="2"/>
      <c r="G308" s="5"/>
      <c r="H308" s="5"/>
      <c r="I308" s="4"/>
      <c r="J308" s="6" t="str">
        <f t="shared" si="14"/>
        <v/>
      </c>
      <c r="K308" s="4" t="str">
        <f t="shared" ca="1" si="16"/>
        <v/>
      </c>
      <c r="L308" s="7" t="str">
        <f>IF($H308="","",$H308-'[2]Read Me'!$B$4)</f>
        <v/>
      </c>
      <c r="M308" s="4" t="str">
        <f>IF($I308="Complete","Green",IF($H308="","Amber",IF($H308&lt;'[2]Read Me'!$B$4,"Red",IF($H308-'[2]Read Me'!$B$4&lt;=21,"Amber","Green"))))</f>
        <v>Amber</v>
      </c>
      <c r="N308" s="3"/>
      <c r="O308" t="str">
        <f>IF($I308&lt;&gt;"Complete",IF(COUNTIFS($A$4:$A307,$A308,$B$4:$B307,$B308,$I$4:$I307,"&lt;&gt;Complete")=0,$A308&amp;"|"&amp;$B308,""),"")</f>
        <v>|</v>
      </c>
      <c r="P308" t="str">
        <f ca="1">IF($K308="Yes",COUNTIFS($K$4:$K308,"Yes"),"")</f>
        <v/>
      </c>
      <c r="Q308">
        <f t="shared" ca="1" si="15"/>
        <v>0</v>
      </c>
      <c r="R308" t="str">
        <f ca="1">IF($Q308=1,SUM($Q$4:$Q308),"")</f>
        <v/>
      </c>
    </row>
    <row r="309" spans="1:18" ht="22.5" customHeight="1" x14ac:dyDescent="0.3">
      <c r="A309" s="2"/>
      <c r="B309" s="2"/>
      <c r="C309" s="3"/>
      <c r="D309" s="3"/>
      <c r="E309" s="2"/>
      <c r="F309" s="2"/>
      <c r="G309" s="5"/>
      <c r="H309" s="5"/>
      <c r="I309" s="4"/>
      <c r="J309" s="6" t="str">
        <f t="shared" si="14"/>
        <v/>
      </c>
      <c r="K309" s="4" t="str">
        <f t="shared" ca="1" si="16"/>
        <v/>
      </c>
      <c r="L309" s="7" t="str">
        <f>IF($H309="","",$H309-'[2]Read Me'!$B$4)</f>
        <v/>
      </c>
      <c r="M309" s="4" t="str">
        <f>IF($I309="Complete","Green",IF($H309="","Amber",IF($H309&lt;'[2]Read Me'!$B$4,"Red",IF($H309-'[2]Read Me'!$B$4&lt;=21,"Amber","Green"))))</f>
        <v>Amber</v>
      </c>
      <c r="N309" s="3"/>
      <c r="O309" t="str">
        <f>IF($I309&lt;&gt;"Complete",IF(COUNTIFS($A$4:$A308,$A309,$B$4:$B308,$B309,$I$4:$I308,"&lt;&gt;Complete")=0,$A309&amp;"|"&amp;$B309,""),"")</f>
        <v>|</v>
      </c>
      <c r="P309" t="str">
        <f ca="1">IF($K309="Yes",COUNTIFS($K$4:$K309,"Yes"),"")</f>
        <v/>
      </c>
      <c r="Q309">
        <f t="shared" ca="1" si="15"/>
        <v>0</v>
      </c>
      <c r="R309" t="str">
        <f ca="1">IF($Q309=1,SUM($Q$4:$Q309),"")</f>
        <v/>
      </c>
    </row>
    <row r="310" spans="1:18" ht="14.25" customHeight="1" x14ac:dyDescent="0.3">
      <c r="A310" s="2"/>
      <c r="B310" s="2"/>
      <c r="C310" s="3"/>
      <c r="D310" s="3"/>
      <c r="E310" s="2"/>
      <c r="F310" s="2"/>
      <c r="G310" s="5"/>
      <c r="H310" s="5"/>
      <c r="I310" s="4"/>
      <c r="J310" s="6" t="str">
        <f t="shared" si="14"/>
        <v/>
      </c>
      <c r="K310" s="4" t="str">
        <f t="shared" ca="1" si="16"/>
        <v/>
      </c>
      <c r="L310" s="7" t="str">
        <f>IF($H310="","",$H310-'[2]Read Me'!$B$4)</f>
        <v/>
      </c>
      <c r="M310" s="4" t="str">
        <f>IF($I310="Complete","Green",IF($H310="","Amber",IF($H310&lt;'[2]Read Me'!$B$4,"Red",IF($H310-'[2]Read Me'!$B$4&lt;=21,"Amber","Green"))))</f>
        <v>Amber</v>
      </c>
      <c r="N310" s="3"/>
      <c r="O310" t="str">
        <f>IF($I310&lt;&gt;"Complete",IF(COUNTIFS($A$4:$A309,$A310,$B$4:$B309,$B310,$I$4:$I309,"&lt;&gt;Complete")=0,$A310&amp;"|"&amp;$B310,""),"")</f>
        <v>|</v>
      </c>
      <c r="P310" t="str">
        <f ca="1">IF($K310="Yes",COUNTIFS($K$4:$K310,"Yes"),"")</f>
        <v/>
      </c>
      <c r="Q310">
        <f t="shared" ca="1" si="15"/>
        <v>0</v>
      </c>
      <c r="R310" t="str">
        <f ca="1">IF($Q310=1,SUM($Q$4:$Q310),"")</f>
        <v/>
      </c>
    </row>
    <row r="311" spans="1:18" ht="14.25" customHeight="1" x14ac:dyDescent="0.3">
      <c r="A311" s="2"/>
      <c r="B311" s="2"/>
      <c r="C311" s="3"/>
      <c r="D311" s="3"/>
      <c r="E311" s="2"/>
      <c r="F311" s="2"/>
      <c r="G311" s="5"/>
      <c r="H311" s="5"/>
      <c r="I311" s="4"/>
      <c r="J311" s="6" t="str">
        <f t="shared" si="14"/>
        <v/>
      </c>
      <c r="K311" s="4" t="str">
        <f t="shared" ca="1" si="16"/>
        <v/>
      </c>
      <c r="L311" s="7" t="str">
        <f>IF($H311="","",$H311-'[2]Read Me'!$B$4)</f>
        <v/>
      </c>
      <c r="M311" s="4" t="str">
        <f>IF($I311="Complete","Green",IF($H311="","Amber",IF($H311&lt;'[2]Read Me'!$B$4,"Red",IF($H311-'[2]Read Me'!$B$4&lt;=21,"Amber","Green"))))</f>
        <v>Amber</v>
      </c>
      <c r="N311" s="3"/>
      <c r="O311" t="str">
        <f>IF($I311&lt;&gt;"Complete",IF(COUNTIFS($A$4:$A310,$A311,$B$4:$B310,$B311,$I$4:$I310,"&lt;&gt;Complete")=0,$A311&amp;"|"&amp;$B311,""),"")</f>
        <v>|</v>
      </c>
      <c r="P311" t="str">
        <f ca="1">IF($K311="Yes",COUNTIFS($K$4:$K311,"Yes"),"")</f>
        <v/>
      </c>
      <c r="Q311">
        <f t="shared" ca="1" si="15"/>
        <v>0</v>
      </c>
      <c r="R311" t="str">
        <f ca="1">IF($Q311=1,SUM($Q$4:$Q311),"")</f>
        <v/>
      </c>
    </row>
    <row r="312" spans="1:18" ht="14.25" customHeight="1" x14ac:dyDescent="0.3">
      <c r="A312" s="2"/>
      <c r="B312" s="2"/>
      <c r="C312" s="3"/>
      <c r="D312" s="3"/>
      <c r="E312" s="2"/>
      <c r="F312" s="2"/>
      <c r="G312" s="5"/>
      <c r="H312" s="5"/>
      <c r="I312" s="4"/>
      <c r="J312" s="6" t="str">
        <f t="shared" si="14"/>
        <v/>
      </c>
      <c r="K312" s="4" t="str">
        <f t="shared" ca="1" si="16"/>
        <v/>
      </c>
      <c r="L312" s="7" t="str">
        <f>IF($H312="","",$H312-'[2]Read Me'!$B$4)</f>
        <v/>
      </c>
      <c r="M312" s="4" t="str">
        <f>IF($I312="Complete","Green",IF($H312="","Amber",IF($H312&lt;'[2]Read Me'!$B$4,"Red",IF($H312-'[2]Read Me'!$B$4&lt;=21,"Amber","Green"))))</f>
        <v>Amber</v>
      </c>
      <c r="N312" s="3"/>
      <c r="O312" t="str">
        <f>IF($I312&lt;&gt;"Complete",IF(COUNTIFS($A$4:$A311,$A312,$B$4:$B311,$B312,$I$4:$I311,"&lt;&gt;Complete")=0,$A312&amp;"|"&amp;$B312,""),"")</f>
        <v>|</v>
      </c>
      <c r="P312" t="str">
        <f ca="1">IF($K312="Yes",COUNTIFS($K$4:$K312,"Yes"),"")</f>
        <v/>
      </c>
      <c r="Q312">
        <f t="shared" ca="1" si="15"/>
        <v>0</v>
      </c>
      <c r="R312" t="str">
        <f ca="1">IF($Q312=1,SUM($Q$4:$Q312),"")</f>
        <v/>
      </c>
    </row>
  </sheetData>
  <autoFilter ref="A3:N312" xr:uid="{00000000-0001-0000-0700-000000000000}"/>
  <mergeCells count="1">
    <mergeCell ref="A2:N2"/>
  </mergeCells>
  <conditionalFormatting sqref="A4:A2000">
    <cfRule type="expression" dxfId="87" priority="22" stopIfTrue="1">
      <formula>A4=""</formula>
    </cfRule>
    <cfRule type="expression" dxfId="86" priority="24">
      <formula>C4=""</formula>
    </cfRule>
  </conditionalFormatting>
  <conditionalFormatting sqref="B4:H2000">
    <cfRule type="expression" dxfId="85" priority="9" stopIfTrue="1">
      <formula>$A4=""</formula>
    </cfRule>
    <cfRule type="expression" dxfId="84" priority="10">
      <formula>$C4=""</formula>
    </cfRule>
  </conditionalFormatting>
  <conditionalFormatting sqref="I4:I142">
    <cfRule type="expression" dxfId="83" priority="7">
      <formula>EXACT($I4,"Completed")</formula>
    </cfRule>
    <cfRule type="expression" dxfId="82" priority="8">
      <formula>EXACT($I4,"Inprogress")</formula>
    </cfRule>
    <cfRule type="expression" dxfId="81" priority="29">
      <formula>EXACT($I4,"Overdue")</formula>
    </cfRule>
    <cfRule type="expression" dxfId="80" priority="28">
      <formula>EXACT($I4,"Not Started")</formula>
    </cfRule>
  </conditionalFormatting>
  <conditionalFormatting sqref="I4:I2000">
    <cfRule type="expression" dxfId="79" priority="31">
      <formula>$C4=""</formula>
    </cfRule>
    <cfRule type="expression" dxfId="78" priority="30" stopIfTrue="1">
      <formula>$A4=""</formula>
    </cfRule>
  </conditionalFormatting>
  <conditionalFormatting sqref="J4:J2000">
    <cfRule type="expression" dxfId="77" priority="5" stopIfTrue="1">
      <formula>$A4=""</formula>
    </cfRule>
    <cfRule type="expression" dxfId="76" priority="6">
      <formula>$C4=""</formula>
    </cfRule>
  </conditionalFormatting>
  <conditionalFormatting sqref="K4:K243">
    <cfRule type="expression" dxfId="75" priority="3">
      <formula>EXACT($K4,"No")</formula>
    </cfRule>
    <cfRule type="expression" dxfId="74" priority="4">
      <formula>EXACT($K4,"Yes")</formula>
    </cfRule>
    <cfRule type="expression" dxfId="73" priority="32">
      <formula>EXACT($K4,"-")</formula>
    </cfRule>
  </conditionalFormatting>
  <conditionalFormatting sqref="K4:K2000">
    <cfRule type="expression" dxfId="72" priority="34">
      <formula>$C4=""</formula>
    </cfRule>
    <cfRule type="expression" dxfId="71" priority="33" stopIfTrue="1">
      <formula>$A4=""</formula>
    </cfRule>
  </conditionalFormatting>
  <conditionalFormatting sqref="L4:L2000">
    <cfRule type="expression" dxfId="70" priority="1" stopIfTrue="1">
      <formula>$A4=""</formula>
    </cfRule>
    <cfRule type="expression" dxfId="69" priority="2">
      <formula>$C4=""</formula>
    </cfRule>
  </conditionalFormatting>
  <conditionalFormatting sqref="M4:M312">
    <cfRule type="cellIs" dxfId="68" priority="25" operator="equal">
      <formula>"Green"</formula>
    </cfRule>
    <cfRule type="cellIs" dxfId="67" priority="26" operator="equal">
      <formula>"Amber"</formula>
    </cfRule>
    <cfRule type="cellIs" dxfId="66" priority="27" operator="equal">
      <formula>"Red"</formula>
    </cfRule>
  </conditionalFormatting>
  <dataValidations count="1">
    <dataValidation type="list" allowBlank="1" sqref="I4:I312" xr:uid="{61B3DA4A-A2FC-40CE-9FB2-B4EE1C9FE37E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4621-262C-4F26-BDA2-EFA579B2262E}">
  <sheetPr codeName="Sheet3">
    <tabColor rgb="FF777777"/>
  </sheetPr>
  <dimension ref="A1:R312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181" sqref="H181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5.109375" bestFit="1" customWidth="1"/>
    <col min="8" max="8" width="16.77734375" customWidth="1"/>
    <col min="9" max="9" width="12" customWidth="1"/>
    <col min="10" max="11" width="8" customWidth="1"/>
    <col min="12" max="13" width="7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60</v>
      </c>
      <c r="B1" s="10"/>
      <c r="C1" s="10"/>
      <c r="D1" s="10"/>
      <c r="E1" s="10"/>
      <c r="F1" s="10"/>
      <c r="G1" s="11">
        <f>+MAX(G4:G2000)</f>
        <v>46901</v>
      </c>
      <c r="H1" s="11">
        <f>+MAX(H4:H2000)</f>
        <v>46936</v>
      </c>
      <c r="I1" s="12">
        <f t="shared" ref="I1" si="0">IF(OR($G1="",$H1=""),"",$H1-$G1)</f>
        <v>35</v>
      </c>
      <c r="J1" s="10"/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61</v>
      </c>
      <c r="B4" s="2" t="s">
        <v>62</v>
      </c>
      <c r="C4" s="3"/>
      <c r="D4" s="3"/>
      <c r="E4" s="2"/>
      <c r="F4" s="2"/>
      <c r="G4" s="5">
        <v>46418</v>
      </c>
      <c r="H4" s="5">
        <v>46453</v>
      </c>
      <c r="I4" s="2"/>
      <c r="J4" s="6">
        <f t="shared" ref="J4:J67" si="1">IF(OR($G4="",$H4=""),"",$H4-$G4)</f>
        <v>35</v>
      </c>
      <c r="K4" s="4" t="str">
        <f t="shared" ref="K4:K67" ca="1" si="2">IF(C4="","",IF(H4="","",IF($I4="completed","-",IF($H4&gt;TODAY(),"No","Yes"))))</f>
        <v/>
      </c>
      <c r="L4" s="7">
        <f>IF(I4="Completed","0",IF($H4="","",$H4-'[2]Read Me'!$B$4))</f>
        <v>266</v>
      </c>
      <c r="M4" s="4" t="str">
        <f>IF($I4="Complete","Green",IF($H4="","Amber",IF($H4&lt;'[2]Read Me'!$B$4,"Red",IF($H4-'[2]Read Me'!$B$4&lt;=21,"Amber","Green"))))</f>
        <v>Green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61</v>
      </c>
      <c r="B5" s="2" t="s">
        <v>62</v>
      </c>
      <c r="C5" s="3" t="s">
        <v>63</v>
      </c>
      <c r="D5" s="3" t="s">
        <v>64</v>
      </c>
      <c r="E5" s="2" t="s">
        <v>65</v>
      </c>
      <c r="F5" s="2" t="s">
        <v>66</v>
      </c>
      <c r="G5" s="5">
        <v>46159</v>
      </c>
      <c r="H5" s="5">
        <v>46187</v>
      </c>
      <c r="I5" s="2" t="s">
        <v>31</v>
      </c>
      <c r="J5" s="6">
        <f t="shared" si="1"/>
        <v>28</v>
      </c>
      <c r="K5" s="4" t="str">
        <f t="shared" ca="1" si="2"/>
        <v>-</v>
      </c>
      <c r="L5" s="7" t="str">
        <f>IF(I5="Completed","0",IF($H5="","",$H5-'[2]Read Me'!$B$4))</f>
        <v>0</v>
      </c>
      <c r="M5" s="4" t="str">
        <f>IF($I5="Complete","Green",IF($H5="","Amber",IF($H5&lt;'[2]Read Me'!$B$4,"Red",IF($H5-'[2]Read Me'!$B$4&lt;=21,"Amber","Green"))))</f>
        <v>Amber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61</v>
      </c>
      <c r="B6" s="2" t="s">
        <v>62</v>
      </c>
      <c r="C6" s="3" t="s">
        <v>63</v>
      </c>
      <c r="D6" s="3" t="s">
        <v>67</v>
      </c>
      <c r="E6" s="2" t="s">
        <v>65</v>
      </c>
      <c r="F6" s="2" t="s">
        <v>68</v>
      </c>
      <c r="G6" s="5">
        <v>46159</v>
      </c>
      <c r="H6" s="5">
        <v>46187</v>
      </c>
      <c r="I6" s="2" t="s">
        <v>31</v>
      </c>
      <c r="J6" s="6">
        <f t="shared" si="1"/>
        <v>28</v>
      </c>
      <c r="K6" s="4" t="str">
        <f t="shared" ca="1" si="2"/>
        <v>-</v>
      </c>
      <c r="L6" s="7" t="str">
        <f>IF(I6="Completed","0",IF($H6="","",$H6-'[2]Read Me'!$B$4))</f>
        <v>0</v>
      </c>
      <c r="M6" s="4" t="str">
        <f>IF($I6="Complete","Green",IF($H6="","Amber",IF($H6&lt;'[2]Read Me'!$B$4,"Red",IF($H6-'[2]Read Me'!$B$4&lt;=21,"Amber","Green"))))</f>
        <v>Amber</v>
      </c>
      <c r="N6" s="3"/>
      <c r="O6" t="str">
        <f>IF($I6&lt;&gt;"Complete",IF(COUNTIFS($A$4:$A5,$A6,$B$4:$B5,$B6,$I$4:$I5,"&lt;&gt;Complete")=0,$A6&amp;"|"&amp;$B6,""),"")</f>
        <v/>
      </c>
      <c r="P6" t="str">
        <f ca="1">IF($K6="Yes",COUNTIFS($K$4:$K6,"Yes"),"")</f>
        <v/>
      </c>
      <c r="Q6">
        <f t="shared" ca="1" si="3"/>
        <v>0</v>
      </c>
      <c r="R6" t="str">
        <f ca="1">IF($Q6=1,SUM($Q$4:$Q6),"")</f>
        <v/>
      </c>
    </row>
    <row r="7" spans="1:18" ht="33.75" customHeight="1" x14ac:dyDescent="0.3">
      <c r="A7" s="2" t="s">
        <v>61</v>
      </c>
      <c r="B7" s="2" t="s">
        <v>62</v>
      </c>
      <c r="C7" s="3" t="s">
        <v>63</v>
      </c>
      <c r="D7" s="3" t="s">
        <v>69</v>
      </c>
      <c r="E7" s="2" t="s">
        <v>65</v>
      </c>
      <c r="F7" s="2" t="s">
        <v>66</v>
      </c>
      <c r="G7" s="5">
        <v>46180</v>
      </c>
      <c r="H7" s="5">
        <v>46201</v>
      </c>
      <c r="I7" s="2" t="s">
        <v>46</v>
      </c>
      <c r="J7" s="6">
        <f t="shared" si="1"/>
        <v>21</v>
      </c>
      <c r="K7" s="4" t="str">
        <f t="shared" ca="1" si="2"/>
        <v>Yes</v>
      </c>
      <c r="L7" s="7">
        <f>IF(I7="Completed","0",IF($H7="","",$H7-'[2]Read Me'!$B$4))</f>
        <v>14</v>
      </c>
      <c r="M7" s="4" t="str">
        <f>IF($I7="Complete","Green",IF($H7="","Amber",IF($H7&lt;'[2]Read Me'!$B$4,"Red",IF($H7-'[2]Read Me'!$B$4&lt;=21,"Amber","Green"))))</f>
        <v>Amber</v>
      </c>
      <c r="N7" s="3"/>
      <c r="O7" t="str">
        <f>IF($I7&lt;&gt;"Complete",IF(COUNTIFS($A$4:$A6,$A7,$B$4:$B6,$B7,$I$4:$I6,"&lt;&gt;Complete")=0,$A7&amp;"|"&amp;$B7,""),"")</f>
        <v/>
      </c>
      <c r="P7">
        <f ca="1">IF($K7="Yes",COUNTIFS($K$4:$K7,"Yes"),"")</f>
        <v>1</v>
      </c>
      <c r="Q7">
        <f t="shared" ca="1" si="3"/>
        <v>1</v>
      </c>
      <c r="R7">
        <f ca="1">IF($Q7=1,SUM($Q$4:$Q7),"")</f>
        <v>1</v>
      </c>
    </row>
    <row r="8" spans="1:18" ht="33.75" customHeight="1" x14ac:dyDescent="0.3">
      <c r="A8" s="2" t="s">
        <v>61</v>
      </c>
      <c r="B8" s="2" t="s">
        <v>62</v>
      </c>
      <c r="C8" s="3" t="s">
        <v>63</v>
      </c>
      <c r="D8" s="3" t="s">
        <v>70</v>
      </c>
      <c r="E8" s="2" t="s">
        <v>65</v>
      </c>
      <c r="F8" s="2" t="s">
        <v>68</v>
      </c>
      <c r="G8" s="5">
        <v>46194</v>
      </c>
      <c r="H8" s="5">
        <v>46215</v>
      </c>
      <c r="I8" s="2" t="s">
        <v>17</v>
      </c>
      <c r="J8" s="6">
        <f t="shared" si="1"/>
        <v>21</v>
      </c>
      <c r="K8" s="4" t="str">
        <f t="shared" ca="1" si="2"/>
        <v>No</v>
      </c>
      <c r="L8" s="7">
        <f>IF(I8="Completed","0",IF($H8="","",$H8-'[2]Read Me'!$B$4))</f>
        <v>28</v>
      </c>
      <c r="M8" s="4" t="str">
        <f>IF($I8="Complete","Green",IF($H8="","Amber",IF($H8&lt;'[2]Read Me'!$B$4,"Red",IF($H8-'[2]Read Me'!$B$4&lt;=21,"Amber","Green"))))</f>
        <v>Green</v>
      </c>
      <c r="N8" s="3"/>
      <c r="O8" t="str">
        <f>IF($I8&lt;&gt;"Complete",IF(COUNTIFS($A$4:$A7,$A8,$B$4:$B7,$B8,$I$4:$I7,"&lt;&gt;Complete")=0,$A8&amp;"|"&amp;$B8,""),"")</f>
        <v/>
      </c>
      <c r="P8" t="str">
        <f ca="1">IF($K8="Yes",COUNTIFS($K$4:$K8,"Yes"),"")</f>
        <v/>
      </c>
      <c r="Q8">
        <f t="shared" ca="1" si="3"/>
        <v>0</v>
      </c>
      <c r="R8" t="str">
        <f ca="1">IF($Q8=1,SUM($Q$4:$Q8),"")</f>
        <v/>
      </c>
    </row>
    <row r="9" spans="1:18" ht="33.75" customHeight="1" x14ac:dyDescent="0.3">
      <c r="A9" s="2" t="s">
        <v>61</v>
      </c>
      <c r="B9" s="2" t="s">
        <v>62</v>
      </c>
      <c r="C9" s="3" t="s">
        <v>63</v>
      </c>
      <c r="D9" s="3" t="s">
        <v>71</v>
      </c>
      <c r="E9" s="2" t="s">
        <v>65</v>
      </c>
      <c r="F9" s="2" t="s">
        <v>66</v>
      </c>
      <c r="G9" s="5">
        <v>46173</v>
      </c>
      <c r="H9" s="5">
        <v>46229</v>
      </c>
      <c r="I9" s="2" t="s">
        <v>17</v>
      </c>
      <c r="J9" s="6">
        <f t="shared" si="1"/>
        <v>56</v>
      </c>
      <c r="K9" s="4" t="str">
        <f t="shared" ca="1" si="2"/>
        <v>No</v>
      </c>
      <c r="L9" s="7">
        <f>IF(I9="Completed","0",IF($H9="","",$H9-'[2]Read Me'!$B$4))</f>
        <v>42</v>
      </c>
      <c r="M9" s="4" t="str">
        <f>IF($I9="Complete","Green",IF($H9="","Amber",IF($H9&lt;'[2]Read Me'!$B$4,"Red",IF($H9-'[2]Read Me'!$B$4&lt;=21,"Amber","Green"))))</f>
        <v>Green</v>
      </c>
      <c r="N9" s="3"/>
      <c r="O9" t="str">
        <f>IF($I9&lt;&gt;"Complete",IF(COUNTIFS($A$4:$A8,$A9,$B$4:$B8,$B9,$I$4:$I8,"&lt;&gt;Complete")=0,$A9&amp;"|"&amp;$B9,""),"")</f>
        <v/>
      </c>
      <c r="P9" t="str">
        <f ca="1">IF($K9="Yes",COUNTIFS($K$4:$K9,"Yes"),"")</f>
        <v/>
      </c>
      <c r="Q9">
        <f t="shared" ca="1" si="3"/>
        <v>0</v>
      </c>
      <c r="R9" t="str">
        <f ca="1">IF($Q9=1,SUM($Q$4:$Q9),"")</f>
        <v/>
      </c>
    </row>
    <row r="10" spans="1:18" ht="33.75" customHeight="1" x14ac:dyDescent="0.3">
      <c r="A10" s="2" t="s">
        <v>61</v>
      </c>
      <c r="B10" s="2" t="s">
        <v>62</v>
      </c>
      <c r="C10" s="3" t="s">
        <v>63</v>
      </c>
      <c r="D10" s="3" t="s">
        <v>47</v>
      </c>
      <c r="E10" s="2" t="s">
        <v>65</v>
      </c>
      <c r="F10" s="2" t="s">
        <v>68</v>
      </c>
      <c r="G10" s="5">
        <v>46187</v>
      </c>
      <c r="H10" s="5">
        <v>46243</v>
      </c>
      <c r="I10" s="2" t="s">
        <v>17</v>
      </c>
      <c r="J10" s="6">
        <f t="shared" si="1"/>
        <v>56</v>
      </c>
      <c r="K10" s="4" t="str">
        <f t="shared" ca="1" si="2"/>
        <v>No</v>
      </c>
      <c r="L10" s="7">
        <f>IF(I10="Completed","0",IF($H10="","",$H10-'[2]Read Me'!$B$4))</f>
        <v>56</v>
      </c>
      <c r="M10" s="4" t="str">
        <f>IF($I10="Complete","Green",IF($H10="","Amber",IF($H10&lt;'[2]Read Me'!$B$4,"Red",IF($H10-'[2]Read Me'!$B$4&lt;=21,"Amber","Green"))))</f>
        <v>Green</v>
      </c>
      <c r="N10" s="3"/>
      <c r="O10" t="str">
        <f>IF($I10&lt;&gt;"Complete",IF(COUNTIFS($A$4:$A9,$A10,$B$4:$B9,$B10,$I$4:$I9,"&lt;&gt;Complete")=0,$A10&amp;"|"&amp;$B10,""),"")</f>
        <v/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61</v>
      </c>
      <c r="B11" s="2" t="s">
        <v>62</v>
      </c>
      <c r="C11" s="3" t="s">
        <v>63</v>
      </c>
      <c r="D11" s="3" t="s">
        <v>72</v>
      </c>
      <c r="E11" s="2" t="s">
        <v>65</v>
      </c>
      <c r="F11" s="2" t="s">
        <v>66</v>
      </c>
      <c r="G11" s="5">
        <v>46180</v>
      </c>
      <c r="H11" s="5">
        <v>46215</v>
      </c>
      <c r="I11" s="2" t="s">
        <v>17</v>
      </c>
      <c r="J11" s="6">
        <f t="shared" si="1"/>
        <v>35</v>
      </c>
      <c r="K11" s="4" t="str">
        <f t="shared" ca="1" si="2"/>
        <v>No</v>
      </c>
      <c r="L11" s="7">
        <f>IF(I11="Completed","0",IF($H11="","",$H11-'[2]Read Me'!$B$4))</f>
        <v>28</v>
      </c>
      <c r="M11" s="4" t="str">
        <f>IF($I11="Complete","Green",IF($H11="","Amber",IF($H11&lt;'[2]Read Me'!$B$4,"Red",IF($H11-'[2]Read Me'!$B$4&lt;=21,"Amber","Green"))))</f>
        <v>Green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61</v>
      </c>
      <c r="B12" s="2" t="s">
        <v>62</v>
      </c>
      <c r="C12" s="3" t="s">
        <v>63</v>
      </c>
      <c r="D12" s="3" t="s">
        <v>70</v>
      </c>
      <c r="E12" s="2" t="s">
        <v>65</v>
      </c>
      <c r="F12" s="2" t="s">
        <v>68</v>
      </c>
      <c r="G12" s="5">
        <v>46194</v>
      </c>
      <c r="H12" s="5">
        <v>46229</v>
      </c>
      <c r="I12" s="2" t="s">
        <v>17</v>
      </c>
      <c r="J12" s="6">
        <f t="shared" si="1"/>
        <v>35</v>
      </c>
      <c r="K12" s="4" t="str">
        <f t="shared" ca="1" si="2"/>
        <v>No</v>
      </c>
      <c r="L12" s="7">
        <f>IF(I12="Completed","0",IF($H12="","",$H12-'[2]Read Me'!$B$4))</f>
        <v>42</v>
      </c>
      <c r="M12" s="4" t="str">
        <f>IF($I12="Complete","Green",IF($H12="","Amber",IF($H12&lt;'[2]Read Me'!$B$4,"Red",IF($H12-'[2]Read Me'!$B$4&lt;=21,"Amber","Green"))))</f>
        <v>Green</v>
      </c>
      <c r="N12" s="3"/>
      <c r="O12" t="str">
        <f>IF($I12&lt;&gt;"Complete",IF(COUNTIFS($A$4:$A11,$A12,$B$4:$B11,$B12,$I$4:$I11,"&lt;&gt;Complete")=0,$A12&amp;"|"&amp;$B12,""),"")</f>
        <v/>
      </c>
      <c r="P12" t="str">
        <f ca="1">IF($K12="Yes",COUNTIFS($K$4:$K12,"Yes"),"")</f>
        <v/>
      </c>
      <c r="Q12">
        <f t="shared" ca="1" si="3"/>
        <v>0</v>
      </c>
      <c r="R12" t="str">
        <f ca="1">IF($Q12=1,SUM($Q$4:$Q12),"")</f>
        <v/>
      </c>
    </row>
    <row r="13" spans="1:18" ht="33.75" customHeight="1" x14ac:dyDescent="0.3">
      <c r="A13" s="2" t="s">
        <v>61</v>
      </c>
      <c r="B13" s="2" t="s">
        <v>62</v>
      </c>
      <c r="C13" s="3" t="s">
        <v>63</v>
      </c>
      <c r="D13" s="3" t="s">
        <v>73</v>
      </c>
      <c r="E13" s="2" t="s">
        <v>65</v>
      </c>
      <c r="F13" s="2" t="s">
        <v>66</v>
      </c>
      <c r="G13" s="5">
        <v>46236</v>
      </c>
      <c r="H13" s="5">
        <v>46243</v>
      </c>
      <c r="I13" s="2" t="s">
        <v>17</v>
      </c>
      <c r="J13" s="6">
        <f t="shared" si="1"/>
        <v>7</v>
      </c>
      <c r="K13" s="4" t="str">
        <f t="shared" ca="1" si="2"/>
        <v>No</v>
      </c>
      <c r="L13" s="7">
        <f>IF(I13="Completed","0",IF($H13="","",$H13-'[2]Read Me'!$B$4))</f>
        <v>56</v>
      </c>
      <c r="M13" s="4" t="str">
        <f>IF($I13="Complete","Green",IF($H13="","Amber",IF($H13&lt;'[2]Read Me'!$B$4,"Red",IF($H13-'[2]Read Me'!$B$4&lt;=21,"Amber","Green"))))</f>
        <v>Green</v>
      </c>
      <c r="N13" s="3"/>
      <c r="O13" t="str">
        <f>IF($I13&lt;&gt;"Complete",IF(COUNTIFS($A$4:$A12,$A13,$B$4:$B12,$B13,$I$4:$I12,"&lt;&gt;Complete")=0,$A13&amp;"|"&amp;$B13,""),"")</f>
        <v/>
      </c>
      <c r="P13" t="str">
        <f ca="1">IF($K13="Yes",COUNTIFS($K$4:$K13,"Yes"),"")</f>
        <v/>
      </c>
      <c r="Q13">
        <f t="shared" ca="1" si="3"/>
        <v>0</v>
      </c>
      <c r="R13" t="str">
        <f ca="1">IF($Q13=1,SUM($Q$4:$Q13),"")</f>
        <v/>
      </c>
    </row>
    <row r="14" spans="1:18" ht="33.75" customHeight="1" x14ac:dyDescent="0.3">
      <c r="A14" s="2" t="s">
        <v>61</v>
      </c>
      <c r="B14" s="2" t="s">
        <v>62</v>
      </c>
      <c r="C14" s="3" t="s">
        <v>63</v>
      </c>
      <c r="D14" s="3" t="s">
        <v>47</v>
      </c>
      <c r="E14" s="2" t="s">
        <v>65</v>
      </c>
      <c r="F14" s="2" t="s">
        <v>68</v>
      </c>
      <c r="G14" s="5">
        <v>46250</v>
      </c>
      <c r="H14" s="5">
        <v>46257</v>
      </c>
      <c r="I14" s="2" t="s">
        <v>17</v>
      </c>
      <c r="J14" s="6">
        <f t="shared" si="1"/>
        <v>7</v>
      </c>
      <c r="K14" s="4" t="str">
        <f t="shared" ca="1" si="2"/>
        <v>No</v>
      </c>
      <c r="L14" s="7">
        <f>IF(I14="Completed","0",IF($H14="","",$H14-'[2]Read Me'!$B$4))</f>
        <v>70</v>
      </c>
      <c r="M14" s="4" t="str">
        <f>IF($I14="Complete","Green",IF($H14="","Amber",IF($H14&lt;'[2]Read Me'!$B$4,"Red",IF($H14-'[2]Read Me'!$B$4&lt;=21,"Amber","Green"))))</f>
        <v>Green</v>
      </c>
      <c r="N14" s="3"/>
      <c r="O14" t="str">
        <f>IF($I14&lt;&gt;"Complete",IF(COUNTIFS($A$4:$A13,$A14,$B$4:$B13,$B14,$I$4:$I13,"&lt;&gt;Complete")=0,$A14&amp;"|"&amp;$B14,""),"")</f>
        <v/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61</v>
      </c>
      <c r="B15" s="2" t="s">
        <v>62</v>
      </c>
      <c r="C15" s="3" t="s">
        <v>63</v>
      </c>
      <c r="D15" s="3" t="s">
        <v>74</v>
      </c>
      <c r="E15" s="2" t="s">
        <v>75</v>
      </c>
      <c r="F15" s="2" t="s">
        <v>76</v>
      </c>
      <c r="G15" s="5">
        <v>46173</v>
      </c>
      <c r="H15" s="5">
        <v>46271</v>
      </c>
      <c r="I15" s="2" t="s">
        <v>17</v>
      </c>
      <c r="J15" s="6">
        <f t="shared" si="1"/>
        <v>98</v>
      </c>
      <c r="K15" s="4" t="str">
        <f t="shared" ca="1" si="2"/>
        <v>No</v>
      </c>
      <c r="L15" s="7">
        <f>IF(I15="Completed","0",IF($H15="","",$H15-'[2]Read Me'!$B$4))</f>
        <v>84</v>
      </c>
      <c r="M15" s="4" t="str">
        <f>IF($I15="Complete","Green",IF($H15="","Amber",IF($H15&lt;'[2]Read Me'!$B$4,"Red",IF($H15-'[2]Read Me'!$B$4&lt;=21,"Amber","Green"))))</f>
        <v>Green</v>
      </c>
      <c r="N15" s="3"/>
      <c r="O15" t="str">
        <f>IF($I15&lt;&gt;"Complete",IF(COUNTIFS($A$4:$A14,$A15,$B$4:$B14,$B15,$I$4:$I14,"&lt;&gt;Complete")=0,$A15&amp;"|"&amp;$B15,""),"")</f>
        <v/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61</v>
      </c>
      <c r="B16" s="2" t="s">
        <v>62</v>
      </c>
      <c r="C16" s="3" t="s">
        <v>63</v>
      </c>
      <c r="D16" s="3" t="s">
        <v>67</v>
      </c>
      <c r="E16" s="2" t="s">
        <v>75</v>
      </c>
      <c r="F16" s="2" t="s">
        <v>77</v>
      </c>
      <c r="G16" s="5">
        <v>46173</v>
      </c>
      <c r="H16" s="5">
        <v>46271</v>
      </c>
      <c r="I16" s="2" t="s">
        <v>17</v>
      </c>
      <c r="J16" s="6">
        <f t="shared" si="1"/>
        <v>98</v>
      </c>
      <c r="K16" s="4" t="str">
        <f t="shared" ca="1" si="2"/>
        <v>No</v>
      </c>
      <c r="L16" s="7">
        <f>IF(I16="Completed","0",IF($H16="","",$H16-'[2]Read Me'!$B$4))</f>
        <v>84</v>
      </c>
      <c r="M16" s="4" t="str">
        <f>IF($I16="Complete","Green",IF($H16="","Amber",IF($H16&lt;'[2]Read Me'!$B$4,"Red",IF($H16-'[2]Read Me'!$B$4&lt;=21,"Amber","Green"))))</f>
        <v>Green</v>
      </c>
      <c r="N16" s="3"/>
      <c r="O16" t="str">
        <f>IF($I16&lt;&gt;"Complete",IF(COUNTIFS($A$4:$A15,$A16,$B$4:$B15,$B16,$I$4:$I15,"&lt;&gt;Complete")=0,$A16&amp;"|"&amp;$B16,""),"")</f>
        <v/>
      </c>
      <c r="P16" t="str">
        <f ca="1">IF($K16="Yes",COUNTIFS($K$4:$K16,"Yes"),"")</f>
        <v/>
      </c>
      <c r="Q16">
        <f t="shared" ca="1" si="3"/>
        <v>0</v>
      </c>
      <c r="R16" t="str">
        <f ca="1">IF($Q16=1,SUM($Q$4:$Q16),"")</f>
        <v/>
      </c>
    </row>
    <row r="17" spans="1:18" ht="33.75" customHeight="1" x14ac:dyDescent="0.3">
      <c r="A17" s="2" t="s">
        <v>61</v>
      </c>
      <c r="B17" s="2" t="s">
        <v>62</v>
      </c>
      <c r="C17" s="3" t="s">
        <v>63</v>
      </c>
      <c r="D17" s="3" t="s">
        <v>78</v>
      </c>
      <c r="E17" s="2" t="s">
        <v>75</v>
      </c>
      <c r="F17" s="2" t="s">
        <v>79</v>
      </c>
      <c r="G17" s="5">
        <v>46215</v>
      </c>
      <c r="H17" s="5">
        <v>46292</v>
      </c>
      <c r="I17" s="2" t="s">
        <v>17</v>
      </c>
      <c r="J17" s="6">
        <f t="shared" si="1"/>
        <v>77</v>
      </c>
      <c r="K17" s="4" t="str">
        <f t="shared" ca="1" si="2"/>
        <v>No</v>
      </c>
      <c r="L17" s="7">
        <f>IF(I17="Completed","0",IF($H17="","",$H17-'[2]Read Me'!$B$4))</f>
        <v>105</v>
      </c>
      <c r="M17" s="4" t="str">
        <f>IF($I17="Complete","Green",IF($H17="","Amber",IF($H17&lt;'[2]Read Me'!$B$4,"Red",IF($H17-'[2]Read Me'!$B$4&lt;=21,"Amber","Green"))))</f>
        <v>Green</v>
      </c>
      <c r="N17" s="3"/>
      <c r="O17" t="str">
        <f>IF($I17&lt;&gt;"Complete",IF(COUNTIFS($A$4:$A16,$A17,$B$4:$B16,$B17,$I$4:$I16,"&lt;&gt;Complete")=0,$A17&amp;"|"&amp;$B17,""),"")</f>
        <v/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61</v>
      </c>
      <c r="B18" s="2" t="s">
        <v>62</v>
      </c>
      <c r="C18" s="3" t="s">
        <v>63</v>
      </c>
      <c r="D18" s="3" t="s">
        <v>80</v>
      </c>
      <c r="E18" s="2" t="s">
        <v>75</v>
      </c>
      <c r="F18" s="2" t="s">
        <v>77</v>
      </c>
      <c r="G18" s="5">
        <v>46222</v>
      </c>
      <c r="H18" s="5">
        <v>46299</v>
      </c>
      <c r="I18" s="2" t="s">
        <v>17</v>
      </c>
      <c r="J18" s="6">
        <f t="shared" si="1"/>
        <v>77</v>
      </c>
      <c r="K18" s="4" t="str">
        <f t="shared" ca="1" si="2"/>
        <v>No</v>
      </c>
      <c r="L18" s="7">
        <f>IF(I18="Completed","0",IF($H18="","",$H18-'[2]Read Me'!$B$4))</f>
        <v>112</v>
      </c>
      <c r="M18" s="4" t="str">
        <f>IF($I18="Complete","Green",IF($H18="","Amber",IF($H18&lt;'[2]Read Me'!$B$4,"Red",IF($H18-'[2]Read Me'!$B$4&lt;=21,"Amber","Green"))))</f>
        <v>Green</v>
      </c>
      <c r="N18" s="3"/>
      <c r="O18" t="str">
        <f>IF($I18&lt;&gt;"Complete",IF(COUNTIFS($A$4:$A17,$A18,$B$4:$B17,$B18,$I$4:$I17,"&lt;&gt;Complete")=0,$A18&amp;"|"&amp;$B18,""),"")</f>
        <v/>
      </c>
      <c r="P18" t="str">
        <f ca="1">IF($K18="Yes",COUNTIFS($K$4:$K18,"Yes"),"")</f>
        <v/>
      </c>
      <c r="Q18">
        <f t="shared" ca="1" si="3"/>
        <v>0</v>
      </c>
      <c r="R18" t="str">
        <f ca="1">IF($Q18=1,SUM($Q$4:$Q18),"")</f>
        <v/>
      </c>
    </row>
    <row r="19" spans="1:18" ht="33.75" customHeight="1" x14ac:dyDescent="0.3">
      <c r="A19" s="2" t="s">
        <v>61</v>
      </c>
      <c r="B19" s="2" t="s">
        <v>62</v>
      </c>
      <c r="C19" s="3" t="s">
        <v>63</v>
      </c>
      <c r="D19" s="3" t="s">
        <v>18</v>
      </c>
      <c r="E19" s="2" t="s">
        <v>75</v>
      </c>
      <c r="F19" s="2" t="s">
        <v>79</v>
      </c>
      <c r="G19" s="5">
        <v>46285</v>
      </c>
      <c r="H19" s="5">
        <v>46320</v>
      </c>
      <c r="I19" s="2" t="s">
        <v>17</v>
      </c>
      <c r="J19" s="6">
        <f t="shared" si="1"/>
        <v>35</v>
      </c>
      <c r="K19" s="4" t="str">
        <f t="shared" ca="1" si="2"/>
        <v>No</v>
      </c>
      <c r="L19" s="7">
        <f>IF(I19="Completed","0",IF($H19="","",$H19-'[2]Read Me'!$B$4))</f>
        <v>133</v>
      </c>
      <c r="M19" s="4" t="str">
        <f>IF($I19="Complete","Green",IF($H19="","Amber",IF($H19&lt;'[2]Read Me'!$B$4,"Red",IF($H19-'[2]Read Me'!$B$4&lt;=21,"Amber","Green"))))</f>
        <v>Green</v>
      </c>
      <c r="N19" s="3"/>
      <c r="O19" t="str">
        <f>IF($I19&lt;&gt;"Complete",IF(COUNTIFS($A$4:$A18,$A19,$B$4:$B18,$B19,$I$4:$I18,"&lt;&gt;Complete")=0,$A19&amp;"|"&amp;$B19,""),"")</f>
        <v/>
      </c>
      <c r="P19" t="str">
        <f ca="1">IF($K19="Yes",COUNTIFS($K$4:$K19,"Yes"),"")</f>
        <v/>
      </c>
      <c r="Q19">
        <f t="shared" ca="1" si="3"/>
        <v>0</v>
      </c>
      <c r="R19" t="str">
        <f ca="1">IF($Q19=1,SUM($Q$4:$Q19),"")</f>
        <v/>
      </c>
    </row>
    <row r="20" spans="1:18" ht="33.75" customHeight="1" x14ac:dyDescent="0.3">
      <c r="A20" s="2" t="s">
        <v>61</v>
      </c>
      <c r="B20" s="2" t="s">
        <v>62</v>
      </c>
      <c r="C20" s="3" t="s">
        <v>63</v>
      </c>
      <c r="D20" s="3" t="s">
        <v>32</v>
      </c>
      <c r="E20" s="2" t="s">
        <v>75</v>
      </c>
      <c r="F20" s="2" t="s">
        <v>77</v>
      </c>
      <c r="G20" s="5">
        <v>46299</v>
      </c>
      <c r="H20" s="5">
        <v>46334</v>
      </c>
      <c r="I20" s="2" t="s">
        <v>17</v>
      </c>
      <c r="J20" s="6">
        <f t="shared" si="1"/>
        <v>35</v>
      </c>
      <c r="K20" s="4" t="str">
        <f t="shared" ca="1" si="2"/>
        <v>No</v>
      </c>
      <c r="L20" s="7">
        <f>IF(I20="Completed","0",IF($H20="","",$H20-'[2]Read Me'!$B$4))</f>
        <v>147</v>
      </c>
      <c r="M20" s="4" t="str">
        <f>IF($I20="Complete","Green",IF($H20="","Amber",IF($H20&lt;'[2]Read Me'!$B$4,"Red",IF($H20-'[2]Read Me'!$B$4&lt;=21,"Amber","Green"))))</f>
        <v>Green</v>
      </c>
      <c r="N20" s="3"/>
      <c r="O20" t="str">
        <f>IF($I20&lt;&gt;"Complete",IF(COUNTIFS($A$4:$A19,$A20,$B$4:$B19,$B20,$I$4:$I19,"&lt;&gt;Complete")=0,$A20&amp;"|"&amp;$B20,""),"")</f>
        <v/>
      </c>
      <c r="P20" t="str">
        <f ca="1">IF($K20="Yes",COUNTIFS($K$4:$K20,"Yes"),"")</f>
        <v/>
      </c>
      <c r="Q20">
        <f t="shared" ca="1" si="3"/>
        <v>0</v>
      </c>
      <c r="R20" t="str">
        <f ca="1">IF($Q20=1,SUM($Q$4:$Q20),"")</f>
        <v/>
      </c>
    </row>
    <row r="21" spans="1:18" ht="33.75" customHeight="1" x14ac:dyDescent="0.3">
      <c r="A21" s="2" t="s">
        <v>61</v>
      </c>
      <c r="B21" s="2" t="s">
        <v>62</v>
      </c>
      <c r="C21" s="3" t="s">
        <v>63</v>
      </c>
      <c r="D21" s="3" t="s">
        <v>19</v>
      </c>
      <c r="E21" s="2" t="s">
        <v>33</v>
      </c>
      <c r="F21" s="2" t="s">
        <v>81</v>
      </c>
      <c r="G21" s="5">
        <v>46306</v>
      </c>
      <c r="H21" s="5">
        <v>46341</v>
      </c>
      <c r="I21" s="2" t="s">
        <v>17</v>
      </c>
      <c r="J21" s="6">
        <f t="shared" si="1"/>
        <v>35</v>
      </c>
      <c r="K21" s="4" t="str">
        <f t="shared" ca="1" si="2"/>
        <v>No</v>
      </c>
      <c r="L21" s="7">
        <f>IF(I21="Completed","0",IF($H21="","",$H21-'[2]Read Me'!$B$4))</f>
        <v>154</v>
      </c>
      <c r="M21" s="4" t="str">
        <f>IF($I21="Complete","Green",IF($H21="","Amber",IF($H21&lt;'[2]Read Me'!$B$4,"Red",IF($H21-'[2]Read Me'!$B$4&lt;=21,"Amber","Green"))))</f>
        <v>Green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61</v>
      </c>
      <c r="B22" s="2" t="s">
        <v>62</v>
      </c>
      <c r="C22" s="3" t="s">
        <v>63</v>
      </c>
      <c r="D22" s="3" t="s">
        <v>82</v>
      </c>
      <c r="E22" s="2" t="s">
        <v>65</v>
      </c>
      <c r="F22" s="2"/>
      <c r="G22" s="5">
        <v>46313</v>
      </c>
      <c r="H22" s="5">
        <v>46348</v>
      </c>
      <c r="I22" s="2" t="s">
        <v>17</v>
      </c>
      <c r="J22" s="6">
        <f t="shared" si="1"/>
        <v>35</v>
      </c>
      <c r="K22" s="4" t="str">
        <f t="shared" ca="1" si="2"/>
        <v>No</v>
      </c>
      <c r="L22" s="7">
        <f>IF(I22="Completed","0",IF($H22="","",$H22-'[2]Read Me'!$B$4))</f>
        <v>161</v>
      </c>
      <c r="M22" s="4" t="str">
        <f>IF($I22="Complete","Green",IF($H22="","Amber",IF($H22&lt;'[2]Read Me'!$B$4,"Red",IF($H22-'[2]Read Me'!$B$4&lt;=21,"Amber","Green"))))</f>
        <v>Green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61</v>
      </c>
      <c r="B23" s="2" t="s">
        <v>62</v>
      </c>
      <c r="C23" s="3" t="s">
        <v>63</v>
      </c>
      <c r="D23" s="3" t="s">
        <v>14</v>
      </c>
      <c r="E23" s="2" t="s">
        <v>75</v>
      </c>
      <c r="F23" s="2" t="s">
        <v>79</v>
      </c>
      <c r="G23" s="5">
        <v>46327</v>
      </c>
      <c r="H23" s="5">
        <v>46362</v>
      </c>
      <c r="I23" s="2" t="s">
        <v>17</v>
      </c>
      <c r="J23" s="6">
        <f t="shared" si="1"/>
        <v>35</v>
      </c>
      <c r="K23" s="4" t="str">
        <f t="shared" ca="1" si="2"/>
        <v>No</v>
      </c>
      <c r="L23" s="7">
        <f>IF(I23="Completed","0",IF($H23="","",$H23-'[2]Read Me'!$B$4))</f>
        <v>175</v>
      </c>
      <c r="M23" s="4" t="str">
        <f>IF($I23="Complete","Green",IF($H23="","Amber",IF($H23&lt;'[2]Read Me'!$B$4,"Red",IF($H23-'[2]Read Me'!$B$4&lt;=21,"Amber","Green"))))</f>
        <v>Green</v>
      </c>
      <c r="N23" s="3"/>
      <c r="O23" t="str">
        <f>IF($I23&lt;&gt;"Complete",IF(COUNTIFS($A$4:$A22,$A23,$B$4:$B22,$B23,$I$4:$I22,"&lt;&gt;Complete")=0,$A23&amp;"|"&amp;$B23,""),"")</f>
        <v/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61</v>
      </c>
      <c r="B24" s="2" t="s">
        <v>62</v>
      </c>
      <c r="C24" s="3" t="s">
        <v>63</v>
      </c>
      <c r="D24" s="3" t="s">
        <v>34</v>
      </c>
      <c r="E24" s="2" t="s">
        <v>75</v>
      </c>
      <c r="F24" s="2" t="s">
        <v>77</v>
      </c>
      <c r="G24" s="5">
        <v>46341</v>
      </c>
      <c r="H24" s="5">
        <v>46376</v>
      </c>
      <c r="I24" s="2" t="s">
        <v>17</v>
      </c>
      <c r="J24" s="6">
        <f t="shared" si="1"/>
        <v>35</v>
      </c>
      <c r="K24" s="4" t="str">
        <f t="shared" ca="1" si="2"/>
        <v>No</v>
      </c>
      <c r="L24" s="7">
        <f>IF(I24="Completed","0",IF($H24="","",$H24-'[2]Read Me'!$B$4))</f>
        <v>189</v>
      </c>
      <c r="M24" s="4" t="str">
        <f>IF($I24="Complete","Green",IF($H24="","Amber",IF($H24&lt;'[2]Read Me'!$B$4,"Red",IF($H24-'[2]Read Me'!$B$4&lt;=21,"Amber","Green"))))</f>
        <v>Green</v>
      </c>
      <c r="N24" s="3"/>
      <c r="O24" t="str">
        <f>IF($I24&lt;&gt;"Complete",IF(COUNTIFS($A$4:$A23,$A24,$B$4:$B23,$B24,$I$4:$I23,"&lt;&gt;Complete")=0,$A24&amp;"|"&amp;$B24,""),"")</f>
        <v/>
      </c>
      <c r="P24" t="str">
        <f ca="1">IF($K24="Yes",COUNTIFS($K$4:$K24,"Yes"),"")</f>
        <v/>
      </c>
      <c r="Q24">
        <f t="shared" ca="1" si="3"/>
        <v>0</v>
      </c>
      <c r="R24" t="str">
        <f ca="1">IF($Q24=1,SUM($Q$4:$Q24),"")</f>
        <v/>
      </c>
    </row>
    <row r="25" spans="1:18" ht="33.75" customHeight="1" x14ac:dyDescent="0.3">
      <c r="A25" s="2" t="s">
        <v>61</v>
      </c>
      <c r="B25" s="2" t="s">
        <v>62</v>
      </c>
      <c r="C25" s="3" t="s">
        <v>63</v>
      </c>
      <c r="D25" s="3" t="s">
        <v>83</v>
      </c>
      <c r="E25" s="2" t="s">
        <v>75</v>
      </c>
      <c r="F25" s="2" t="s">
        <v>79</v>
      </c>
      <c r="G25" s="5">
        <v>46355</v>
      </c>
      <c r="H25" s="5">
        <v>46390</v>
      </c>
      <c r="I25" s="2" t="s">
        <v>17</v>
      </c>
      <c r="J25" s="6">
        <f t="shared" si="1"/>
        <v>35</v>
      </c>
      <c r="K25" s="4" t="str">
        <f t="shared" ca="1" si="2"/>
        <v>No</v>
      </c>
      <c r="L25" s="7">
        <f>IF(I25="Completed","0",IF($H25="","",$H25-'[2]Read Me'!$B$4))</f>
        <v>203</v>
      </c>
      <c r="M25" s="4" t="str">
        <f>IF($I25="Complete","Green",IF($H25="","Amber",IF($H25&lt;'[2]Read Me'!$B$4,"Red",IF($H25-'[2]Read Me'!$B$4&lt;=21,"Amber","Green"))))</f>
        <v>Green</v>
      </c>
      <c r="N25" s="3"/>
      <c r="O25" t="str">
        <f>IF($I25&lt;&gt;"Complete",IF(COUNTIFS($A$4:$A24,$A25,$B$4:$B24,$B25,$I$4:$I24,"&lt;&gt;Complete")=0,$A25&amp;"|"&amp;$B25,""),"")</f>
        <v/>
      </c>
      <c r="P25" t="str">
        <f ca="1">IF($K25="Yes",COUNTIFS($K$4:$K25,"Yes"),"")</f>
        <v/>
      </c>
      <c r="Q25">
        <f t="shared" ca="1" si="3"/>
        <v>0</v>
      </c>
      <c r="R25" t="str">
        <f ca="1">IF($Q25=1,SUM($Q$4:$Q25),"")</f>
        <v/>
      </c>
    </row>
    <row r="26" spans="1:18" ht="33.75" customHeight="1" x14ac:dyDescent="0.3">
      <c r="A26" s="2" t="s">
        <v>61</v>
      </c>
      <c r="B26" s="2" t="s">
        <v>62</v>
      </c>
      <c r="C26" s="3" t="s">
        <v>63</v>
      </c>
      <c r="D26" s="3" t="s">
        <v>84</v>
      </c>
      <c r="E26" s="2" t="s">
        <v>75</v>
      </c>
      <c r="F26" s="2" t="s">
        <v>77</v>
      </c>
      <c r="G26" s="5">
        <v>46362</v>
      </c>
      <c r="H26" s="5">
        <v>46397</v>
      </c>
      <c r="I26" s="2" t="s">
        <v>17</v>
      </c>
      <c r="J26" s="6">
        <f t="shared" si="1"/>
        <v>35</v>
      </c>
      <c r="K26" s="4" t="str">
        <f t="shared" ca="1" si="2"/>
        <v>No</v>
      </c>
      <c r="L26" s="7">
        <f>IF(I26="Completed","0",IF($H26="","",$H26-'[2]Read Me'!$B$4))</f>
        <v>210</v>
      </c>
      <c r="M26" s="4" t="str">
        <f>IF($I26="Complete","Green",IF($H26="","Amber",IF($H26&lt;'[2]Read Me'!$B$4,"Red",IF($H26-'[2]Read Me'!$B$4&lt;=21,"Amber","Green"))))</f>
        <v>Green</v>
      </c>
      <c r="N26" s="3"/>
      <c r="O26" t="str">
        <f>IF($I26&lt;&gt;"Complete",IF(COUNTIFS($A$4:$A25,$A26,$B$4:$B25,$B26,$I$4:$I25,"&lt;&gt;Complete")=0,$A26&amp;"|"&amp;$B26,""),"")</f>
        <v/>
      </c>
      <c r="P26" t="str">
        <f ca="1">IF($K26="Yes",COUNTIFS($K$4:$K26,"Yes"),"")</f>
        <v/>
      </c>
      <c r="Q26">
        <f t="shared" ca="1" si="3"/>
        <v>0</v>
      </c>
      <c r="R26" t="str">
        <f ca="1">IF($Q26=1,SUM($Q$4:$Q26),"")</f>
        <v/>
      </c>
    </row>
    <row r="27" spans="1:18" ht="33.75" customHeight="1" x14ac:dyDescent="0.3">
      <c r="A27" s="2" t="s">
        <v>61</v>
      </c>
      <c r="B27" s="2" t="s">
        <v>62</v>
      </c>
      <c r="C27" s="3" t="s">
        <v>63</v>
      </c>
      <c r="D27" s="3" t="s">
        <v>15</v>
      </c>
      <c r="E27" s="2" t="s">
        <v>75</v>
      </c>
      <c r="F27" s="2" t="s">
        <v>79</v>
      </c>
      <c r="G27" s="5">
        <v>46369</v>
      </c>
      <c r="H27" s="5">
        <v>46404</v>
      </c>
      <c r="I27" s="2" t="s">
        <v>17</v>
      </c>
      <c r="J27" s="6">
        <f t="shared" si="1"/>
        <v>35</v>
      </c>
      <c r="K27" s="4" t="str">
        <f t="shared" ca="1" si="2"/>
        <v>No</v>
      </c>
      <c r="L27" s="7">
        <f>IF(I27="Completed","0",IF($H27="","",$H27-'[2]Read Me'!$B$4))</f>
        <v>217</v>
      </c>
      <c r="M27" s="4" t="str">
        <f>IF($I27="Complete","Green",IF($H27="","Amber",IF($H27&lt;'[2]Read Me'!$B$4,"Red",IF($H27-'[2]Read Me'!$B$4&lt;=21,"Amber","Green"))))</f>
        <v>Green</v>
      </c>
      <c r="N27" s="3"/>
      <c r="O27" t="str">
        <f>IF($I27&lt;&gt;"Complete",IF(COUNTIFS($A$4:$A26,$A27,$B$4:$B26,$B27,$I$4:$I26,"&lt;&gt;Complete")=0,$A27&amp;"|"&amp;$B27,""),"")</f>
        <v/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61</v>
      </c>
      <c r="B28" s="2" t="s">
        <v>62</v>
      </c>
      <c r="C28" s="3" t="s">
        <v>63</v>
      </c>
      <c r="D28" s="3" t="s">
        <v>35</v>
      </c>
      <c r="E28" s="2" t="s">
        <v>75</v>
      </c>
      <c r="F28" s="2" t="s">
        <v>77</v>
      </c>
      <c r="G28" s="5">
        <v>46383</v>
      </c>
      <c r="H28" s="5">
        <v>46418</v>
      </c>
      <c r="I28" s="2" t="s">
        <v>17</v>
      </c>
      <c r="J28" s="6">
        <f t="shared" si="1"/>
        <v>35</v>
      </c>
      <c r="K28" s="4" t="str">
        <f t="shared" ca="1" si="2"/>
        <v>No</v>
      </c>
      <c r="L28" s="7">
        <f>IF(I28="Completed","0",IF($H28="","",$H28-'[2]Read Me'!$B$4))</f>
        <v>231</v>
      </c>
      <c r="M28" s="4" t="str">
        <f>IF($I28="Complete","Green",IF($H28="","Amber",IF($H28&lt;'[2]Read Me'!$B$4,"Red",IF($H28-'[2]Read Me'!$B$4&lt;=21,"Amber","Green"))))</f>
        <v>Green</v>
      </c>
      <c r="N28" s="3"/>
      <c r="O28" t="str">
        <f>IF($I28&lt;&gt;"Complete",IF(COUNTIFS($A$4:$A27,$A28,$B$4:$B27,$B28,$I$4:$I27,"&lt;&gt;Complete")=0,$A28&amp;"|"&amp;$B28,""),"")</f>
        <v/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61</v>
      </c>
      <c r="B29" s="2" t="s">
        <v>62</v>
      </c>
      <c r="C29" s="3" t="s">
        <v>63</v>
      </c>
      <c r="D29" s="3" t="s">
        <v>20</v>
      </c>
      <c r="E29" s="2" t="s">
        <v>33</v>
      </c>
      <c r="F29" s="2" t="s">
        <v>81</v>
      </c>
      <c r="G29" s="5">
        <v>46390</v>
      </c>
      <c r="H29" s="5">
        <v>46425</v>
      </c>
      <c r="I29" s="2" t="s">
        <v>17</v>
      </c>
      <c r="J29" s="6">
        <f t="shared" si="1"/>
        <v>35</v>
      </c>
      <c r="K29" s="4" t="str">
        <f t="shared" ca="1" si="2"/>
        <v>No</v>
      </c>
      <c r="L29" s="7">
        <f>IF(I29="Completed","0",IF($H29="","",$H29-'[2]Read Me'!$B$4))</f>
        <v>238</v>
      </c>
      <c r="M29" s="4" t="str">
        <f>IF($I29="Complete","Green",IF($H29="","Amber",IF($H29&lt;'[2]Read Me'!$B$4,"Red",IF($H29-'[2]Read Me'!$B$4&lt;=21,"Amber","Green"))))</f>
        <v>Green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61</v>
      </c>
      <c r="B30" s="2" t="s">
        <v>62</v>
      </c>
      <c r="C30" s="3" t="s">
        <v>63</v>
      </c>
      <c r="D30" s="3" t="s">
        <v>16</v>
      </c>
      <c r="E30" s="2" t="s">
        <v>75</v>
      </c>
      <c r="F30" s="2" t="s">
        <v>79</v>
      </c>
      <c r="G30" s="5">
        <v>46404</v>
      </c>
      <c r="H30" s="5">
        <v>46439</v>
      </c>
      <c r="I30" s="2" t="s">
        <v>17</v>
      </c>
      <c r="J30" s="6">
        <f t="shared" si="1"/>
        <v>35</v>
      </c>
      <c r="K30" s="4" t="str">
        <f t="shared" ca="1" si="2"/>
        <v>No</v>
      </c>
      <c r="L30" s="7">
        <f>IF(I30="Completed","0",IF($H30="","",$H30-'[2]Read Me'!$B$4))</f>
        <v>252</v>
      </c>
      <c r="M30" s="4" t="str">
        <f>IF($I30="Complete","Green",IF($H30="","Amber",IF($H30&lt;'[2]Read Me'!$B$4,"Red",IF($H30-'[2]Read Me'!$B$4&lt;=21,"Amber","Green"))))</f>
        <v>Green</v>
      </c>
      <c r="N30" s="3"/>
      <c r="O30" t="str">
        <f>IF($I30&lt;&gt;"Complete",IF(COUNTIFS($A$4:$A29,$A30,$B$4:$B29,$B30,$I$4:$I29,"&lt;&gt;Complete")=0,$A30&amp;"|"&amp;$B30,""),"")</f>
        <v/>
      </c>
      <c r="P30" t="str">
        <f ca="1">IF($K30="Yes",COUNTIFS($K$4:$K30,"Yes"),"")</f>
        <v/>
      </c>
      <c r="Q30">
        <f t="shared" ca="1" si="3"/>
        <v>0</v>
      </c>
      <c r="R30" t="str">
        <f ca="1">IF($Q30=1,SUM($Q$4:$Q30),"")</f>
        <v/>
      </c>
    </row>
    <row r="31" spans="1:18" ht="14.25" customHeight="1" x14ac:dyDescent="0.3">
      <c r="A31" s="2" t="s">
        <v>61</v>
      </c>
      <c r="B31" s="2" t="s">
        <v>62</v>
      </c>
      <c r="C31" s="3" t="s">
        <v>63</v>
      </c>
      <c r="D31" s="3" t="s">
        <v>37</v>
      </c>
      <c r="E31" s="2" t="s">
        <v>75</v>
      </c>
      <c r="F31" s="2" t="s">
        <v>77</v>
      </c>
      <c r="G31" s="5">
        <v>46418</v>
      </c>
      <c r="H31" s="5">
        <v>46453</v>
      </c>
      <c r="I31" s="2" t="s">
        <v>17</v>
      </c>
      <c r="J31" s="6">
        <f t="shared" si="1"/>
        <v>35</v>
      </c>
      <c r="K31" s="4" t="str">
        <f t="shared" ca="1" si="2"/>
        <v>No</v>
      </c>
      <c r="L31" s="7">
        <f>IF(I31="Completed","0",IF($H31="","",$H31-'[2]Read Me'!$B$4))</f>
        <v>266</v>
      </c>
      <c r="M31" s="4" t="str">
        <f>IF($I31="Complete","Green",IF($H31="","Amber",IF($H31&lt;'[2]Read Me'!$B$4,"Red",IF($H31-'[2]Read Me'!$B$4&lt;=21,"Amber","Green"))))</f>
        <v>Green</v>
      </c>
      <c r="N31" s="3"/>
      <c r="O31" t="str">
        <f>IF($I31&lt;&gt;"Complete",IF(COUNTIFS($A$4:$A30,$A31,$B$4:$B30,$B31,$I$4:$I30,"&lt;&gt;Complete")=0,$A31&amp;"|"&amp;$B31,""),"")</f>
        <v/>
      </c>
      <c r="P31" t="str">
        <f ca="1">IF($K31="Yes",COUNTIFS($K$4:$K31,"Yes"),"")</f>
        <v/>
      </c>
      <c r="Q31">
        <f t="shared" ca="1" si="3"/>
        <v>0</v>
      </c>
      <c r="R31" t="str">
        <f ca="1">IF($Q31=1,SUM($Q$4:$Q31),"")</f>
        <v/>
      </c>
    </row>
    <row r="32" spans="1:18" ht="14.25" customHeight="1" x14ac:dyDescent="0.3">
      <c r="A32" s="2" t="s">
        <v>85</v>
      </c>
      <c r="B32" s="2" t="s">
        <v>86</v>
      </c>
      <c r="C32" s="3"/>
      <c r="D32" s="3"/>
      <c r="E32" s="2"/>
      <c r="F32" s="2"/>
      <c r="G32" s="5">
        <v>46301</v>
      </c>
      <c r="H32" s="5">
        <v>46336</v>
      </c>
      <c r="I32" s="2"/>
      <c r="J32" s="6">
        <f t="shared" si="1"/>
        <v>35</v>
      </c>
      <c r="K32" s="4" t="str">
        <f t="shared" ca="1" si="2"/>
        <v/>
      </c>
      <c r="L32" s="7">
        <f>IF(I32="Completed","0",IF($H32="","",$H32-'[2]Read Me'!$B$4))</f>
        <v>149</v>
      </c>
      <c r="M32" s="4" t="str">
        <f>IF($I32="Complete","Green",IF($H32="","Amber",IF($H32&lt;'[2]Read Me'!$B$4,"Red",IF($H32-'[2]Read Me'!$B$4&lt;=21,"Amber","Green"))))</f>
        <v>Green</v>
      </c>
      <c r="N32" s="3"/>
      <c r="O32" t="str">
        <f>IF($I32&lt;&gt;"Complete",IF(COUNTIFS($A$4:$A31,$A32,$B$4:$B31,$B32,$I$4:$I31,"&lt;&gt;Complete")=0,$A32&amp;"|"&amp;$B32,""),"")</f>
        <v>lotus|Payment</v>
      </c>
      <c r="P32" t="str">
        <f ca="1">IF($K32="Yes",COUNTIFS($K$4:$K32,"Yes"),"")</f>
        <v/>
      </c>
      <c r="Q32">
        <f t="shared" ca="1" si="3"/>
        <v>0</v>
      </c>
      <c r="R32" t="str">
        <f ca="1">IF($Q32=1,SUM($Q$4:$Q32),"")</f>
        <v/>
      </c>
    </row>
    <row r="33" spans="1:18" ht="14.25" customHeight="1" x14ac:dyDescent="0.3">
      <c r="A33" s="2" t="s">
        <v>85</v>
      </c>
      <c r="B33" s="2" t="s">
        <v>86</v>
      </c>
      <c r="C33" s="3" t="s">
        <v>87</v>
      </c>
      <c r="D33" s="3" t="s">
        <v>88</v>
      </c>
      <c r="E33" s="2"/>
      <c r="F33" s="2"/>
      <c r="G33" s="5">
        <v>46301</v>
      </c>
      <c r="H33" s="5">
        <v>46336</v>
      </c>
      <c r="I33" s="2" t="s">
        <v>17</v>
      </c>
      <c r="J33" s="6">
        <f t="shared" si="1"/>
        <v>35</v>
      </c>
      <c r="K33" s="4" t="str">
        <f t="shared" ca="1" si="2"/>
        <v>No</v>
      </c>
      <c r="L33" s="7">
        <f>IF(I33="Completed","0",IF($H33="","",$H33-'[2]Read Me'!$B$4))</f>
        <v>149</v>
      </c>
      <c r="M33" s="4" t="str">
        <f>IF($I33="Complete","Green",IF($H33="","Amber",IF($H33&lt;'[2]Read Me'!$B$4,"Red",IF($H33-'[2]Read Me'!$B$4&lt;=21,"Amber","Green"))))</f>
        <v>Green</v>
      </c>
      <c r="N33" s="3"/>
      <c r="O33" t="str">
        <f>IF($I33&lt;&gt;"Complete",IF(COUNTIFS($A$4:$A32,$A33,$B$4:$B32,$B33,$I$4:$I32,"&lt;&gt;Complete")=0,$A33&amp;"|"&amp;$B33,""),"")</f>
        <v/>
      </c>
      <c r="P33" t="str">
        <f ca="1">IF($K33="Yes",COUNTIFS($K$4:$K33,"Yes"),"")</f>
        <v/>
      </c>
      <c r="Q33">
        <f t="shared" ca="1" si="3"/>
        <v>0</v>
      </c>
      <c r="R33" t="str">
        <f ca="1">IF($Q33=1,SUM($Q$4:$Q33),"")</f>
        <v/>
      </c>
    </row>
    <row r="34" spans="1:18" ht="14.25" customHeight="1" x14ac:dyDescent="0.3">
      <c r="A34" s="2" t="s">
        <v>89</v>
      </c>
      <c r="B34" s="2" t="s">
        <v>49</v>
      </c>
      <c r="C34" s="3"/>
      <c r="D34" s="3"/>
      <c r="E34" s="2"/>
      <c r="F34" s="2"/>
      <c r="G34" s="5">
        <v>46502</v>
      </c>
      <c r="H34" s="5">
        <v>46537</v>
      </c>
      <c r="I34" s="2"/>
      <c r="J34" s="6">
        <f t="shared" si="1"/>
        <v>35</v>
      </c>
      <c r="K34" s="4" t="str">
        <f t="shared" ca="1" si="2"/>
        <v/>
      </c>
      <c r="L34" s="7">
        <f>IF(I34="Completed","0",IF($H34="","",$H34-'[2]Read Me'!$B$4))</f>
        <v>350</v>
      </c>
      <c r="M34" s="4" t="str">
        <f>IF($I34="Complete","Green",IF($H34="","Amber",IF($H34&lt;'[2]Read Me'!$B$4,"Red",IF($H34-'[2]Read Me'!$B$4&lt;=21,"Amber","Green"))))</f>
        <v>Green</v>
      </c>
      <c r="N34" s="3"/>
      <c r="O34" t="str">
        <f>IF($I34&lt;&gt;"Complete",IF(COUNTIFS($A$4:$A33,$A34,$B$4:$B33,$B34,$I$4:$I33,"&lt;&gt;Complete")=0,$A34&amp;"|"&amp;$B34,""),"")</f>
        <v>Authorities (Phase.01)|Authorities</v>
      </c>
      <c r="P34" t="str">
        <f ca="1">IF($K34="Yes",COUNTIFS($K$4:$K34,"Yes"),"")</f>
        <v/>
      </c>
      <c r="Q34">
        <f t="shared" ca="1" si="3"/>
        <v>0</v>
      </c>
      <c r="R34" t="str">
        <f ca="1">IF($Q34=1,SUM($Q$4:$Q34),"")</f>
        <v/>
      </c>
    </row>
    <row r="35" spans="1:18" ht="14.25" customHeight="1" x14ac:dyDescent="0.3">
      <c r="A35" s="2" t="s">
        <v>89</v>
      </c>
      <c r="B35" s="2" t="s">
        <v>49</v>
      </c>
      <c r="C35" s="3" t="s">
        <v>90</v>
      </c>
      <c r="D35" s="3" t="s">
        <v>91</v>
      </c>
      <c r="E35" s="2" t="s">
        <v>92</v>
      </c>
      <c r="F35" s="2"/>
      <c r="G35" s="5">
        <v>46404</v>
      </c>
      <c r="H35" s="5">
        <v>46439</v>
      </c>
      <c r="I35" s="2" t="s">
        <v>17</v>
      </c>
      <c r="J35" s="6">
        <f t="shared" si="1"/>
        <v>35</v>
      </c>
      <c r="K35" s="4" t="str">
        <f t="shared" ca="1" si="2"/>
        <v>No</v>
      </c>
      <c r="L35" s="7">
        <f>IF(I35="Completed","0",IF($H35="","",$H35-'[2]Read Me'!$B$4))</f>
        <v>252</v>
      </c>
      <c r="M35" s="4" t="str">
        <f>IF($I35="Complete","Green",IF($H35="","Amber",IF($H35&lt;'[2]Read Me'!$B$4,"Red",IF($H35-'[2]Read Me'!$B$4&lt;=21,"Amber","Green"))))</f>
        <v>Green</v>
      </c>
      <c r="N35" s="3"/>
      <c r="O35" t="str">
        <f>IF($I35&lt;&gt;"Complete",IF(COUNTIFS($A$4:$A34,$A35,$B$4:$B34,$B35,$I$4:$I34,"&lt;&gt;Complete")=0,$A35&amp;"|"&amp;$B35,""),"")</f>
        <v/>
      </c>
      <c r="P35" t="str">
        <f ca="1">IF($K35="Yes",COUNTIFS($K$4:$K35,"Yes"),"")</f>
        <v/>
      </c>
      <c r="Q35">
        <f t="shared" ca="1" si="3"/>
        <v>0</v>
      </c>
      <c r="R35" t="str">
        <f ca="1">IF($Q35=1,SUM($Q$4:$Q35),"")</f>
        <v/>
      </c>
    </row>
    <row r="36" spans="1:18" ht="14.25" customHeight="1" x14ac:dyDescent="0.3">
      <c r="A36" s="2" t="s">
        <v>89</v>
      </c>
      <c r="B36" s="2" t="s">
        <v>49</v>
      </c>
      <c r="C36" s="3" t="s">
        <v>90</v>
      </c>
      <c r="D36" s="3" t="s">
        <v>93</v>
      </c>
      <c r="E36" s="2" t="s">
        <v>92</v>
      </c>
      <c r="F36" s="2"/>
      <c r="G36" s="5">
        <v>46446</v>
      </c>
      <c r="H36" s="5">
        <v>46481</v>
      </c>
      <c r="I36" s="2" t="s">
        <v>17</v>
      </c>
      <c r="J36" s="6">
        <f t="shared" si="1"/>
        <v>35</v>
      </c>
      <c r="K36" s="4" t="str">
        <f t="shared" ca="1" si="2"/>
        <v>No</v>
      </c>
      <c r="L36" s="7">
        <f>IF(I36="Completed","0",IF($H36="","",$H36-'[2]Read Me'!$B$4))</f>
        <v>294</v>
      </c>
      <c r="M36" s="4" t="str">
        <f>IF($I36="Complete","Green",IF($H36="","Amber",IF($H36&lt;'[2]Read Me'!$B$4,"Red",IF($H36-'[2]Read Me'!$B$4&lt;=21,"Amber","Green"))))</f>
        <v>Green</v>
      </c>
      <c r="N36" s="3"/>
      <c r="O36" t="str">
        <f>IF($I36&lt;&gt;"Complete",IF(COUNTIFS($A$4:$A35,$A36,$B$4:$B35,$B36,$I$4:$I35,"&lt;&gt;Complete")=0,$A36&amp;"|"&amp;$B36,""),"")</f>
        <v/>
      </c>
      <c r="P36" t="str">
        <f ca="1">IF($K36="Yes",COUNTIFS($K$4:$K36,"Yes"),"")</f>
        <v/>
      </c>
      <c r="Q36">
        <f t="shared" ca="1" si="3"/>
        <v>0</v>
      </c>
      <c r="R36" t="str">
        <f ca="1">IF($Q36=1,SUM($Q$4:$Q36),"")</f>
        <v/>
      </c>
    </row>
    <row r="37" spans="1:18" ht="14.25" customHeight="1" x14ac:dyDescent="0.3">
      <c r="A37" s="2" t="s">
        <v>89</v>
      </c>
      <c r="B37" s="2" t="s">
        <v>49</v>
      </c>
      <c r="C37" s="3" t="s">
        <v>90</v>
      </c>
      <c r="D37" s="3" t="s">
        <v>94</v>
      </c>
      <c r="E37" s="2" t="s">
        <v>92</v>
      </c>
      <c r="F37" s="2"/>
      <c r="G37" s="5">
        <v>46502</v>
      </c>
      <c r="H37" s="5">
        <v>46537</v>
      </c>
      <c r="I37" s="2" t="s">
        <v>17</v>
      </c>
      <c r="J37" s="6">
        <f t="shared" si="1"/>
        <v>35</v>
      </c>
      <c r="K37" s="4" t="str">
        <f t="shared" ca="1" si="2"/>
        <v>No</v>
      </c>
      <c r="L37" s="7">
        <f>IF(I37="Completed","0",IF($H37="","",$H37-'[2]Read Me'!$B$4))</f>
        <v>350</v>
      </c>
      <c r="M37" s="4" t="str">
        <f>IF($I37="Complete","Green",IF($H37="","Amber",IF($H37&lt;'[2]Read Me'!$B$4,"Red",IF($H37-'[2]Read Me'!$B$4&lt;=21,"Amber","Green"))))</f>
        <v>Green</v>
      </c>
      <c r="N37" s="3"/>
      <c r="O37" t="str">
        <f>IF($I37&lt;&gt;"Complete",IF(COUNTIFS($A$4:$A36,$A37,$B$4:$B36,$B37,$I$4:$I36,"&lt;&gt;Complete")=0,$A37&amp;"|"&amp;$B37,""),"")</f>
        <v/>
      </c>
      <c r="P37" t="str">
        <f ca="1">IF($K37="Yes",COUNTIFS($K$4:$K37,"Yes"),"")</f>
        <v/>
      </c>
      <c r="Q37">
        <f t="shared" ca="1" si="3"/>
        <v>0</v>
      </c>
      <c r="R37" t="str">
        <f ca="1">IF($Q37=1,SUM($Q$4:$Q37),"")</f>
        <v/>
      </c>
    </row>
    <row r="38" spans="1:18" ht="14.25" customHeight="1" x14ac:dyDescent="0.3">
      <c r="A38" s="2" t="s">
        <v>95</v>
      </c>
      <c r="B38" s="2" t="s">
        <v>62</v>
      </c>
      <c r="C38" s="3"/>
      <c r="D38" s="3"/>
      <c r="E38" s="2"/>
      <c r="F38" s="2"/>
      <c r="G38" s="5">
        <v>46670</v>
      </c>
      <c r="H38" s="5">
        <v>46705</v>
      </c>
      <c r="I38" s="2"/>
      <c r="J38" s="6">
        <f t="shared" si="1"/>
        <v>35</v>
      </c>
      <c r="K38" s="4" t="str">
        <f t="shared" ca="1" si="2"/>
        <v/>
      </c>
      <c r="L38" s="7">
        <f>IF(I38="Completed","0",IF($H38="","",$H38-'[2]Read Me'!$B$4))</f>
        <v>518</v>
      </c>
      <c r="M38" s="4" t="str">
        <f>IF($I38="Complete","Green",IF($H38="","Amber",IF($H38&lt;'[2]Read Me'!$B$4,"Red",IF($H38-'[2]Read Me'!$B$4&lt;=21,"Amber","Green"))))</f>
        <v>Green</v>
      </c>
      <c r="N38" s="3"/>
      <c r="O38" t="str">
        <f>IF($I38&lt;&gt;"Complete",IF(COUNTIFS($A$4:$A37,$A38,$B$4:$B37,$B38,$I$4:$I37,"&lt;&gt;Complete")=0,$A38&amp;"|"&amp;$B38,""),"")</f>
        <v>Phase 2|Buildings</v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95</v>
      </c>
      <c r="B39" s="2" t="s">
        <v>62</v>
      </c>
      <c r="C39" s="3" t="s">
        <v>96</v>
      </c>
      <c r="D39" s="3" t="s">
        <v>97</v>
      </c>
      <c r="E39" s="2" t="s">
        <v>65</v>
      </c>
      <c r="F39" s="2" t="s">
        <v>66</v>
      </c>
      <c r="G39" s="5">
        <v>46215</v>
      </c>
      <c r="H39" s="5">
        <v>46250</v>
      </c>
      <c r="I39" s="2" t="s">
        <v>17</v>
      </c>
      <c r="J39" s="6">
        <f t="shared" si="1"/>
        <v>35</v>
      </c>
      <c r="K39" s="4" t="str">
        <f t="shared" ca="1" si="2"/>
        <v>No</v>
      </c>
      <c r="L39" s="7">
        <f>IF(I39="Completed","0",IF($H39="","",$H39-'[2]Read Me'!$B$4))</f>
        <v>63</v>
      </c>
      <c r="M39" s="4" t="str">
        <f>IF($I39="Complete","Green",IF($H39="","Amber",IF($H39&lt;'[2]Read Me'!$B$4,"Red",IF($H39-'[2]Read Me'!$B$4&lt;=21,"Amber","Green"))))</f>
        <v>Green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 t="s">
        <v>95</v>
      </c>
      <c r="B40" s="2" t="s">
        <v>62</v>
      </c>
      <c r="C40" s="3" t="s">
        <v>96</v>
      </c>
      <c r="D40" s="3" t="s">
        <v>70</v>
      </c>
      <c r="E40" s="2" t="s">
        <v>65</v>
      </c>
      <c r="F40" s="2" t="s">
        <v>68</v>
      </c>
      <c r="G40" s="5">
        <v>46229</v>
      </c>
      <c r="H40" s="5">
        <v>46264</v>
      </c>
      <c r="I40" s="2" t="s">
        <v>17</v>
      </c>
      <c r="J40" s="6">
        <f t="shared" si="1"/>
        <v>35</v>
      </c>
      <c r="K40" s="4" t="str">
        <f t="shared" ca="1" si="2"/>
        <v>No</v>
      </c>
      <c r="L40" s="7">
        <f>IF(I40="Completed","0",IF($H40="","",$H40-'[2]Read Me'!$B$4))</f>
        <v>77</v>
      </c>
      <c r="M40" s="4" t="str">
        <f>IF($I40="Complete","Green",IF($H40="","Amber",IF($H40&lt;'[2]Read Me'!$B$4,"Red",IF($H40-'[2]Read Me'!$B$4&lt;=21,"Amber","Green"))))</f>
        <v>Green</v>
      </c>
      <c r="N40" s="3"/>
      <c r="O40" t="str">
        <f>IF($I40&lt;&gt;"Complete",IF(COUNTIFS($A$4:$A39,$A40,$B$4:$B39,$B40,$I$4:$I39,"&lt;&gt;Complete")=0,$A40&amp;"|"&amp;$B40,""),"")</f>
        <v/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 t="s">
        <v>95</v>
      </c>
      <c r="B41" s="2" t="s">
        <v>62</v>
      </c>
      <c r="C41" s="3" t="s">
        <v>96</v>
      </c>
      <c r="D41" s="3" t="s">
        <v>78</v>
      </c>
      <c r="E41" s="2" t="s">
        <v>75</v>
      </c>
      <c r="F41" s="2" t="s">
        <v>79</v>
      </c>
      <c r="G41" s="5">
        <v>46250</v>
      </c>
      <c r="H41" s="5">
        <v>46285</v>
      </c>
      <c r="I41" s="2" t="s">
        <v>17</v>
      </c>
      <c r="J41" s="6">
        <f t="shared" si="1"/>
        <v>35</v>
      </c>
      <c r="K41" s="4" t="str">
        <f t="shared" ca="1" si="2"/>
        <v>No</v>
      </c>
      <c r="L41" s="7">
        <f>IF(I41="Completed","0",IF($H41="","",$H41-'[2]Read Me'!$B$4))</f>
        <v>98</v>
      </c>
      <c r="M41" s="4" t="str">
        <f>IF($I41="Complete","Green",IF($H41="","Amber",IF($H41&lt;'[2]Read Me'!$B$4,"Red",IF($H41-'[2]Read Me'!$B$4&lt;=21,"Amber","Green"))))</f>
        <v>Green</v>
      </c>
      <c r="N41" s="3"/>
      <c r="O41" t="str">
        <f>IF($I41&lt;&gt;"Complete",IF(COUNTIFS($A$4:$A40,$A41,$B$4:$B40,$B41,$I$4:$I40,"&lt;&gt;Complete")=0,$A41&amp;"|"&amp;$B41,""),"")</f>
        <v/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 t="s">
        <v>95</v>
      </c>
      <c r="B42" s="2" t="s">
        <v>62</v>
      </c>
      <c r="C42" s="3" t="s">
        <v>96</v>
      </c>
      <c r="D42" s="3" t="s">
        <v>80</v>
      </c>
      <c r="E42" s="2" t="s">
        <v>75</v>
      </c>
      <c r="F42" s="2" t="s">
        <v>77</v>
      </c>
      <c r="G42" s="5">
        <v>46257</v>
      </c>
      <c r="H42" s="5">
        <v>46292</v>
      </c>
      <c r="I42" s="2" t="s">
        <v>17</v>
      </c>
      <c r="J42" s="6">
        <f t="shared" si="1"/>
        <v>35</v>
      </c>
      <c r="K42" s="4" t="str">
        <f t="shared" ca="1" si="2"/>
        <v>No</v>
      </c>
      <c r="L42" s="7">
        <f>IF(I42="Completed","0",IF($H42="","",$H42-'[2]Read Me'!$B$4))</f>
        <v>105</v>
      </c>
      <c r="M42" s="4" t="str">
        <f>IF($I42="Complete","Green",IF($H42="","Amber",IF($H42&lt;'[2]Read Me'!$B$4,"Red",IF($H42-'[2]Read Me'!$B$4&lt;=21,"Amber","Green"))))</f>
        <v>Green</v>
      </c>
      <c r="N42" s="3"/>
      <c r="O42" t="str">
        <f>IF($I42&lt;&gt;"Complete",IF(COUNTIFS($A$4:$A41,$A42,$B$4:$B41,$B42,$I$4:$I41,"&lt;&gt;Complete")=0,$A42&amp;"|"&amp;$B42,""),"")</f>
        <v/>
      </c>
      <c r="P42" t="str">
        <f ca="1">IF($K42="Yes",COUNTIFS($K$4:$K42,"Yes"),"")</f>
        <v/>
      </c>
      <c r="Q42">
        <f t="shared" ca="1" si="3"/>
        <v>0</v>
      </c>
      <c r="R42" t="str">
        <f ca="1">IF($Q42=1,SUM($Q$4:$Q42),"")</f>
        <v/>
      </c>
    </row>
    <row r="43" spans="1:18" ht="22.5" customHeight="1" x14ac:dyDescent="0.3">
      <c r="A43" s="2" t="s">
        <v>95</v>
      </c>
      <c r="B43" s="2" t="s">
        <v>62</v>
      </c>
      <c r="C43" s="3" t="s">
        <v>96</v>
      </c>
      <c r="D43" s="3" t="s">
        <v>98</v>
      </c>
      <c r="E43" s="2" t="s">
        <v>65</v>
      </c>
      <c r="F43" s="2" t="s">
        <v>66</v>
      </c>
      <c r="G43" s="5">
        <v>46271</v>
      </c>
      <c r="H43" s="5">
        <v>46306</v>
      </c>
      <c r="I43" s="2" t="s">
        <v>17</v>
      </c>
      <c r="J43" s="6">
        <f t="shared" si="1"/>
        <v>35</v>
      </c>
      <c r="K43" s="4" t="str">
        <f t="shared" ca="1" si="2"/>
        <v>No</v>
      </c>
      <c r="L43" s="7">
        <f>IF(I43="Completed","0",IF($H43="","",$H43-'[2]Read Me'!$B$4))</f>
        <v>119</v>
      </c>
      <c r="M43" s="4" t="str">
        <f>IF($I43="Complete","Green",IF($H43="","Amber",IF($H43&lt;'[2]Read Me'!$B$4,"Red",IF($H43-'[2]Read Me'!$B$4&lt;=21,"Amber","Green"))))</f>
        <v>Green</v>
      </c>
      <c r="N43" s="3"/>
      <c r="O43" t="str">
        <f>IF($I43&lt;&gt;"Complete",IF(COUNTIFS($A$4:$A42,$A43,$B$4:$B42,$B43,$I$4:$I42,"&lt;&gt;Complete")=0,$A43&amp;"|"&amp;$B43,""),"")</f>
        <v/>
      </c>
      <c r="P43" t="str">
        <f ca="1">IF($K43="Yes",COUNTIFS($K$4:$K43,"Yes"),"")</f>
        <v/>
      </c>
      <c r="Q43">
        <f t="shared" ca="1" si="3"/>
        <v>0</v>
      </c>
      <c r="R43" t="str">
        <f ca="1">IF($Q43=1,SUM($Q$4:$Q43),"")</f>
        <v/>
      </c>
    </row>
    <row r="44" spans="1:18" ht="14.25" customHeight="1" x14ac:dyDescent="0.3">
      <c r="A44" s="2" t="s">
        <v>95</v>
      </c>
      <c r="B44" s="2" t="s">
        <v>62</v>
      </c>
      <c r="C44" s="3" t="s">
        <v>96</v>
      </c>
      <c r="D44" s="3" t="s">
        <v>47</v>
      </c>
      <c r="E44" s="2" t="s">
        <v>65</v>
      </c>
      <c r="F44" s="2" t="s">
        <v>68</v>
      </c>
      <c r="G44" s="5">
        <v>46285</v>
      </c>
      <c r="H44" s="5">
        <v>46320</v>
      </c>
      <c r="I44" s="4" t="s">
        <v>17</v>
      </c>
      <c r="J44" s="6">
        <f t="shared" si="1"/>
        <v>35</v>
      </c>
      <c r="K44" s="4" t="str">
        <f t="shared" ca="1" si="2"/>
        <v>No</v>
      </c>
      <c r="L44" s="7">
        <f>IF(I44="Completed","0",IF($H44="","",$H44-'[2]Read Me'!$B$4))</f>
        <v>133</v>
      </c>
      <c r="M44" s="4" t="str">
        <f>IF($I44="Complete","Green",IF($H44="","Amber",IF($H44&lt;'[2]Read Me'!$B$4,"Red",IF($H44-'[2]Read Me'!$B$4&lt;=21,"Amber","Green"))))</f>
        <v>Green</v>
      </c>
      <c r="N44" s="3"/>
      <c r="O44" t="str">
        <f>IF($I44&lt;&gt;"Complete",IF(COUNTIFS($A$4:$A43,$A44,$B$4:$B43,$B44,$I$4:$I43,"&lt;&gt;Complete")=0,$A44&amp;"|"&amp;$B44,""),"")</f>
        <v/>
      </c>
      <c r="P44" t="str">
        <f ca="1">IF($K44="Yes",COUNTIFS($K$4:$K44,"Yes"),"")</f>
        <v/>
      </c>
      <c r="Q44">
        <f t="shared" ca="1" si="3"/>
        <v>0</v>
      </c>
      <c r="R44" t="str">
        <f ca="1">IF($Q44=1,SUM($Q$4:$Q44),"")</f>
        <v/>
      </c>
    </row>
    <row r="45" spans="1:18" ht="14.25" customHeight="1" x14ac:dyDescent="0.3">
      <c r="A45" s="2" t="s">
        <v>95</v>
      </c>
      <c r="B45" s="2" t="s">
        <v>62</v>
      </c>
      <c r="C45" s="3" t="s">
        <v>96</v>
      </c>
      <c r="D45" s="3" t="s">
        <v>18</v>
      </c>
      <c r="E45" s="2" t="s">
        <v>75</v>
      </c>
      <c r="F45" s="2" t="s">
        <v>79</v>
      </c>
      <c r="G45" s="5">
        <v>46460</v>
      </c>
      <c r="H45" s="5">
        <v>46495</v>
      </c>
      <c r="I45" s="4" t="s">
        <v>17</v>
      </c>
      <c r="J45" s="6">
        <f t="shared" si="1"/>
        <v>35</v>
      </c>
      <c r="K45" s="4" t="str">
        <f t="shared" ca="1" si="2"/>
        <v>No</v>
      </c>
      <c r="L45" s="7">
        <f>IF(I45="Completed","0",IF($H45="","",$H45-'[2]Read Me'!$B$4))</f>
        <v>308</v>
      </c>
      <c r="M45" s="4" t="str">
        <f>IF($I45="Complete","Green",IF($H45="","Amber",IF($H45&lt;'[2]Read Me'!$B$4,"Red",IF($H45-'[2]Read Me'!$B$4&lt;=21,"Amber","Green"))))</f>
        <v>Green</v>
      </c>
      <c r="N45" s="3"/>
      <c r="O45" t="str">
        <f>IF($I45&lt;&gt;"Complete",IF(COUNTIFS($A$4:$A44,$A45,$B$4:$B44,$B45,$I$4:$I44,"&lt;&gt;Complete")=0,$A45&amp;"|"&amp;$B45,""),"")</f>
        <v/>
      </c>
      <c r="P45" t="str">
        <f ca="1">IF($K45="Yes",COUNTIFS($K$4:$K45,"Yes"),"")</f>
        <v/>
      </c>
      <c r="Q45">
        <f t="shared" ca="1" si="3"/>
        <v>0</v>
      </c>
      <c r="R45" t="str">
        <f ca="1">IF($Q45=1,SUM($Q$4:$Q45),"")</f>
        <v/>
      </c>
    </row>
    <row r="46" spans="1:18" ht="22.5" customHeight="1" x14ac:dyDescent="0.3">
      <c r="A46" s="2" t="s">
        <v>95</v>
      </c>
      <c r="B46" s="2" t="s">
        <v>62</v>
      </c>
      <c r="C46" s="3" t="s">
        <v>96</v>
      </c>
      <c r="D46" s="3" t="s">
        <v>32</v>
      </c>
      <c r="E46" s="2" t="s">
        <v>75</v>
      </c>
      <c r="F46" s="2" t="s">
        <v>77</v>
      </c>
      <c r="G46" s="5">
        <v>46474</v>
      </c>
      <c r="H46" s="5">
        <v>46509</v>
      </c>
      <c r="I46" s="4" t="s">
        <v>17</v>
      </c>
      <c r="J46" s="6">
        <f t="shared" si="1"/>
        <v>35</v>
      </c>
      <c r="K46" s="4" t="str">
        <f t="shared" ca="1" si="2"/>
        <v>No</v>
      </c>
      <c r="L46" s="7">
        <f>IF(I46="Completed","0",IF($H46="","",$H46-'[2]Read Me'!$B$4))</f>
        <v>322</v>
      </c>
      <c r="M46" s="4" t="str">
        <f>IF($I46="Complete","Green",IF($H46="","Amber",IF($H46&lt;'[2]Read Me'!$B$4,"Red",IF($H46-'[2]Read Me'!$B$4&lt;=21,"Amber","Green"))))</f>
        <v>Green</v>
      </c>
      <c r="N46" s="3"/>
      <c r="O46" t="str">
        <f>IF($I46&lt;&gt;"Complete",IF(COUNTIFS($A$4:$A45,$A46,$B$4:$B45,$B46,$I$4:$I45,"&lt;&gt;Complete")=0,$A46&amp;"|"&amp;$B46,""),"")</f>
        <v/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 t="s">
        <v>95</v>
      </c>
      <c r="B47" s="2" t="s">
        <v>62</v>
      </c>
      <c r="C47" s="3" t="s">
        <v>96</v>
      </c>
      <c r="D47" s="3" t="s">
        <v>19</v>
      </c>
      <c r="E47" s="2" t="s">
        <v>33</v>
      </c>
      <c r="F47" s="2" t="s">
        <v>81</v>
      </c>
      <c r="G47" s="5">
        <v>46481</v>
      </c>
      <c r="H47" s="5">
        <v>46516</v>
      </c>
      <c r="I47" s="4" t="s">
        <v>17</v>
      </c>
      <c r="J47" s="6">
        <f t="shared" si="1"/>
        <v>35</v>
      </c>
      <c r="K47" s="4" t="str">
        <f t="shared" ca="1" si="2"/>
        <v>No</v>
      </c>
      <c r="L47" s="7">
        <f>IF(I47="Completed","0",IF($H47="","",$H47-'[2]Read Me'!$B$4))</f>
        <v>329</v>
      </c>
      <c r="M47" s="4" t="str">
        <f>IF($I47="Complete","Green",IF($H47="","Amber",IF($H47&lt;'[2]Read Me'!$B$4,"Red",IF($H47-'[2]Read Me'!$B$4&lt;=21,"Amber","Green"))))</f>
        <v>Green</v>
      </c>
      <c r="N47" s="3"/>
      <c r="O47" t="str">
        <f>IF($I47&lt;&gt;"Complete",IF(COUNTIFS($A$4:$A46,$A47,$B$4:$B46,$B47,$I$4:$I46,"&lt;&gt;Complete")=0,$A47&amp;"|"&amp;$B47,""),"")</f>
        <v/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 t="s">
        <v>95</v>
      </c>
      <c r="B48" s="2" t="s">
        <v>62</v>
      </c>
      <c r="C48" s="3" t="s">
        <v>96</v>
      </c>
      <c r="D48" s="3" t="s">
        <v>99</v>
      </c>
      <c r="E48" s="2"/>
      <c r="F48" s="2"/>
      <c r="G48" s="5">
        <v>46488</v>
      </c>
      <c r="H48" s="5">
        <v>46523</v>
      </c>
      <c r="I48" s="4" t="s">
        <v>17</v>
      </c>
      <c r="J48" s="6">
        <f t="shared" si="1"/>
        <v>35</v>
      </c>
      <c r="K48" s="4" t="str">
        <f t="shared" ca="1" si="2"/>
        <v>No</v>
      </c>
      <c r="L48" s="7">
        <f>IF(I48="Completed","0",IF($H48="","",$H48-'[2]Read Me'!$B$4))</f>
        <v>336</v>
      </c>
      <c r="M48" s="4" t="str">
        <f>IF($I48="Complete","Green",IF($H48="","Amber",IF($H48&lt;'[2]Read Me'!$B$4,"Red",IF($H48-'[2]Read Me'!$B$4&lt;=21,"Amber","Green"))))</f>
        <v>Green</v>
      </c>
      <c r="N48" s="3"/>
      <c r="O48" t="str">
        <f>IF($I48&lt;&gt;"Complete",IF(COUNTIFS($A$4:$A47,$A48,$B$4:$B47,$B48,$I$4:$I47,"&lt;&gt;Complete")=0,$A48&amp;"|"&amp;$B48,""),"")</f>
        <v/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 t="s">
        <v>95</v>
      </c>
      <c r="B49" s="2" t="s">
        <v>62</v>
      </c>
      <c r="C49" s="3" t="s">
        <v>96</v>
      </c>
      <c r="D49" s="3" t="s">
        <v>14</v>
      </c>
      <c r="E49" s="2" t="s">
        <v>75</v>
      </c>
      <c r="F49" s="2" t="s">
        <v>79</v>
      </c>
      <c r="G49" s="5">
        <v>46530</v>
      </c>
      <c r="H49" s="5">
        <v>46565</v>
      </c>
      <c r="I49" s="4" t="s">
        <v>17</v>
      </c>
      <c r="J49" s="6">
        <f t="shared" si="1"/>
        <v>35</v>
      </c>
      <c r="K49" s="4" t="str">
        <f t="shared" ca="1" si="2"/>
        <v>No</v>
      </c>
      <c r="L49" s="7">
        <f>IF(I49="Completed","0",IF($H49="","",$H49-'[2]Read Me'!$B$4))</f>
        <v>378</v>
      </c>
      <c r="M49" s="4" t="str">
        <f>IF($I49="Complete","Green",IF($H49="","Amber",IF($H49&lt;'[2]Read Me'!$B$4,"Red",IF($H49-'[2]Read Me'!$B$4&lt;=21,"Amber","Green"))))</f>
        <v>Green</v>
      </c>
      <c r="N49" s="3"/>
      <c r="O49" t="str">
        <f>IF($I49&lt;&gt;"Complete",IF(COUNTIFS($A$4:$A48,$A49,$B$4:$B48,$B49,$I$4:$I48,"&lt;&gt;Complete")=0,$A49&amp;"|"&amp;$B49,""),"")</f>
        <v/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 t="s">
        <v>95</v>
      </c>
      <c r="B50" s="2" t="s">
        <v>62</v>
      </c>
      <c r="C50" s="3" t="s">
        <v>96</v>
      </c>
      <c r="D50" s="3" t="s">
        <v>34</v>
      </c>
      <c r="E50" s="2" t="s">
        <v>75</v>
      </c>
      <c r="F50" s="2" t="s">
        <v>77</v>
      </c>
      <c r="G50" s="5">
        <v>46544</v>
      </c>
      <c r="H50" s="5">
        <v>46579</v>
      </c>
      <c r="I50" s="4" t="s">
        <v>17</v>
      </c>
      <c r="J50" s="6">
        <f t="shared" si="1"/>
        <v>35</v>
      </c>
      <c r="K50" s="4" t="str">
        <f t="shared" ca="1" si="2"/>
        <v>No</v>
      </c>
      <c r="L50" s="7">
        <f>IF(I50="Completed","0",IF($H50="","",$H50-'[2]Read Me'!$B$4))</f>
        <v>392</v>
      </c>
      <c r="M50" s="4" t="str">
        <f>IF($I50="Complete","Green",IF($H50="","Amber",IF($H50&lt;'[2]Read Me'!$B$4,"Red",IF($H50-'[2]Read Me'!$B$4&lt;=21,"Amber","Green"))))</f>
        <v>Green</v>
      </c>
      <c r="N50" s="3"/>
      <c r="O50" t="str">
        <f>IF($I50&lt;&gt;"Complete",IF(COUNTIFS($A$4:$A49,$A50,$B$4:$B49,$B50,$I$4:$I49,"&lt;&gt;Complete")=0,$A50&amp;"|"&amp;$B50,""),"")</f>
        <v/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 t="s">
        <v>95</v>
      </c>
      <c r="B51" s="2" t="s">
        <v>62</v>
      </c>
      <c r="C51" s="3" t="s">
        <v>96</v>
      </c>
      <c r="D51" s="3" t="s">
        <v>100</v>
      </c>
      <c r="E51" s="2" t="s">
        <v>75</v>
      </c>
      <c r="F51" s="2" t="s">
        <v>79</v>
      </c>
      <c r="G51" s="5">
        <v>46572</v>
      </c>
      <c r="H51" s="5">
        <v>46607</v>
      </c>
      <c r="I51" s="4" t="s">
        <v>17</v>
      </c>
      <c r="J51" s="6">
        <f t="shared" si="1"/>
        <v>35</v>
      </c>
      <c r="K51" s="4" t="str">
        <f t="shared" ca="1" si="2"/>
        <v>No</v>
      </c>
      <c r="L51" s="7">
        <f>IF(I51="Completed","0",IF($H51="","",$H51-'[2]Read Me'!$B$4))</f>
        <v>420</v>
      </c>
      <c r="M51" s="4" t="str">
        <f>IF($I51="Complete","Green",IF($H51="","Amber",IF($H51&lt;'[2]Read Me'!$B$4,"Red",IF($H51-'[2]Read Me'!$B$4&lt;=21,"Amber","Green"))))</f>
        <v>Green</v>
      </c>
      <c r="N51" s="3"/>
      <c r="O51" t="str">
        <f>IF($I51&lt;&gt;"Complete",IF(COUNTIFS($A$4:$A50,$A51,$B$4:$B50,$B51,$I$4:$I50,"&lt;&gt;Complete")=0,$A51&amp;"|"&amp;$B51,""),"")</f>
        <v/>
      </c>
      <c r="P51" t="str">
        <f ca="1">IF($K51="Yes",COUNTIFS($K$4:$K51,"Yes"),"")</f>
        <v/>
      </c>
      <c r="Q51">
        <f t="shared" ca="1" si="3"/>
        <v>0</v>
      </c>
      <c r="R51" t="str">
        <f ca="1">IF($Q51=1,SUM($Q$4:$Q51),"")</f>
        <v/>
      </c>
    </row>
    <row r="52" spans="1:18" ht="33.75" customHeight="1" x14ac:dyDescent="0.3">
      <c r="A52" s="2" t="s">
        <v>95</v>
      </c>
      <c r="B52" s="2" t="s">
        <v>62</v>
      </c>
      <c r="C52" s="3" t="s">
        <v>96</v>
      </c>
      <c r="D52" s="3" t="s">
        <v>84</v>
      </c>
      <c r="E52" s="2" t="s">
        <v>75</v>
      </c>
      <c r="F52" s="2" t="s">
        <v>77</v>
      </c>
      <c r="G52" s="5">
        <v>46586</v>
      </c>
      <c r="H52" s="5">
        <v>46621</v>
      </c>
      <c r="I52" s="4" t="s">
        <v>17</v>
      </c>
      <c r="J52" s="6">
        <f t="shared" si="1"/>
        <v>35</v>
      </c>
      <c r="K52" s="4" t="str">
        <f t="shared" ca="1" si="2"/>
        <v>No</v>
      </c>
      <c r="L52" s="7">
        <f>IF(I52="Completed","0",IF($H52="","",$H52-'[2]Read Me'!$B$4))</f>
        <v>434</v>
      </c>
      <c r="M52" s="4" t="str">
        <f>IF($I52="Complete","Green",IF($H52="","Amber",IF($H52&lt;'[2]Read Me'!$B$4,"Red",IF($H52-'[2]Read Me'!$B$4&lt;=21,"Amber","Green"))))</f>
        <v>Green</v>
      </c>
      <c r="N52" s="3"/>
      <c r="O52" t="str">
        <f>IF($I52&lt;&gt;"Complete",IF(COUNTIFS($A$4:$A51,$A52,$B$4:$B51,$B52,$I$4:$I51,"&lt;&gt;Complete")=0,$A52&amp;"|"&amp;$B52,""),"")</f>
        <v/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 t="s">
        <v>95</v>
      </c>
      <c r="B53" s="2" t="s">
        <v>62</v>
      </c>
      <c r="C53" s="3" t="s">
        <v>96</v>
      </c>
      <c r="D53" s="3" t="s">
        <v>15</v>
      </c>
      <c r="E53" s="2" t="s">
        <v>75</v>
      </c>
      <c r="F53" s="2" t="s">
        <v>79</v>
      </c>
      <c r="G53" s="5">
        <v>46600</v>
      </c>
      <c r="H53" s="5">
        <v>46635</v>
      </c>
      <c r="I53" s="4" t="s">
        <v>17</v>
      </c>
      <c r="J53" s="6">
        <f t="shared" si="1"/>
        <v>35</v>
      </c>
      <c r="K53" s="4" t="str">
        <f t="shared" ca="1" si="2"/>
        <v>No</v>
      </c>
      <c r="L53" s="7">
        <f>IF(I53="Completed","0",IF($H53="","",$H53-'[2]Read Me'!$B$4))</f>
        <v>448</v>
      </c>
      <c r="M53" s="4" t="str">
        <f>IF($I53="Complete","Green",IF($H53="","Amber",IF($H53&lt;'[2]Read Me'!$B$4,"Red",IF($H53-'[2]Read Me'!$B$4&lt;=21,"Amber","Green"))))</f>
        <v>Green</v>
      </c>
      <c r="N53" s="3"/>
      <c r="O53" t="str">
        <f>IF($I53&lt;&gt;"Complete",IF(COUNTIFS($A$4:$A52,$A53,$B$4:$B52,$B53,$I$4:$I52,"&lt;&gt;Complete")=0,$A53&amp;"|"&amp;$B53,""),"")</f>
        <v/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 t="s">
        <v>95</v>
      </c>
      <c r="B54" s="2" t="s">
        <v>62</v>
      </c>
      <c r="C54" s="3" t="s">
        <v>96</v>
      </c>
      <c r="D54" s="3" t="s">
        <v>35</v>
      </c>
      <c r="E54" s="2" t="s">
        <v>75</v>
      </c>
      <c r="F54" s="2" t="s">
        <v>77</v>
      </c>
      <c r="G54" s="5">
        <v>46614</v>
      </c>
      <c r="H54" s="5">
        <v>46649</v>
      </c>
      <c r="I54" s="4" t="s">
        <v>17</v>
      </c>
      <c r="J54" s="6">
        <f t="shared" si="1"/>
        <v>35</v>
      </c>
      <c r="K54" s="4" t="str">
        <f t="shared" ca="1" si="2"/>
        <v>No</v>
      </c>
      <c r="L54" s="7">
        <f>IF(I54="Completed","0",IF($H54="","",$H54-'[2]Read Me'!$B$4))</f>
        <v>462</v>
      </c>
      <c r="M54" s="4" t="str">
        <f>IF($I54="Complete","Green",IF($H54="","Amber",IF($H54&lt;'[2]Read Me'!$B$4,"Red",IF($H54-'[2]Read Me'!$B$4&lt;=21,"Amber","Green"))))</f>
        <v>Green</v>
      </c>
      <c r="N54" s="3"/>
      <c r="O54" t="str">
        <f>IF($I54&lt;&gt;"Complete",IF(COUNTIFS($A$4:$A53,$A54,$B$4:$B53,$B54,$I$4:$I53,"&lt;&gt;Complete")=0,$A54&amp;"|"&amp;$B54,""),"")</f>
        <v/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 t="s">
        <v>95</v>
      </c>
      <c r="B55" s="2" t="s">
        <v>62</v>
      </c>
      <c r="C55" s="3" t="s">
        <v>96</v>
      </c>
      <c r="D55" s="3" t="s">
        <v>20</v>
      </c>
      <c r="E55" s="2" t="s">
        <v>33</v>
      </c>
      <c r="F55" s="2" t="s">
        <v>81</v>
      </c>
      <c r="G55" s="5">
        <v>46621</v>
      </c>
      <c r="H55" s="5">
        <v>46656</v>
      </c>
      <c r="I55" s="4" t="s">
        <v>17</v>
      </c>
      <c r="J55" s="6">
        <f t="shared" si="1"/>
        <v>35</v>
      </c>
      <c r="K55" s="4" t="str">
        <f t="shared" ca="1" si="2"/>
        <v>No</v>
      </c>
      <c r="L55" s="7">
        <f>IF(I55="Completed","0",IF($H55="","",$H55-'[2]Read Me'!$B$4))</f>
        <v>469</v>
      </c>
      <c r="M55" s="4" t="str">
        <f>IF($I55="Complete","Green",IF($H55="","Amber",IF($H55&lt;'[2]Read Me'!$B$4,"Red",IF($H55-'[2]Read Me'!$B$4&lt;=21,"Amber","Green"))))</f>
        <v>Green</v>
      </c>
      <c r="N55" s="3"/>
      <c r="O55" t="str">
        <f>IF($I55&lt;&gt;"Complete",IF(COUNTIFS($A$4:$A54,$A55,$B$4:$B54,$B55,$I$4:$I54,"&lt;&gt;Complete")=0,$A55&amp;"|"&amp;$B55,""),"")</f>
        <v/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 t="s">
        <v>95</v>
      </c>
      <c r="B56" s="2" t="s">
        <v>62</v>
      </c>
      <c r="C56" s="3" t="s">
        <v>96</v>
      </c>
      <c r="D56" s="3" t="s">
        <v>16</v>
      </c>
      <c r="E56" s="2" t="s">
        <v>75</v>
      </c>
      <c r="F56" s="2" t="s">
        <v>79</v>
      </c>
      <c r="G56" s="5">
        <v>46656</v>
      </c>
      <c r="H56" s="5">
        <v>46691</v>
      </c>
      <c r="I56" s="4" t="s">
        <v>17</v>
      </c>
      <c r="J56" s="6">
        <f t="shared" si="1"/>
        <v>35</v>
      </c>
      <c r="K56" s="4" t="str">
        <f t="shared" ca="1" si="2"/>
        <v>No</v>
      </c>
      <c r="L56" s="7">
        <f>IF(I56="Completed","0",IF($H56="","",$H56-'[2]Read Me'!$B$4))</f>
        <v>504</v>
      </c>
      <c r="M56" s="4" t="str">
        <f>IF($I56="Complete","Green",IF($H56="","Amber",IF($H56&lt;'[2]Read Me'!$B$4,"Red",IF($H56-'[2]Read Me'!$B$4&lt;=21,"Amber","Green"))))</f>
        <v>Green</v>
      </c>
      <c r="N56" s="3"/>
      <c r="O56" t="str">
        <f>IF($I56&lt;&gt;"Complete",IF(COUNTIFS($A$4:$A55,$A56,$B$4:$B55,$B56,$I$4:$I55,"&lt;&gt;Complete")=0,$A56&amp;"|"&amp;$B56,""),"")</f>
        <v/>
      </c>
      <c r="P56" t="str">
        <f ca="1">IF($K56="Yes",COUNTIFS($K$4:$K56,"Yes"),"")</f>
        <v/>
      </c>
      <c r="Q56">
        <f t="shared" ca="1" si="3"/>
        <v>0</v>
      </c>
      <c r="R56" t="str">
        <f ca="1">IF($Q56=1,SUM($Q$4:$Q56),"")</f>
        <v/>
      </c>
    </row>
    <row r="57" spans="1:18" ht="14.25" customHeight="1" x14ac:dyDescent="0.3">
      <c r="A57" s="2" t="s">
        <v>95</v>
      </c>
      <c r="B57" s="2" t="s">
        <v>62</v>
      </c>
      <c r="C57" s="3" t="s">
        <v>96</v>
      </c>
      <c r="D57" s="3" t="s">
        <v>37</v>
      </c>
      <c r="E57" s="2" t="s">
        <v>75</v>
      </c>
      <c r="F57" s="2" t="s">
        <v>77</v>
      </c>
      <c r="G57" s="5">
        <v>46670</v>
      </c>
      <c r="H57" s="5">
        <v>46705</v>
      </c>
      <c r="I57" s="4" t="s">
        <v>17</v>
      </c>
      <c r="J57" s="6">
        <f t="shared" si="1"/>
        <v>35</v>
      </c>
      <c r="K57" s="4" t="str">
        <f t="shared" ca="1" si="2"/>
        <v>No</v>
      </c>
      <c r="L57" s="7">
        <f>IF(I57="Completed","0",IF($H57="","",$H57-'[2]Read Me'!$B$4))</f>
        <v>518</v>
      </c>
      <c r="M57" s="4" t="str">
        <f>IF($I57="Complete","Green",IF($H57="","Amber",IF($H57&lt;'[2]Read Me'!$B$4,"Red",IF($H57-'[2]Read Me'!$B$4&lt;=21,"Amber","Green"))))</f>
        <v>Green</v>
      </c>
      <c r="N57" s="3"/>
      <c r="O57" t="str">
        <f>IF($I57&lt;&gt;"Complete",IF(COUNTIFS($A$4:$A56,$A57,$B$4:$B56,$B57,$I$4:$I56,"&lt;&gt;Complete")=0,$A57&amp;"|"&amp;$B57,""),"")</f>
        <v/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 t="s">
        <v>101</v>
      </c>
      <c r="B58" s="2" t="s">
        <v>49</v>
      </c>
      <c r="C58" s="3"/>
      <c r="D58" s="3"/>
      <c r="E58" s="2"/>
      <c r="F58" s="2"/>
      <c r="G58" s="5">
        <v>46726</v>
      </c>
      <c r="H58" s="5">
        <v>46761</v>
      </c>
      <c r="I58" s="4"/>
      <c r="J58" s="6">
        <f t="shared" si="1"/>
        <v>35</v>
      </c>
      <c r="K58" s="4" t="str">
        <f t="shared" ca="1" si="2"/>
        <v/>
      </c>
      <c r="L58" s="7">
        <f>IF(I58="Completed","0",IF($H58="","",$H58-'[2]Read Me'!$B$4))</f>
        <v>574</v>
      </c>
      <c r="M58" s="4" t="str">
        <f>IF($I58="Complete","Green",IF($H58="","Amber",IF($H58&lt;'[2]Read Me'!$B$4,"Red",IF($H58-'[2]Read Me'!$B$4&lt;=21,"Amber","Green"))))</f>
        <v>Green</v>
      </c>
      <c r="N58" s="3"/>
      <c r="O58" t="str">
        <f>IF($I58&lt;&gt;"Complete",IF(COUNTIFS($A$4:$A57,$A58,$B$4:$B57,$B58,$I$4:$I57,"&lt;&gt;Complete")=0,$A58&amp;"|"&amp;$B58,""),"")</f>
        <v>Authorities (Phase.02)|Authorities</v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 t="s">
        <v>101</v>
      </c>
      <c r="B59" s="2" t="s">
        <v>49</v>
      </c>
      <c r="C59" s="3" t="s">
        <v>102</v>
      </c>
      <c r="D59" s="3" t="s">
        <v>103</v>
      </c>
      <c r="E59" s="2" t="s">
        <v>104</v>
      </c>
      <c r="F59" s="2"/>
      <c r="G59" s="5">
        <v>46474</v>
      </c>
      <c r="H59" s="5">
        <v>46509</v>
      </c>
      <c r="I59" s="4" t="s">
        <v>17</v>
      </c>
      <c r="J59" s="6">
        <f t="shared" si="1"/>
        <v>35</v>
      </c>
      <c r="K59" s="4" t="str">
        <f t="shared" ca="1" si="2"/>
        <v>No</v>
      </c>
      <c r="L59" s="7">
        <f>IF(I59="Completed","0",IF($H59="","",$H59-'[2]Read Me'!$B$4))</f>
        <v>322</v>
      </c>
      <c r="M59" s="4" t="str">
        <f>IF($I59="Complete","Green",IF($H59="","Amber",IF($H59&lt;'[2]Read Me'!$B$4,"Red",IF($H59-'[2]Read Me'!$B$4&lt;=21,"Amber","Green"))))</f>
        <v>Green</v>
      </c>
      <c r="N59" s="3"/>
      <c r="O59" t="str">
        <f>IF($I59&lt;&gt;"Complete",IF(COUNTIFS($A$4:$A58,$A59,$B$4:$B58,$B59,$I$4:$I58,"&lt;&gt;Complete")=0,$A59&amp;"|"&amp;$B59,""),"")</f>
        <v/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 t="s">
        <v>101</v>
      </c>
      <c r="B60" s="2" t="s">
        <v>49</v>
      </c>
      <c r="C60" s="3" t="s">
        <v>102</v>
      </c>
      <c r="D60" s="3" t="s">
        <v>91</v>
      </c>
      <c r="E60" s="2" t="s">
        <v>104</v>
      </c>
      <c r="F60" s="2"/>
      <c r="G60" s="5">
        <v>46628</v>
      </c>
      <c r="H60" s="5">
        <v>46663</v>
      </c>
      <c r="I60" s="4" t="s">
        <v>17</v>
      </c>
      <c r="J60" s="6">
        <f t="shared" si="1"/>
        <v>35</v>
      </c>
      <c r="K60" s="4" t="str">
        <f t="shared" ca="1" si="2"/>
        <v>No</v>
      </c>
      <c r="L60" s="7">
        <f>IF(I60="Completed","0",IF($H60="","",$H60-'[2]Read Me'!$B$4))</f>
        <v>476</v>
      </c>
      <c r="M60" s="4" t="str">
        <f>IF($I60="Complete","Green",IF($H60="","Amber",IF($H60&lt;'[2]Read Me'!$B$4,"Red",IF($H60-'[2]Read Me'!$B$4&lt;=21,"Amber","Green"))))</f>
        <v>Green</v>
      </c>
      <c r="N60" s="3"/>
      <c r="O60" t="str">
        <f>IF($I60&lt;&gt;"Complete",IF(COUNTIFS($A$4:$A59,$A60,$B$4:$B59,$B60,$I$4:$I59,"&lt;&gt;Complete")=0,$A60&amp;"|"&amp;$B60,""),"")</f>
        <v/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 t="s">
        <v>101</v>
      </c>
      <c r="B61" s="2" t="s">
        <v>49</v>
      </c>
      <c r="C61" s="3" t="s">
        <v>102</v>
      </c>
      <c r="D61" s="3" t="s">
        <v>93</v>
      </c>
      <c r="E61" s="2" t="s">
        <v>104</v>
      </c>
      <c r="F61" s="2"/>
      <c r="G61" s="5">
        <v>46670</v>
      </c>
      <c r="H61" s="5">
        <v>46705</v>
      </c>
      <c r="I61" s="4" t="s">
        <v>17</v>
      </c>
      <c r="J61" s="6">
        <f t="shared" si="1"/>
        <v>35</v>
      </c>
      <c r="K61" s="4" t="str">
        <f t="shared" ca="1" si="2"/>
        <v>No</v>
      </c>
      <c r="L61" s="7">
        <f>IF(I61="Completed","0",IF($H61="","",$H61-'[2]Read Me'!$B$4))</f>
        <v>518</v>
      </c>
      <c r="M61" s="4" t="str">
        <f>IF($I61="Complete","Green",IF($H61="","Amber",IF($H61&lt;'[2]Read Me'!$B$4,"Red",IF($H61-'[2]Read Me'!$B$4&lt;=21,"Amber","Green"))))</f>
        <v>Green</v>
      </c>
      <c r="N61" s="3"/>
      <c r="O61" t="str">
        <f>IF($I61&lt;&gt;"Complete",IF(COUNTIFS($A$4:$A60,$A61,$B$4:$B60,$B61,$I$4:$I60,"&lt;&gt;Complete")=0,$A61&amp;"|"&amp;$B61,""),"")</f>
        <v/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 t="s">
        <v>101</v>
      </c>
      <c r="B62" s="2" t="s">
        <v>49</v>
      </c>
      <c r="C62" s="3" t="s">
        <v>102</v>
      </c>
      <c r="D62" s="3" t="s">
        <v>94</v>
      </c>
      <c r="E62" s="2" t="s">
        <v>104</v>
      </c>
      <c r="F62" s="2"/>
      <c r="G62" s="5">
        <v>46726</v>
      </c>
      <c r="H62" s="5">
        <v>46761</v>
      </c>
      <c r="I62" s="4" t="s">
        <v>17</v>
      </c>
      <c r="J62" s="6">
        <f t="shared" si="1"/>
        <v>35</v>
      </c>
      <c r="K62" s="4" t="str">
        <f t="shared" ca="1" si="2"/>
        <v>No</v>
      </c>
      <c r="L62" s="7">
        <f>IF(I62="Completed","0",IF($H62="","",$H62-'[2]Read Me'!$B$4))</f>
        <v>574</v>
      </c>
      <c r="M62" s="4" t="str">
        <f>IF($I62="Complete","Green",IF($H62="","Amber",IF($H62&lt;'[2]Read Me'!$B$4,"Red",IF($H62-'[2]Read Me'!$B$4&lt;=21,"Amber","Green"))))</f>
        <v>Green</v>
      </c>
      <c r="N62" s="3"/>
      <c r="O62" t="str">
        <f>IF($I62&lt;&gt;"Complete",IF(COUNTIFS($A$4:$A61,$A62,$B$4:$B61,$B62,$I$4:$I61,"&lt;&gt;Complete")=0,$A62&amp;"|"&amp;$B62,""),"")</f>
        <v/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 t="s">
        <v>105</v>
      </c>
      <c r="B63" s="2" t="s">
        <v>62</v>
      </c>
      <c r="C63" s="3"/>
      <c r="D63" s="3"/>
      <c r="E63" s="2"/>
      <c r="F63" s="2"/>
      <c r="G63" s="5">
        <v>46817</v>
      </c>
      <c r="H63" s="5">
        <v>46852</v>
      </c>
      <c r="I63" s="4"/>
      <c r="J63" s="6">
        <f t="shared" si="1"/>
        <v>35</v>
      </c>
      <c r="K63" s="4" t="str">
        <f t="shared" ca="1" si="2"/>
        <v/>
      </c>
      <c r="L63" s="7">
        <f>IF(I63="Completed","0",IF($H63="","",$H63-'[2]Read Me'!$B$4))</f>
        <v>665</v>
      </c>
      <c r="M63" s="4" t="str">
        <f>IF($I63="Complete","Green",IF($H63="","Amber",IF($H63&lt;'[2]Read Me'!$B$4,"Red",IF($H63-'[2]Read Me'!$B$4&lt;=21,"Amber","Green"))))</f>
        <v>Green</v>
      </c>
      <c r="N63" s="3"/>
      <c r="O63" t="str">
        <f>IF($I63&lt;&gt;"Complete",IF(COUNTIFS($A$4:$A62,$A63,$B$4:$B62,$B63,$I$4:$I62,"&lt;&gt;Complete")=0,$A63&amp;"|"&amp;$B63,""),"")</f>
        <v>Phase 3|Buildings</v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 t="s">
        <v>105</v>
      </c>
      <c r="B64" s="2" t="s">
        <v>62</v>
      </c>
      <c r="C64" s="3" t="s">
        <v>106</v>
      </c>
      <c r="D64" s="3" t="s">
        <v>97</v>
      </c>
      <c r="E64" s="2" t="s">
        <v>65</v>
      </c>
      <c r="F64" s="2" t="s">
        <v>66</v>
      </c>
      <c r="G64" s="5">
        <v>46306</v>
      </c>
      <c r="H64" s="5">
        <v>46341</v>
      </c>
      <c r="I64" s="4" t="s">
        <v>17</v>
      </c>
      <c r="J64" s="6">
        <f t="shared" si="1"/>
        <v>35</v>
      </c>
      <c r="K64" s="4" t="str">
        <f t="shared" ca="1" si="2"/>
        <v>No</v>
      </c>
      <c r="L64" s="7">
        <f>IF(I64="Completed","0",IF($H64="","",$H64-'[2]Read Me'!$B$4))</f>
        <v>154</v>
      </c>
      <c r="M64" s="4" t="str">
        <f>IF($I64="Complete","Green",IF($H64="","Amber",IF($H64&lt;'[2]Read Me'!$B$4,"Red",IF($H64-'[2]Read Me'!$B$4&lt;=21,"Amber","Green"))))</f>
        <v>Green</v>
      </c>
      <c r="N64" s="3"/>
      <c r="O64" t="str">
        <f>IF($I64&lt;&gt;"Complete",IF(COUNTIFS($A$4:$A63,$A64,$B$4:$B63,$B64,$I$4:$I63,"&lt;&gt;Complete")=0,$A64&amp;"|"&amp;$B64,""),"")</f>
        <v/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 t="s">
        <v>105</v>
      </c>
      <c r="B65" s="2" t="s">
        <v>62</v>
      </c>
      <c r="C65" s="3" t="s">
        <v>106</v>
      </c>
      <c r="D65" s="3" t="s">
        <v>70</v>
      </c>
      <c r="E65" s="2" t="s">
        <v>65</v>
      </c>
      <c r="F65" s="2" t="s">
        <v>68</v>
      </c>
      <c r="G65" s="5">
        <v>46320</v>
      </c>
      <c r="H65" s="5">
        <v>46355</v>
      </c>
      <c r="I65" s="4" t="s">
        <v>17</v>
      </c>
      <c r="J65" s="6">
        <f t="shared" si="1"/>
        <v>35</v>
      </c>
      <c r="K65" s="4" t="str">
        <f t="shared" ca="1" si="2"/>
        <v>No</v>
      </c>
      <c r="L65" s="7">
        <f>IF(I65="Completed","0",IF($H65="","",$H65-'[2]Read Me'!$B$4))</f>
        <v>168</v>
      </c>
      <c r="M65" s="4" t="str">
        <f>IF($I65="Complete","Green",IF($H65="","Amber",IF($H65&lt;'[2]Read Me'!$B$4,"Red",IF($H65-'[2]Read Me'!$B$4&lt;=21,"Amber","Green"))))</f>
        <v>Green</v>
      </c>
      <c r="N65" s="3"/>
      <c r="O65" t="str">
        <f>IF($I65&lt;&gt;"Complete",IF(COUNTIFS($A$4:$A64,$A65,$B$4:$B64,$B65,$I$4:$I64,"&lt;&gt;Complete")=0,$A65&amp;"|"&amp;$B65,""),"")</f>
        <v/>
      </c>
      <c r="P65" t="str">
        <f ca="1">IF($K65="Yes",COUNTIFS($K$4:$K65,"Yes"),"")</f>
        <v/>
      </c>
      <c r="Q65">
        <f t="shared" ca="1" si="3"/>
        <v>0</v>
      </c>
      <c r="R65" t="str">
        <f ca="1">IF($Q65=1,SUM($Q$4:$Q65),"")</f>
        <v/>
      </c>
    </row>
    <row r="66" spans="1:18" ht="22.5" customHeight="1" x14ac:dyDescent="0.3">
      <c r="A66" s="2" t="s">
        <v>105</v>
      </c>
      <c r="B66" s="2" t="s">
        <v>62</v>
      </c>
      <c r="C66" s="3" t="s">
        <v>106</v>
      </c>
      <c r="D66" s="3" t="s">
        <v>78</v>
      </c>
      <c r="E66" s="2" t="s">
        <v>75</v>
      </c>
      <c r="F66" s="2" t="s">
        <v>79</v>
      </c>
      <c r="G66" s="5">
        <v>46341</v>
      </c>
      <c r="H66" s="5">
        <v>46376</v>
      </c>
      <c r="I66" s="4" t="s">
        <v>17</v>
      </c>
      <c r="J66" s="6">
        <f t="shared" si="1"/>
        <v>35</v>
      </c>
      <c r="K66" s="4" t="str">
        <f t="shared" ca="1" si="2"/>
        <v>No</v>
      </c>
      <c r="L66" s="7">
        <f>IF(I66="Completed","0",IF($H66="","",$H66-'[2]Read Me'!$B$4))</f>
        <v>189</v>
      </c>
      <c r="M66" s="4" t="str">
        <f>IF($I66="Complete","Green",IF($H66="","Amber",IF($H66&lt;'[2]Read Me'!$B$4,"Red",IF($H66-'[2]Read Me'!$B$4&lt;=21,"Amber","Green"))))</f>
        <v>Green</v>
      </c>
      <c r="N66" s="3"/>
      <c r="O66" t="str">
        <f>IF($I66&lt;&gt;"Complete",IF(COUNTIFS($A$4:$A65,$A66,$B$4:$B65,$B66,$I$4:$I65,"&lt;&gt;Complete")=0,$A66&amp;"|"&amp;$B66,""),"")</f>
        <v/>
      </c>
      <c r="P66" t="str">
        <f ca="1">IF($K66="Yes",COUNTIFS($K$4:$K66,"Yes"),"")</f>
        <v/>
      </c>
      <c r="Q66">
        <f t="shared" ca="1" si="3"/>
        <v>0</v>
      </c>
      <c r="R66" t="str">
        <f ca="1">IF($Q66=1,SUM($Q$4:$Q66),"")</f>
        <v/>
      </c>
    </row>
    <row r="67" spans="1:18" ht="22.5" customHeight="1" x14ac:dyDescent="0.3">
      <c r="A67" s="2" t="s">
        <v>105</v>
      </c>
      <c r="B67" s="2" t="s">
        <v>62</v>
      </c>
      <c r="C67" s="3" t="s">
        <v>106</v>
      </c>
      <c r="D67" s="3" t="s">
        <v>80</v>
      </c>
      <c r="E67" s="2" t="s">
        <v>75</v>
      </c>
      <c r="F67" s="2" t="s">
        <v>77</v>
      </c>
      <c r="G67" s="5">
        <v>46348</v>
      </c>
      <c r="H67" s="5">
        <v>46383</v>
      </c>
      <c r="I67" s="4" t="s">
        <v>17</v>
      </c>
      <c r="J67" s="6">
        <f t="shared" si="1"/>
        <v>35</v>
      </c>
      <c r="K67" s="4" t="str">
        <f t="shared" ca="1" si="2"/>
        <v>No</v>
      </c>
      <c r="L67" s="7">
        <f>IF(I67="Completed","0",IF($H67="","",$H67-'[2]Read Me'!$B$4))</f>
        <v>196</v>
      </c>
      <c r="M67" s="4" t="str">
        <f>IF($I67="Complete","Green",IF($H67="","Amber",IF($H67&lt;'[2]Read Me'!$B$4,"Red",IF($H67-'[2]Read Me'!$B$4&lt;=21,"Amber","Green"))))</f>
        <v>Green</v>
      </c>
      <c r="N67" s="3"/>
      <c r="O67" t="str">
        <f>IF($I67&lt;&gt;"Complete",IF(COUNTIFS($A$4:$A66,$A67,$B$4:$B66,$B67,$I$4:$I66,"&lt;&gt;Complete")=0,$A67&amp;"|"&amp;$B67,""),"")</f>
        <v/>
      </c>
      <c r="P67" t="str">
        <f ca="1">IF($K67="Yes",COUNTIFS($K$4:$K67,"Yes"),"")</f>
        <v/>
      </c>
      <c r="Q67">
        <f t="shared" ca="1" si="3"/>
        <v>0</v>
      </c>
      <c r="R67" t="str">
        <f ca="1">IF($Q67=1,SUM($Q$4:$Q67),"")</f>
        <v/>
      </c>
    </row>
    <row r="68" spans="1:18" ht="22.5" customHeight="1" x14ac:dyDescent="0.3">
      <c r="A68" s="2" t="s">
        <v>105</v>
      </c>
      <c r="B68" s="2" t="s">
        <v>62</v>
      </c>
      <c r="C68" s="3" t="s">
        <v>106</v>
      </c>
      <c r="D68" s="3" t="s">
        <v>98</v>
      </c>
      <c r="E68" s="2" t="s">
        <v>65</v>
      </c>
      <c r="F68" s="2" t="s">
        <v>66</v>
      </c>
      <c r="G68" s="5">
        <v>46362</v>
      </c>
      <c r="H68" s="5">
        <v>46397</v>
      </c>
      <c r="I68" s="4" t="s">
        <v>17</v>
      </c>
      <c r="J68" s="6">
        <f t="shared" ref="J68:J131" si="4">IF(OR($G68="",$H68=""),"",$H68-$G68)</f>
        <v>35</v>
      </c>
      <c r="K68" s="4" t="str">
        <f t="shared" ref="K68:K131" ca="1" si="5">IF(C68="","",IF(H68="","",IF($I68="completed","-",IF($H68&gt;TODAY(),"No","Yes"))))</f>
        <v>No</v>
      </c>
      <c r="L68" s="7">
        <f>IF(I68="Completed","0",IF($H68="","",$H68-'[2]Read Me'!$B$4))</f>
        <v>210</v>
      </c>
      <c r="M68" s="4" t="str">
        <f>IF($I68="Complete","Green",IF($H68="","Amber",IF($H68&lt;'[2]Read Me'!$B$4,"Red",IF($H68-'[2]Read Me'!$B$4&lt;=21,"Amber","Green"))))</f>
        <v>Green</v>
      </c>
      <c r="N68" s="3"/>
      <c r="O68" t="str">
        <f>IF($I68&lt;&gt;"Complete",IF(COUNTIFS($A$4:$A67,$A68,$B$4:$B67,$B68,$I$4:$I67,"&lt;&gt;Complete")=0,$A68&amp;"|"&amp;$B68,""),"")</f>
        <v/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 t="s">
        <v>105</v>
      </c>
      <c r="B69" s="2" t="s">
        <v>62</v>
      </c>
      <c r="C69" s="3" t="s">
        <v>106</v>
      </c>
      <c r="D69" s="3" t="s">
        <v>47</v>
      </c>
      <c r="E69" s="2" t="s">
        <v>65</v>
      </c>
      <c r="F69" s="2" t="s">
        <v>68</v>
      </c>
      <c r="G69" s="5">
        <v>46376</v>
      </c>
      <c r="H69" s="5">
        <v>46411</v>
      </c>
      <c r="I69" s="4" t="s">
        <v>17</v>
      </c>
      <c r="J69" s="6">
        <f t="shared" si="4"/>
        <v>35</v>
      </c>
      <c r="K69" s="4" t="str">
        <f t="shared" ca="1" si="5"/>
        <v>No</v>
      </c>
      <c r="L69" s="7">
        <f>IF(I69="Completed","0",IF($H69="","",$H69-'[2]Read Me'!$B$4))</f>
        <v>224</v>
      </c>
      <c r="M69" s="4" t="str">
        <f>IF($I69="Complete","Green",IF($H69="","Amber",IF($H69&lt;'[2]Read Me'!$B$4,"Red",IF($H69-'[2]Read Me'!$B$4&lt;=21,"Amber","Green"))))</f>
        <v>Green</v>
      </c>
      <c r="N69" s="3"/>
      <c r="O69" t="str">
        <f>IF($I69&lt;&gt;"Complete",IF(COUNTIFS($A$4:$A68,$A69,$B$4:$B68,$B69,$I$4:$I68,"&lt;&gt;Complete")=0,$A69&amp;"|"&amp;$B69,""),"")</f>
        <v/>
      </c>
      <c r="P69" t="str">
        <f ca="1">IF($K69="Yes",COUNTIFS($K$4:$K69,"Yes"),"")</f>
        <v/>
      </c>
      <c r="Q69">
        <f t="shared" ca="1" si="6"/>
        <v>0</v>
      </c>
      <c r="R69" t="str">
        <f ca="1">IF($Q69=1,SUM($Q$4:$Q69),"")</f>
        <v/>
      </c>
    </row>
    <row r="70" spans="1:18" ht="22.5" customHeight="1" x14ac:dyDescent="0.3">
      <c r="A70" s="2" t="s">
        <v>105</v>
      </c>
      <c r="B70" s="2" t="s">
        <v>62</v>
      </c>
      <c r="C70" s="3" t="s">
        <v>106</v>
      </c>
      <c r="D70" s="3" t="s">
        <v>18</v>
      </c>
      <c r="E70" s="2" t="s">
        <v>75</v>
      </c>
      <c r="F70" s="2" t="s">
        <v>79</v>
      </c>
      <c r="G70" s="5">
        <v>46684</v>
      </c>
      <c r="H70" s="5">
        <v>46719</v>
      </c>
      <c r="I70" s="4" t="s">
        <v>17</v>
      </c>
      <c r="J70" s="6">
        <f t="shared" si="4"/>
        <v>35</v>
      </c>
      <c r="K70" s="4" t="str">
        <f t="shared" ca="1" si="5"/>
        <v>No</v>
      </c>
      <c r="L70" s="7">
        <f>IF(I70="Completed","0",IF($H70="","",$H70-'[2]Read Me'!$B$4))</f>
        <v>532</v>
      </c>
      <c r="M70" s="4" t="str">
        <f>IF($I70="Complete","Green",IF($H70="","Amber",IF($H70&lt;'[2]Read Me'!$B$4,"Red",IF($H70-'[2]Read Me'!$B$4&lt;=21,"Amber","Green"))))</f>
        <v>Green</v>
      </c>
      <c r="N70" s="3"/>
      <c r="O70" t="str">
        <f>IF($I70&lt;&gt;"Complete",IF(COUNTIFS($A$4:$A69,$A70,$B$4:$B69,$B70,$I$4:$I69,"&lt;&gt;Complete")=0,$A70&amp;"|"&amp;$B70,""),"")</f>
        <v/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 t="s">
        <v>105</v>
      </c>
      <c r="B71" s="2" t="s">
        <v>62</v>
      </c>
      <c r="C71" s="3" t="s">
        <v>106</v>
      </c>
      <c r="D71" s="3" t="s">
        <v>32</v>
      </c>
      <c r="E71" s="2" t="s">
        <v>75</v>
      </c>
      <c r="F71" s="2" t="s">
        <v>77</v>
      </c>
      <c r="G71" s="5">
        <v>46698</v>
      </c>
      <c r="H71" s="5">
        <v>46733</v>
      </c>
      <c r="I71" s="4" t="s">
        <v>17</v>
      </c>
      <c r="J71" s="6">
        <f t="shared" si="4"/>
        <v>35</v>
      </c>
      <c r="K71" s="4" t="str">
        <f t="shared" ca="1" si="5"/>
        <v>No</v>
      </c>
      <c r="L71" s="7">
        <f>IF(I71="Completed","0",IF($H71="","",$H71-'[2]Read Me'!$B$4))</f>
        <v>546</v>
      </c>
      <c r="M71" s="4" t="str">
        <f>IF($I71="Complete","Green",IF($H71="","Amber",IF($H71&lt;'[2]Read Me'!$B$4,"Red",IF($H71-'[2]Read Me'!$B$4&lt;=21,"Amber","Green"))))</f>
        <v>Green</v>
      </c>
      <c r="N71" s="3"/>
      <c r="O71" t="str">
        <f>IF($I71&lt;&gt;"Complete",IF(COUNTIFS($A$4:$A70,$A71,$B$4:$B70,$B71,$I$4:$I70,"&lt;&gt;Complete")=0,$A71&amp;"|"&amp;$B71,""),"")</f>
        <v/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 t="s">
        <v>105</v>
      </c>
      <c r="B72" s="2" t="s">
        <v>62</v>
      </c>
      <c r="C72" s="3" t="s">
        <v>106</v>
      </c>
      <c r="D72" s="3" t="s">
        <v>19</v>
      </c>
      <c r="E72" s="2" t="s">
        <v>33</v>
      </c>
      <c r="F72" s="2" t="s">
        <v>81</v>
      </c>
      <c r="G72" s="5">
        <v>46705</v>
      </c>
      <c r="H72" s="5">
        <v>46740</v>
      </c>
      <c r="I72" s="4" t="s">
        <v>17</v>
      </c>
      <c r="J72" s="6">
        <f t="shared" si="4"/>
        <v>35</v>
      </c>
      <c r="K72" s="4" t="str">
        <f t="shared" ca="1" si="5"/>
        <v>No</v>
      </c>
      <c r="L72" s="7">
        <f>IF(I72="Completed","0",IF($H72="","",$H72-'[2]Read Me'!$B$4))</f>
        <v>553</v>
      </c>
      <c r="M72" s="4" t="str">
        <f>IF($I72="Complete","Green",IF($H72="","Amber",IF($H72&lt;'[2]Read Me'!$B$4,"Red",IF($H72-'[2]Read Me'!$B$4&lt;=21,"Amber","Green"))))</f>
        <v>Green</v>
      </c>
      <c r="N72" s="3"/>
      <c r="O72" t="str">
        <f>IF($I72&lt;&gt;"Complete",IF(COUNTIFS($A$4:$A71,$A72,$B$4:$B71,$B72,$I$4:$I71,"&lt;&gt;Complete")=0,$A72&amp;"|"&amp;$B72,""),"")</f>
        <v/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 t="s">
        <v>105</v>
      </c>
      <c r="B73" s="2" t="s">
        <v>62</v>
      </c>
      <c r="C73" s="3" t="s">
        <v>106</v>
      </c>
      <c r="D73" s="3" t="s">
        <v>107</v>
      </c>
      <c r="E73" s="2"/>
      <c r="F73" s="2"/>
      <c r="G73" s="5">
        <v>46712</v>
      </c>
      <c r="H73" s="5">
        <v>46747</v>
      </c>
      <c r="I73" s="4" t="s">
        <v>17</v>
      </c>
      <c r="J73" s="6">
        <f t="shared" si="4"/>
        <v>35</v>
      </c>
      <c r="K73" s="4" t="str">
        <f t="shared" ca="1" si="5"/>
        <v>No</v>
      </c>
      <c r="L73" s="7">
        <f>IF(I73="Completed","0",IF($H73="","",$H73-'[2]Read Me'!$B$4))</f>
        <v>560</v>
      </c>
      <c r="M73" s="4" t="str">
        <f>IF($I73="Complete","Green",IF($H73="","Amber",IF($H73&lt;'[2]Read Me'!$B$4,"Red",IF($H73-'[2]Read Me'!$B$4&lt;=21,"Amber","Green"))))</f>
        <v>Green</v>
      </c>
      <c r="N73" s="3"/>
      <c r="O73" t="str">
        <f>IF($I73&lt;&gt;"Complete",IF(COUNTIFS($A$4:$A72,$A73,$B$4:$B72,$B73,$I$4:$I72,"&lt;&gt;Complete")=0,$A73&amp;"|"&amp;$B73,""),"")</f>
        <v/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 t="s">
        <v>105</v>
      </c>
      <c r="B74" s="2" t="s">
        <v>62</v>
      </c>
      <c r="C74" s="3" t="s">
        <v>106</v>
      </c>
      <c r="D74" s="3" t="s">
        <v>14</v>
      </c>
      <c r="E74" s="2" t="s">
        <v>75</v>
      </c>
      <c r="F74" s="2" t="s">
        <v>79</v>
      </c>
      <c r="G74" s="5">
        <v>46726</v>
      </c>
      <c r="H74" s="5">
        <v>46761</v>
      </c>
      <c r="I74" s="4" t="s">
        <v>17</v>
      </c>
      <c r="J74" s="6">
        <f t="shared" si="4"/>
        <v>35</v>
      </c>
      <c r="K74" s="4" t="str">
        <f t="shared" ca="1" si="5"/>
        <v>No</v>
      </c>
      <c r="L74" s="7">
        <f>IF(I74="Completed","0",IF($H74="","",$H74-'[2]Read Me'!$B$4))</f>
        <v>574</v>
      </c>
      <c r="M74" s="4" t="str">
        <f>IF($I74="Complete","Green",IF($H74="","Amber",IF($H74&lt;'[2]Read Me'!$B$4,"Red",IF($H74-'[2]Read Me'!$B$4&lt;=21,"Amber","Green"))))</f>
        <v>Green</v>
      </c>
      <c r="N74" s="3"/>
      <c r="O74" t="str">
        <f>IF($I74&lt;&gt;"Complete",IF(COUNTIFS($A$4:$A73,$A74,$B$4:$B73,$B74,$I$4:$I73,"&lt;&gt;Complete")=0,$A74&amp;"|"&amp;$B74,""),"")</f>
        <v/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 t="s">
        <v>105</v>
      </c>
      <c r="B75" s="2" t="s">
        <v>62</v>
      </c>
      <c r="C75" s="3" t="s">
        <v>106</v>
      </c>
      <c r="D75" s="3" t="s">
        <v>34</v>
      </c>
      <c r="E75" s="2" t="s">
        <v>75</v>
      </c>
      <c r="F75" s="2" t="s">
        <v>77</v>
      </c>
      <c r="G75" s="5">
        <v>46740</v>
      </c>
      <c r="H75" s="5">
        <v>46775</v>
      </c>
      <c r="I75" s="4" t="s">
        <v>17</v>
      </c>
      <c r="J75" s="6">
        <f t="shared" si="4"/>
        <v>35</v>
      </c>
      <c r="K75" s="4" t="str">
        <f t="shared" ca="1" si="5"/>
        <v>No</v>
      </c>
      <c r="L75" s="7">
        <f>IF(I75="Completed","0",IF($H75="","",$H75-'[2]Read Me'!$B$4))</f>
        <v>588</v>
      </c>
      <c r="M75" s="4" t="str">
        <f>IF($I75="Complete","Green",IF($H75="","Amber",IF($H75&lt;'[2]Read Me'!$B$4,"Red",IF($H75-'[2]Read Me'!$B$4&lt;=21,"Amber","Green"))))</f>
        <v>Green</v>
      </c>
      <c r="N75" s="3"/>
      <c r="O75" t="str">
        <f>IF($I75&lt;&gt;"Complete",IF(COUNTIFS($A$4:$A74,$A75,$B$4:$B74,$B75,$I$4:$I74,"&lt;&gt;Complete")=0,$A75&amp;"|"&amp;$B75,""),"")</f>
        <v/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 t="s">
        <v>105</v>
      </c>
      <c r="B76" s="2" t="s">
        <v>62</v>
      </c>
      <c r="C76" s="3" t="s">
        <v>106</v>
      </c>
      <c r="D76" s="3" t="s">
        <v>100</v>
      </c>
      <c r="E76" s="2" t="s">
        <v>75</v>
      </c>
      <c r="F76" s="2" t="s">
        <v>79</v>
      </c>
      <c r="G76" s="5">
        <v>46754</v>
      </c>
      <c r="H76" s="5">
        <v>46789</v>
      </c>
      <c r="I76" s="4" t="s">
        <v>17</v>
      </c>
      <c r="J76" s="6">
        <f t="shared" si="4"/>
        <v>35</v>
      </c>
      <c r="K76" s="4" t="str">
        <f t="shared" ca="1" si="5"/>
        <v>No</v>
      </c>
      <c r="L76" s="7">
        <f>IF(I76="Completed","0",IF($H76="","",$H76-'[2]Read Me'!$B$4))</f>
        <v>602</v>
      </c>
      <c r="M76" s="4" t="str">
        <f>IF($I76="Complete","Green",IF($H76="","Amber",IF($H76&lt;'[2]Read Me'!$B$4,"Red",IF($H76-'[2]Read Me'!$B$4&lt;=21,"Amber","Green"))))</f>
        <v>Green</v>
      </c>
      <c r="N76" s="3"/>
      <c r="O76" t="str">
        <f>IF($I76&lt;&gt;"Complete",IF(COUNTIFS($A$4:$A75,$A76,$B$4:$B75,$B76,$I$4:$I75,"&lt;&gt;Complete")=0,$A76&amp;"|"&amp;$B76,""),"")</f>
        <v/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 t="s">
        <v>105</v>
      </c>
      <c r="B77" s="2" t="s">
        <v>62</v>
      </c>
      <c r="C77" s="3" t="s">
        <v>106</v>
      </c>
      <c r="D77" s="3" t="s">
        <v>84</v>
      </c>
      <c r="E77" s="2" t="s">
        <v>75</v>
      </c>
      <c r="F77" s="2" t="s">
        <v>77</v>
      </c>
      <c r="G77" s="5">
        <v>46761</v>
      </c>
      <c r="H77" s="5">
        <v>46796</v>
      </c>
      <c r="I77" s="4" t="s">
        <v>17</v>
      </c>
      <c r="J77" s="6">
        <f t="shared" si="4"/>
        <v>35</v>
      </c>
      <c r="K77" s="4" t="str">
        <f t="shared" ca="1" si="5"/>
        <v>No</v>
      </c>
      <c r="L77" s="7">
        <f>IF(I77="Completed","0",IF($H77="","",$H77-'[2]Read Me'!$B$4))</f>
        <v>609</v>
      </c>
      <c r="M77" s="4" t="str">
        <f>IF($I77="Complete","Green",IF($H77="","Amber",IF($H77&lt;'[2]Read Me'!$B$4,"Red",IF($H77-'[2]Read Me'!$B$4&lt;=21,"Amber","Green"))))</f>
        <v>Green</v>
      </c>
      <c r="N77" s="3"/>
      <c r="O77" t="str">
        <f>IF($I77&lt;&gt;"Complete",IF(COUNTIFS($A$4:$A76,$A77,$B$4:$B76,$B77,$I$4:$I76,"&lt;&gt;Complete")=0,$A77&amp;"|"&amp;$B77,""),"")</f>
        <v/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 t="s">
        <v>105</v>
      </c>
      <c r="B78" s="2" t="s">
        <v>62</v>
      </c>
      <c r="C78" s="3" t="s">
        <v>106</v>
      </c>
      <c r="D78" s="3" t="s">
        <v>15</v>
      </c>
      <c r="E78" s="2" t="s">
        <v>75</v>
      </c>
      <c r="F78" s="2" t="s">
        <v>79</v>
      </c>
      <c r="G78" s="5">
        <v>46768</v>
      </c>
      <c r="H78" s="5">
        <v>46803</v>
      </c>
      <c r="I78" s="4" t="s">
        <v>17</v>
      </c>
      <c r="J78" s="6">
        <f t="shared" si="4"/>
        <v>35</v>
      </c>
      <c r="K78" s="4" t="str">
        <f t="shared" ca="1" si="5"/>
        <v>No</v>
      </c>
      <c r="L78" s="7">
        <f>IF(I78="Completed","0",IF($H78="","",$H78-'[2]Read Me'!$B$4))</f>
        <v>616</v>
      </c>
      <c r="M78" s="4" t="str">
        <f>IF($I78="Complete","Green",IF($H78="","Amber",IF($H78&lt;'[2]Read Me'!$B$4,"Red",IF($H78-'[2]Read Me'!$B$4&lt;=21,"Amber","Green"))))</f>
        <v>Green</v>
      </c>
      <c r="N78" s="3"/>
      <c r="O78" t="str">
        <f>IF($I78&lt;&gt;"Complete",IF(COUNTIFS($A$4:$A77,$A78,$B$4:$B77,$B78,$I$4:$I77,"&lt;&gt;Complete")=0,$A78&amp;"|"&amp;$B78,""),"")</f>
        <v/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 t="s">
        <v>105</v>
      </c>
      <c r="B79" s="2" t="s">
        <v>62</v>
      </c>
      <c r="C79" s="3" t="s">
        <v>106</v>
      </c>
      <c r="D79" s="3" t="s">
        <v>35</v>
      </c>
      <c r="E79" s="2" t="s">
        <v>75</v>
      </c>
      <c r="F79" s="2" t="s">
        <v>77</v>
      </c>
      <c r="G79" s="5">
        <v>46782</v>
      </c>
      <c r="H79" s="5">
        <v>46817</v>
      </c>
      <c r="I79" s="4" t="s">
        <v>17</v>
      </c>
      <c r="J79" s="6">
        <f t="shared" si="4"/>
        <v>35</v>
      </c>
      <c r="K79" s="4" t="str">
        <f t="shared" ca="1" si="5"/>
        <v>No</v>
      </c>
      <c r="L79" s="7">
        <f>IF(I79="Completed","0",IF($H79="","",$H79-'[2]Read Me'!$B$4))</f>
        <v>630</v>
      </c>
      <c r="M79" s="4" t="str">
        <f>IF($I79="Complete","Green",IF($H79="","Amber",IF($H79&lt;'[2]Read Me'!$B$4,"Red",IF($H79-'[2]Read Me'!$B$4&lt;=21,"Amber","Green"))))</f>
        <v>Green</v>
      </c>
      <c r="N79" s="3"/>
      <c r="O79" t="str">
        <f>IF($I79&lt;&gt;"Complete",IF(COUNTIFS($A$4:$A78,$A79,$B$4:$B78,$B79,$I$4:$I78,"&lt;&gt;Complete")=0,$A79&amp;"|"&amp;$B79,""),"")</f>
        <v/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 t="s">
        <v>105</v>
      </c>
      <c r="B80" s="2" t="s">
        <v>62</v>
      </c>
      <c r="C80" s="3" t="s">
        <v>106</v>
      </c>
      <c r="D80" s="3" t="s">
        <v>20</v>
      </c>
      <c r="E80" s="2" t="s">
        <v>33</v>
      </c>
      <c r="F80" s="2" t="s">
        <v>81</v>
      </c>
      <c r="G80" s="5">
        <v>46789</v>
      </c>
      <c r="H80" s="5">
        <v>46824</v>
      </c>
      <c r="I80" s="4" t="s">
        <v>17</v>
      </c>
      <c r="J80" s="6">
        <f t="shared" si="4"/>
        <v>35</v>
      </c>
      <c r="K80" s="4" t="str">
        <f t="shared" ca="1" si="5"/>
        <v>No</v>
      </c>
      <c r="L80" s="7">
        <f>IF(I80="Completed","0",IF($H80="","",$H80-'[2]Read Me'!$B$4))</f>
        <v>637</v>
      </c>
      <c r="M80" s="4" t="str">
        <f>IF($I80="Complete","Green",IF($H80="","Amber",IF($H80&lt;'[2]Read Me'!$B$4,"Red",IF($H80-'[2]Read Me'!$B$4&lt;=21,"Amber","Green"))))</f>
        <v>Green</v>
      </c>
      <c r="N80" s="3"/>
      <c r="O80" t="str">
        <f>IF($I80&lt;&gt;"Complete",IF(COUNTIFS($A$4:$A79,$A80,$B$4:$B79,$B80,$I$4:$I79,"&lt;&gt;Complete")=0,$A80&amp;"|"&amp;$B80,""),"")</f>
        <v/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 t="s">
        <v>105</v>
      </c>
      <c r="B81" s="2" t="s">
        <v>62</v>
      </c>
      <c r="C81" s="3" t="s">
        <v>106</v>
      </c>
      <c r="D81" s="3" t="s">
        <v>108</v>
      </c>
      <c r="E81" s="2" t="s">
        <v>75</v>
      </c>
      <c r="F81" s="2" t="s">
        <v>79</v>
      </c>
      <c r="G81" s="5">
        <v>46803</v>
      </c>
      <c r="H81" s="5">
        <v>46838</v>
      </c>
      <c r="I81" s="4" t="s">
        <v>17</v>
      </c>
      <c r="J81" s="6">
        <f t="shared" si="4"/>
        <v>35</v>
      </c>
      <c r="K81" s="4" t="str">
        <f t="shared" ca="1" si="5"/>
        <v>No</v>
      </c>
      <c r="L81" s="7">
        <f>IF(I81="Completed","0",IF($H81="","",$H81-'[2]Read Me'!$B$4))</f>
        <v>651</v>
      </c>
      <c r="M81" s="4" t="str">
        <f>IF($I81="Complete","Green",IF($H81="","Amber",IF($H81&lt;'[2]Read Me'!$B$4,"Red",IF($H81-'[2]Read Me'!$B$4&lt;=21,"Amber","Green"))))</f>
        <v>Green</v>
      </c>
      <c r="N81" s="3"/>
      <c r="O81" t="str">
        <f>IF($I81&lt;&gt;"Complete",IF(COUNTIFS($A$4:$A80,$A81,$B$4:$B80,$B81,$I$4:$I80,"&lt;&gt;Complete")=0,$A81&amp;"|"&amp;$B81,""),"")</f>
        <v/>
      </c>
      <c r="P81" t="str">
        <f ca="1">IF($K81="Yes",COUNTIFS($K$4:$K81,"Yes"),"")</f>
        <v/>
      </c>
      <c r="Q81">
        <f t="shared" ca="1" si="6"/>
        <v>0</v>
      </c>
      <c r="R81" t="str">
        <f ca="1">IF($Q81=1,SUM($Q$4:$Q81),"")</f>
        <v/>
      </c>
    </row>
    <row r="82" spans="1:18" ht="33.75" customHeight="1" x14ac:dyDescent="0.3">
      <c r="A82" s="2" t="s">
        <v>105</v>
      </c>
      <c r="B82" s="2" t="s">
        <v>62</v>
      </c>
      <c r="C82" s="3" t="s">
        <v>106</v>
      </c>
      <c r="D82" s="3" t="s">
        <v>37</v>
      </c>
      <c r="E82" s="2" t="s">
        <v>75</v>
      </c>
      <c r="F82" s="2" t="s">
        <v>77</v>
      </c>
      <c r="G82" s="5">
        <v>46817</v>
      </c>
      <c r="H82" s="5">
        <v>46852</v>
      </c>
      <c r="I82" s="4" t="s">
        <v>17</v>
      </c>
      <c r="J82" s="6">
        <f t="shared" si="4"/>
        <v>35</v>
      </c>
      <c r="K82" s="4" t="str">
        <f t="shared" ca="1" si="5"/>
        <v>No</v>
      </c>
      <c r="L82" s="7">
        <f>IF(I82="Completed","0",IF($H82="","",$H82-'[2]Read Me'!$B$4))</f>
        <v>665</v>
      </c>
      <c r="M82" s="4" t="str">
        <f>IF($I82="Complete","Green",IF($H82="","Amber",IF($H82&lt;'[2]Read Me'!$B$4,"Red",IF($H82-'[2]Read Me'!$B$4&lt;=21,"Amber","Green"))))</f>
        <v>Green</v>
      </c>
      <c r="N82" s="3"/>
      <c r="O82" t="str">
        <f>IF($I82&lt;&gt;"Complete",IF(COUNTIFS($A$4:$A81,$A82,$B$4:$B81,$B82,$I$4:$I81,"&lt;&gt;Complete")=0,$A82&amp;"|"&amp;$B82,""),"")</f>
        <v/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 t="s">
        <v>105</v>
      </c>
      <c r="B83" s="2" t="s">
        <v>62</v>
      </c>
      <c r="C83" s="3" t="s">
        <v>106</v>
      </c>
      <c r="D83" s="3" t="s">
        <v>109</v>
      </c>
      <c r="E83" s="2"/>
      <c r="F83" s="2"/>
      <c r="G83" s="5">
        <v>46901</v>
      </c>
      <c r="H83" s="5">
        <v>46936</v>
      </c>
      <c r="I83" s="4" t="s">
        <v>17</v>
      </c>
      <c r="J83" s="6">
        <f t="shared" si="4"/>
        <v>35</v>
      </c>
      <c r="K83" s="4" t="str">
        <f t="shared" ca="1" si="5"/>
        <v>No</v>
      </c>
      <c r="L83" s="7">
        <f>IF(I83="Completed","0",IF($H83="","",$H83-'[2]Read Me'!$B$4))</f>
        <v>749</v>
      </c>
      <c r="M83" s="4" t="str">
        <f>IF($I83="Complete","Green",IF($H83="","Amber",IF($H83&lt;'[2]Read Me'!$B$4,"Red",IF($H83-'[2]Read Me'!$B$4&lt;=21,"Amber","Green"))))</f>
        <v>Green</v>
      </c>
      <c r="N83" s="3"/>
      <c r="O83" t="str">
        <f>IF($I83&lt;&gt;"Complete",IF(COUNTIFS($A$4:$A82,$A83,$B$4:$B82,$B83,$I$4:$I82,"&lt;&gt;Complete")=0,$A83&amp;"|"&amp;$B83,""),"")</f>
        <v/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 t="s">
        <v>105</v>
      </c>
      <c r="B84" s="2" t="s">
        <v>62</v>
      </c>
      <c r="C84" s="3" t="s">
        <v>106</v>
      </c>
      <c r="D84" s="3" t="s">
        <v>110</v>
      </c>
      <c r="E84" s="2"/>
      <c r="F84" s="2"/>
      <c r="G84" s="5">
        <v>46474</v>
      </c>
      <c r="H84" s="5">
        <v>46509</v>
      </c>
      <c r="I84" s="4" t="s">
        <v>17</v>
      </c>
      <c r="J84" s="6">
        <f t="shared" si="4"/>
        <v>35</v>
      </c>
      <c r="K84" s="4" t="str">
        <f t="shared" ca="1" si="5"/>
        <v>No</v>
      </c>
      <c r="L84" s="7">
        <f>IF(I84="Completed","0",IF($H84="","",$H84-'[2]Read Me'!$B$4))</f>
        <v>322</v>
      </c>
      <c r="M84" s="4" t="str">
        <f>IF($I84="Complete","Green",IF($H84="","Amber",IF($H84&lt;'[2]Read Me'!$B$4,"Red",IF($H84-'[2]Read Me'!$B$4&lt;=21,"Amber","Green"))))</f>
        <v>Green</v>
      </c>
      <c r="N84" s="3"/>
      <c r="O84" t="str">
        <f>IF($I84&lt;&gt;"Complete",IF(COUNTIFS($A$4:$A83,$A84,$B$4:$B83,$B84,$I$4:$I83,"&lt;&gt;Complete")=0,$A84&amp;"|"&amp;$B84,""),"")</f>
        <v/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 t="s">
        <v>105</v>
      </c>
      <c r="B85" s="2" t="s">
        <v>62</v>
      </c>
      <c r="C85" s="3" t="s">
        <v>106</v>
      </c>
      <c r="D85" s="3" t="s">
        <v>91</v>
      </c>
      <c r="E85" s="2"/>
      <c r="F85" s="2"/>
      <c r="G85" s="5">
        <v>46803</v>
      </c>
      <c r="H85" s="5">
        <v>46838</v>
      </c>
      <c r="I85" s="4" t="s">
        <v>17</v>
      </c>
      <c r="J85" s="6">
        <f t="shared" si="4"/>
        <v>35</v>
      </c>
      <c r="K85" s="4" t="str">
        <f t="shared" ca="1" si="5"/>
        <v>No</v>
      </c>
      <c r="L85" s="7">
        <f>IF(I85="Completed","0",IF($H85="","",$H85-'[2]Read Me'!$B$4))</f>
        <v>651</v>
      </c>
      <c r="M85" s="4" t="str">
        <f>IF($I85="Complete","Green",IF($H85="","Amber",IF($H85&lt;'[2]Read Me'!$B$4,"Red",IF($H85-'[2]Read Me'!$B$4&lt;=21,"Amber","Green"))))</f>
        <v>Green</v>
      </c>
      <c r="N85" s="3"/>
      <c r="O85" t="str">
        <f>IF($I85&lt;&gt;"Complete",IF(COUNTIFS($A$4:$A84,$A85,$B$4:$B84,$B85,$I$4:$I84,"&lt;&gt;Complete")=0,$A85&amp;"|"&amp;$B85,""),"")</f>
        <v/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 t="s">
        <v>105</v>
      </c>
      <c r="B86" s="2" t="s">
        <v>62</v>
      </c>
      <c r="C86" s="3" t="s">
        <v>106</v>
      </c>
      <c r="D86" s="3" t="s">
        <v>93</v>
      </c>
      <c r="E86" s="2"/>
      <c r="F86" s="2"/>
      <c r="G86" s="5">
        <v>46845</v>
      </c>
      <c r="H86" s="5">
        <v>46880</v>
      </c>
      <c r="I86" s="4" t="s">
        <v>17</v>
      </c>
      <c r="J86" s="6">
        <f t="shared" si="4"/>
        <v>35</v>
      </c>
      <c r="K86" s="4" t="str">
        <f t="shared" ca="1" si="5"/>
        <v>No</v>
      </c>
      <c r="L86" s="7">
        <f>IF(I86="Completed","0",IF($H86="","",$H86-'[2]Read Me'!$B$4))</f>
        <v>693</v>
      </c>
      <c r="M86" s="4" t="str">
        <f>IF($I86="Complete","Green",IF($H86="","Amber",IF($H86&lt;'[2]Read Me'!$B$4,"Red",IF($H86-'[2]Read Me'!$B$4&lt;=21,"Amber","Green"))))</f>
        <v>Green</v>
      </c>
      <c r="N86" s="3"/>
      <c r="O86" t="str">
        <f>IF($I86&lt;&gt;"Complete",IF(COUNTIFS($A$4:$A85,$A86,$B$4:$B85,$B86,$I$4:$I85,"&lt;&gt;Complete")=0,$A86&amp;"|"&amp;$B86,""),"")</f>
        <v/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 t="s">
        <v>105</v>
      </c>
      <c r="B87" s="2" t="s">
        <v>62</v>
      </c>
      <c r="C87" s="3" t="s">
        <v>106</v>
      </c>
      <c r="D87" s="3" t="s">
        <v>94</v>
      </c>
      <c r="E87" s="2"/>
      <c r="F87" s="2"/>
      <c r="G87" s="5">
        <v>46901</v>
      </c>
      <c r="H87" s="5">
        <v>46936</v>
      </c>
      <c r="I87" s="4" t="s">
        <v>17</v>
      </c>
      <c r="J87" s="6">
        <f t="shared" si="4"/>
        <v>35</v>
      </c>
      <c r="K87" s="4" t="str">
        <f t="shared" ca="1" si="5"/>
        <v>No</v>
      </c>
      <c r="L87" s="7">
        <f>IF(I87="Completed","0",IF($H87="","",$H87-'[2]Read Me'!$B$4))</f>
        <v>749</v>
      </c>
      <c r="M87" s="4" t="str">
        <f>IF($I87="Complete","Green",IF($H87="","Amber",IF($H87&lt;'[2]Read Me'!$B$4,"Red",IF($H87-'[2]Read Me'!$B$4&lt;=21,"Amber","Green"))))</f>
        <v>Green</v>
      </c>
      <c r="N87" s="3"/>
      <c r="O87" t="str">
        <f>IF($I87&lt;&gt;"Complete",IF(COUNTIFS($A$4:$A86,$A87,$B$4:$B86,$B87,$I$4:$I86,"&lt;&gt;Complete")=0,$A87&amp;"|"&amp;$B87,""),"")</f>
        <v/>
      </c>
      <c r="P87" t="str">
        <f ca="1">IF($K87="Yes",COUNTIFS($K$4:$K87,"Yes"),"")</f>
        <v/>
      </c>
      <c r="Q87">
        <f t="shared" ca="1" si="6"/>
        <v>0</v>
      </c>
      <c r="R87" t="str">
        <f ca="1">IF($Q87=1,SUM($Q$4:$Q87),"")</f>
        <v/>
      </c>
    </row>
    <row r="88" spans="1:18" ht="33.75" customHeight="1" x14ac:dyDescent="0.3">
      <c r="A88" s="2" t="s">
        <v>111</v>
      </c>
      <c r="B88" s="2" t="s">
        <v>62</v>
      </c>
      <c r="C88" s="3"/>
      <c r="D88" s="3"/>
      <c r="E88" s="2"/>
      <c r="F88" s="2"/>
      <c r="G88" s="5">
        <v>46418</v>
      </c>
      <c r="H88" s="5">
        <v>46453</v>
      </c>
      <c r="I88" s="4"/>
      <c r="J88" s="6">
        <f t="shared" si="4"/>
        <v>35</v>
      </c>
      <c r="K88" s="4" t="str">
        <f t="shared" ca="1" si="5"/>
        <v/>
      </c>
      <c r="L88" s="7">
        <f>IF(I88="Completed","0",IF($H88="","",$H88-'[2]Read Me'!$B$4))</f>
        <v>266</v>
      </c>
      <c r="M88" s="4" t="str">
        <f>IF($I88="Complete","Green",IF($H88="","Amber",IF($H88&lt;'[2]Read Me'!$B$4,"Red",IF($H88-'[2]Read Me'!$B$4&lt;=21,"Amber","Green"))))</f>
        <v>Green</v>
      </c>
      <c r="N88" s="3"/>
      <c r="O88" t="str">
        <f>IF($I88&lt;&gt;"Complete",IF(COUNTIFS($A$4:$A87,$A88,$B$4:$B87,$B88,$I$4:$I87,"&lt;&gt;Complete")=0,$A88&amp;"|"&amp;$B88,""),"")</f>
        <v>Podium|Buildings</v>
      </c>
      <c r="P88" t="str">
        <f ca="1">IF($K88="Yes",COUNTIFS($K$4:$K88,"Yes"),"")</f>
        <v/>
      </c>
      <c r="Q88">
        <f t="shared" ca="1" si="6"/>
        <v>0</v>
      </c>
      <c r="R88" t="str">
        <f ca="1">IF($Q88=1,SUM($Q$4:$Q88),"")</f>
        <v/>
      </c>
    </row>
    <row r="89" spans="1:18" ht="33.75" customHeight="1" x14ac:dyDescent="0.3">
      <c r="A89" s="2" t="s">
        <v>111</v>
      </c>
      <c r="B89" s="2" t="s">
        <v>62</v>
      </c>
      <c r="C89" s="3" t="s">
        <v>112</v>
      </c>
      <c r="D89" s="3" t="s">
        <v>113</v>
      </c>
      <c r="E89" s="2" t="s">
        <v>75</v>
      </c>
      <c r="F89" s="2"/>
      <c r="G89" s="5">
        <v>46173</v>
      </c>
      <c r="H89" s="5">
        <v>46271</v>
      </c>
      <c r="I89" s="4" t="s">
        <v>17</v>
      </c>
      <c r="J89" s="6">
        <f t="shared" si="4"/>
        <v>98</v>
      </c>
      <c r="K89" s="4" t="str">
        <f t="shared" ca="1" si="5"/>
        <v>No</v>
      </c>
      <c r="L89" s="7">
        <f>IF(I89="Completed","0",IF($H89="","",$H89-'[2]Read Me'!$B$4))</f>
        <v>84</v>
      </c>
      <c r="M89" s="4" t="str">
        <f>IF($I89="Complete","Green",IF($H89="","Amber",IF($H89&lt;'[2]Read Me'!$B$4,"Red",IF($H89-'[2]Read Me'!$B$4&lt;=21,"Amber","Green"))))</f>
        <v>Green</v>
      </c>
      <c r="N89" s="3"/>
      <c r="O89" t="str">
        <f>IF($I89&lt;&gt;"Complete",IF(COUNTIFS($A$4:$A88,$A89,$B$4:$B88,$B89,$I$4:$I88,"&lt;&gt;Complete")=0,$A89&amp;"|"&amp;$B89,""),"")</f>
        <v/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 t="s">
        <v>111</v>
      </c>
      <c r="B90" s="2" t="s">
        <v>62</v>
      </c>
      <c r="C90" s="3" t="s">
        <v>112</v>
      </c>
      <c r="D90" s="3" t="s">
        <v>114</v>
      </c>
      <c r="E90" s="2" t="s">
        <v>75</v>
      </c>
      <c r="F90" s="2"/>
      <c r="G90" s="5">
        <v>46187</v>
      </c>
      <c r="H90" s="5">
        <v>46285</v>
      </c>
      <c r="I90" s="4" t="s">
        <v>17</v>
      </c>
      <c r="J90" s="6">
        <f t="shared" si="4"/>
        <v>98</v>
      </c>
      <c r="K90" s="4" t="str">
        <f t="shared" ca="1" si="5"/>
        <v>No</v>
      </c>
      <c r="L90" s="7">
        <f>IF(I90="Completed","0",IF($H90="","",$H90-'[2]Read Me'!$B$4))</f>
        <v>98</v>
      </c>
      <c r="M90" s="4" t="str">
        <f>IF($I90="Complete","Green",IF($H90="","Amber",IF($H90&lt;'[2]Read Me'!$B$4,"Red",IF($H90-'[2]Read Me'!$B$4&lt;=21,"Amber","Green"))))</f>
        <v>Green</v>
      </c>
      <c r="N90" s="3"/>
      <c r="O90" t="str">
        <f>IF($I90&lt;&gt;"Complete",IF(COUNTIFS($A$4:$A89,$A90,$B$4:$B89,$B90,$I$4:$I89,"&lt;&gt;Complete")=0,$A90&amp;"|"&amp;$B90,""),"")</f>
        <v/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 t="s">
        <v>111</v>
      </c>
      <c r="B91" s="2" t="s">
        <v>62</v>
      </c>
      <c r="C91" s="3" t="s">
        <v>112</v>
      </c>
      <c r="D91" s="3" t="s">
        <v>80</v>
      </c>
      <c r="E91" s="2" t="s">
        <v>75</v>
      </c>
      <c r="F91" s="2"/>
      <c r="G91" s="5">
        <v>46201</v>
      </c>
      <c r="H91" s="5">
        <v>46299</v>
      </c>
      <c r="I91" s="4" t="s">
        <v>17</v>
      </c>
      <c r="J91" s="6">
        <f t="shared" si="4"/>
        <v>98</v>
      </c>
      <c r="K91" s="4" t="str">
        <f t="shared" ca="1" si="5"/>
        <v>No</v>
      </c>
      <c r="L91" s="7">
        <f>IF(I91="Completed","0",IF($H91="","",$H91-'[2]Read Me'!$B$4))</f>
        <v>112</v>
      </c>
      <c r="M91" s="4" t="str">
        <f>IF($I91="Complete","Green",IF($H91="","Amber",IF($H91&lt;'[2]Read Me'!$B$4,"Red",IF($H91-'[2]Read Me'!$B$4&lt;=21,"Amber","Green"))))</f>
        <v>Green</v>
      </c>
      <c r="N91" s="3"/>
      <c r="O91" t="str">
        <f>IF($I91&lt;&gt;"Complete",IF(COUNTIFS($A$4:$A90,$A91,$B$4:$B90,$B91,$I$4:$I90,"&lt;&gt;Complete")=0,$A91&amp;"|"&amp;$B91,""),"")</f>
        <v/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 t="s">
        <v>111</v>
      </c>
      <c r="B92" s="2" t="s">
        <v>62</v>
      </c>
      <c r="C92" s="3" t="s">
        <v>112</v>
      </c>
      <c r="D92" s="3" t="s">
        <v>115</v>
      </c>
      <c r="E92" s="2" t="s">
        <v>75</v>
      </c>
      <c r="F92" s="2"/>
      <c r="G92" s="5">
        <v>46285</v>
      </c>
      <c r="H92" s="5">
        <v>46320</v>
      </c>
      <c r="I92" s="4" t="s">
        <v>17</v>
      </c>
      <c r="J92" s="6">
        <f t="shared" si="4"/>
        <v>35</v>
      </c>
      <c r="K92" s="4" t="str">
        <f t="shared" ca="1" si="5"/>
        <v>No</v>
      </c>
      <c r="L92" s="7">
        <f>IF(I92="Completed","0",IF($H92="","",$H92-'[2]Read Me'!$B$4))</f>
        <v>133</v>
      </c>
      <c r="M92" s="4" t="str">
        <f>IF($I92="Complete","Green",IF($H92="","Amber",IF($H92&lt;'[2]Read Me'!$B$4,"Red",IF($H92-'[2]Read Me'!$B$4&lt;=21,"Amber","Green"))))</f>
        <v>Green</v>
      </c>
      <c r="N92" s="3"/>
      <c r="O92" t="str">
        <f>IF($I92&lt;&gt;"Complete",IF(COUNTIFS($A$4:$A91,$A92,$B$4:$B91,$B92,$I$4:$I91,"&lt;&gt;Complete")=0,$A92&amp;"|"&amp;$B92,""),"")</f>
        <v/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 t="s">
        <v>111</v>
      </c>
      <c r="B93" s="2" t="s">
        <v>62</v>
      </c>
      <c r="C93" s="3" t="s">
        <v>112</v>
      </c>
      <c r="D93" s="3" t="s">
        <v>32</v>
      </c>
      <c r="E93" s="2" t="s">
        <v>75</v>
      </c>
      <c r="F93" s="2"/>
      <c r="G93" s="5">
        <v>46299</v>
      </c>
      <c r="H93" s="5">
        <v>46334</v>
      </c>
      <c r="I93" s="4" t="s">
        <v>17</v>
      </c>
      <c r="J93" s="6">
        <f t="shared" si="4"/>
        <v>35</v>
      </c>
      <c r="K93" s="4" t="str">
        <f t="shared" ca="1" si="5"/>
        <v>No</v>
      </c>
      <c r="L93" s="7">
        <f>IF(I93="Completed","0",IF($H93="","",$H93-'[2]Read Me'!$B$4))</f>
        <v>147</v>
      </c>
      <c r="M93" s="4" t="str">
        <f>IF($I93="Complete","Green",IF($H93="","Amber",IF($H93&lt;'[2]Read Me'!$B$4,"Red",IF($H93-'[2]Read Me'!$B$4&lt;=21,"Amber","Green"))))</f>
        <v>Green</v>
      </c>
      <c r="N93" s="3"/>
      <c r="O93" t="str">
        <f>IF($I93&lt;&gt;"Complete",IF(COUNTIFS($A$4:$A92,$A93,$B$4:$B92,$B93,$I$4:$I92,"&lt;&gt;Complete")=0,$A93&amp;"|"&amp;$B93,""),"")</f>
        <v/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 t="s">
        <v>111</v>
      </c>
      <c r="B94" s="2" t="s">
        <v>62</v>
      </c>
      <c r="C94" s="3" t="s">
        <v>112</v>
      </c>
      <c r="D94" s="3" t="s">
        <v>19</v>
      </c>
      <c r="E94" s="2" t="s">
        <v>33</v>
      </c>
      <c r="F94" s="2" t="s">
        <v>81</v>
      </c>
      <c r="G94" s="5">
        <v>46299</v>
      </c>
      <c r="H94" s="5">
        <v>46334</v>
      </c>
      <c r="I94" s="4" t="s">
        <v>17</v>
      </c>
      <c r="J94" s="6">
        <f t="shared" si="4"/>
        <v>35</v>
      </c>
      <c r="K94" s="4" t="str">
        <f t="shared" ca="1" si="5"/>
        <v>No</v>
      </c>
      <c r="L94" s="7">
        <f>IF(I94="Completed","0",IF($H94="","",$H94-'[2]Read Me'!$B$4))</f>
        <v>147</v>
      </c>
      <c r="M94" s="4" t="str">
        <f>IF($I94="Complete","Green",IF($H94="","Amber",IF($H94&lt;'[2]Read Me'!$B$4,"Red",IF($H94-'[2]Read Me'!$B$4&lt;=21,"Amber","Green"))))</f>
        <v>Green</v>
      </c>
      <c r="N94" s="3"/>
      <c r="O94" t="str">
        <f>IF($I94&lt;&gt;"Complete",IF(COUNTIFS($A$4:$A93,$A94,$B$4:$B93,$B94,$I$4:$I93,"&lt;&gt;Complete")=0,$A94&amp;"|"&amp;$B94,""),"")</f>
        <v/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 t="s">
        <v>111</v>
      </c>
      <c r="B95" s="2" t="s">
        <v>62</v>
      </c>
      <c r="C95" s="3" t="s">
        <v>112</v>
      </c>
      <c r="D95" s="3" t="s">
        <v>116</v>
      </c>
      <c r="E95" s="2" t="s">
        <v>75</v>
      </c>
      <c r="F95" s="2"/>
      <c r="G95" s="5">
        <v>46327</v>
      </c>
      <c r="H95" s="5">
        <v>46362</v>
      </c>
      <c r="I95" s="4" t="s">
        <v>17</v>
      </c>
      <c r="J95" s="6">
        <f t="shared" si="4"/>
        <v>35</v>
      </c>
      <c r="K95" s="4" t="str">
        <f t="shared" ca="1" si="5"/>
        <v>No</v>
      </c>
      <c r="L95" s="7">
        <f>IF(I95="Completed","0",IF($H95="","",$H95-'[2]Read Me'!$B$4))</f>
        <v>175</v>
      </c>
      <c r="M95" s="4" t="str">
        <f>IF($I95="Complete","Green",IF($H95="","Amber",IF($H95&lt;'[2]Read Me'!$B$4,"Red",IF($H95-'[2]Read Me'!$B$4&lt;=21,"Amber","Green"))))</f>
        <v>Green</v>
      </c>
      <c r="N95" s="3"/>
      <c r="O95" t="str">
        <f>IF($I95&lt;&gt;"Complete",IF(COUNTIFS($A$4:$A94,$A95,$B$4:$B94,$B95,$I$4:$I94,"&lt;&gt;Complete")=0,$A95&amp;"|"&amp;$B95,""),"")</f>
        <v/>
      </c>
      <c r="P95" t="str">
        <f ca="1">IF($K95="Yes",COUNTIFS($K$4:$K95,"Yes"),"")</f>
        <v/>
      </c>
      <c r="Q95">
        <f t="shared" ca="1" si="6"/>
        <v>0</v>
      </c>
      <c r="R95" t="str">
        <f ca="1">IF($Q95=1,SUM($Q$4:$Q95),"")</f>
        <v/>
      </c>
    </row>
    <row r="96" spans="1:18" ht="33.75" customHeight="1" x14ac:dyDescent="0.3">
      <c r="A96" s="2" t="s">
        <v>111</v>
      </c>
      <c r="B96" s="2" t="s">
        <v>62</v>
      </c>
      <c r="C96" s="3" t="s">
        <v>112</v>
      </c>
      <c r="D96" s="3" t="s">
        <v>70</v>
      </c>
      <c r="E96" s="2" t="s">
        <v>75</v>
      </c>
      <c r="F96" s="2"/>
      <c r="G96" s="5">
        <v>46341</v>
      </c>
      <c r="H96" s="5">
        <v>46376</v>
      </c>
      <c r="I96" s="4" t="s">
        <v>17</v>
      </c>
      <c r="J96" s="6">
        <f t="shared" si="4"/>
        <v>35</v>
      </c>
      <c r="K96" s="4" t="str">
        <f t="shared" ca="1" si="5"/>
        <v>No</v>
      </c>
      <c r="L96" s="7">
        <f>IF(I96="Completed","0",IF($H96="","",$H96-'[2]Read Me'!$B$4))</f>
        <v>189</v>
      </c>
      <c r="M96" s="4" t="str">
        <f>IF($I96="Complete","Green",IF($H96="","Amber",IF($H96&lt;'[2]Read Me'!$B$4,"Red",IF($H96-'[2]Read Me'!$B$4&lt;=21,"Amber","Green"))))</f>
        <v>Green</v>
      </c>
      <c r="N96" s="3"/>
      <c r="O96" t="str">
        <f>IF($I96&lt;&gt;"Complete",IF(COUNTIFS($A$4:$A95,$A96,$B$4:$B95,$B96,$I$4:$I95,"&lt;&gt;Complete")=0,$A96&amp;"|"&amp;$B96,""),"")</f>
        <v/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 t="s">
        <v>111</v>
      </c>
      <c r="B97" s="2" t="s">
        <v>62</v>
      </c>
      <c r="C97" s="3" t="s">
        <v>112</v>
      </c>
      <c r="D97" s="3" t="s">
        <v>117</v>
      </c>
      <c r="E97" s="2" t="s">
        <v>75</v>
      </c>
      <c r="F97" s="2"/>
      <c r="G97" s="5">
        <v>46355</v>
      </c>
      <c r="H97" s="5">
        <v>46390</v>
      </c>
      <c r="I97" s="4" t="s">
        <v>17</v>
      </c>
      <c r="J97" s="6">
        <f t="shared" si="4"/>
        <v>35</v>
      </c>
      <c r="K97" s="4" t="str">
        <f t="shared" ca="1" si="5"/>
        <v>No</v>
      </c>
      <c r="L97" s="7">
        <f>IF(I97="Completed","0",IF($H97="","",$H97-'[2]Read Me'!$B$4))</f>
        <v>203</v>
      </c>
      <c r="M97" s="4" t="str">
        <f>IF($I97="Complete","Green",IF($H97="","Amber",IF($H97&lt;'[2]Read Me'!$B$4,"Red",IF($H97-'[2]Read Me'!$B$4&lt;=21,"Amber","Green"))))</f>
        <v>Green</v>
      </c>
      <c r="N97" s="3"/>
      <c r="O97" t="str">
        <f>IF($I97&lt;&gt;"Complete",IF(COUNTIFS($A$4:$A96,$A97,$B$4:$B96,$B97,$I$4:$I96,"&lt;&gt;Complete")=0,$A97&amp;"|"&amp;$B97,""),"")</f>
        <v/>
      </c>
      <c r="P97" t="str">
        <f ca="1">IF($K97="Yes",COUNTIFS($K$4:$K97,"Yes"),"")</f>
        <v/>
      </c>
      <c r="Q97">
        <f t="shared" ca="1" si="6"/>
        <v>0</v>
      </c>
      <c r="R97" t="str">
        <f ca="1">IF($Q97=1,SUM($Q$4:$Q97),"")</f>
        <v/>
      </c>
    </row>
    <row r="98" spans="1:18" ht="33.75" customHeight="1" x14ac:dyDescent="0.3">
      <c r="A98" s="2" t="s">
        <v>111</v>
      </c>
      <c r="B98" s="2" t="s">
        <v>62</v>
      </c>
      <c r="C98" s="3" t="s">
        <v>112</v>
      </c>
      <c r="D98" s="3" t="s">
        <v>84</v>
      </c>
      <c r="E98" s="2" t="s">
        <v>75</v>
      </c>
      <c r="F98" s="2"/>
      <c r="G98" s="5">
        <v>46362</v>
      </c>
      <c r="H98" s="5">
        <v>46397</v>
      </c>
      <c r="I98" s="4" t="s">
        <v>17</v>
      </c>
      <c r="J98" s="6">
        <f t="shared" si="4"/>
        <v>35</v>
      </c>
      <c r="K98" s="4" t="str">
        <f t="shared" ca="1" si="5"/>
        <v>No</v>
      </c>
      <c r="L98" s="7">
        <f>IF(I98="Completed","0",IF($H98="","",$H98-'[2]Read Me'!$B$4))</f>
        <v>210</v>
      </c>
      <c r="M98" s="4" t="str">
        <f>IF($I98="Complete","Green",IF($H98="","Amber",IF($H98&lt;'[2]Read Me'!$B$4,"Red",IF($H98-'[2]Read Me'!$B$4&lt;=21,"Amber","Green"))))</f>
        <v>Green</v>
      </c>
      <c r="N98" s="3"/>
      <c r="O98" t="str">
        <f>IF($I98&lt;&gt;"Complete",IF(COUNTIFS($A$4:$A97,$A98,$B$4:$B97,$B98,$I$4:$I97,"&lt;&gt;Complete")=0,$A98&amp;"|"&amp;$B98,""),"")</f>
        <v/>
      </c>
      <c r="P98" t="str">
        <f ca="1">IF($K98="Yes",COUNTIFS($K$4:$K98,"Yes"),"")</f>
        <v/>
      </c>
      <c r="Q98">
        <f t="shared" ca="1" si="6"/>
        <v>0</v>
      </c>
      <c r="R98" t="str">
        <f ca="1">IF($Q98=1,SUM($Q$4:$Q98),"")</f>
        <v/>
      </c>
    </row>
    <row r="99" spans="1:18" ht="33.75" customHeight="1" x14ac:dyDescent="0.3">
      <c r="A99" s="2" t="s">
        <v>111</v>
      </c>
      <c r="B99" s="2" t="s">
        <v>62</v>
      </c>
      <c r="C99" s="3" t="s">
        <v>112</v>
      </c>
      <c r="D99" s="3" t="s">
        <v>118</v>
      </c>
      <c r="E99" s="2" t="s">
        <v>75</v>
      </c>
      <c r="F99" s="2"/>
      <c r="G99" s="5">
        <v>46369</v>
      </c>
      <c r="H99" s="5">
        <v>46404</v>
      </c>
      <c r="I99" s="4" t="s">
        <v>17</v>
      </c>
      <c r="J99" s="6">
        <f t="shared" si="4"/>
        <v>35</v>
      </c>
      <c r="K99" s="4" t="str">
        <f t="shared" ca="1" si="5"/>
        <v>No</v>
      </c>
      <c r="L99" s="7">
        <f>IF(I99="Completed","0",IF($H99="","",$H99-'[2]Read Me'!$B$4))</f>
        <v>217</v>
      </c>
      <c r="M99" s="4" t="str">
        <f>IF($I99="Complete","Green",IF($H99="","Amber",IF($H99&lt;'[2]Read Me'!$B$4,"Red",IF($H99-'[2]Read Me'!$B$4&lt;=21,"Amber","Green"))))</f>
        <v>Green</v>
      </c>
      <c r="N99" s="3"/>
      <c r="O99" t="str">
        <f>IF($I99&lt;&gt;"Complete",IF(COUNTIFS($A$4:$A98,$A99,$B$4:$B98,$B99,$I$4:$I98,"&lt;&gt;Complete")=0,$A99&amp;"|"&amp;$B99,""),"")</f>
        <v/>
      </c>
      <c r="P99" t="str">
        <f ca="1">IF($K99="Yes",COUNTIFS($K$4:$K99,"Yes"),"")</f>
        <v/>
      </c>
      <c r="Q99">
        <f t="shared" ca="1" si="6"/>
        <v>0</v>
      </c>
      <c r="R99" t="str">
        <f ca="1">IF($Q99=1,SUM($Q$4:$Q99),"")</f>
        <v/>
      </c>
    </row>
    <row r="100" spans="1:18" ht="33.75" customHeight="1" x14ac:dyDescent="0.3">
      <c r="A100" s="2" t="s">
        <v>111</v>
      </c>
      <c r="B100" s="2" t="s">
        <v>62</v>
      </c>
      <c r="C100" s="3" t="s">
        <v>112</v>
      </c>
      <c r="D100" s="3" t="s">
        <v>35</v>
      </c>
      <c r="E100" s="2" t="s">
        <v>75</v>
      </c>
      <c r="F100" s="2"/>
      <c r="G100" s="5">
        <v>46383</v>
      </c>
      <c r="H100" s="5">
        <v>46418</v>
      </c>
      <c r="I100" s="4" t="s">
        <v>17</v>
      </c>
      <c r="J100" s="6">
        <f t="shared" si="4"/>
        <v>35</v>
      </c>
      <c r="K100" s="4" t="str">
        <f t="shared" ca="1" si="5"/>
        <v>No</v>
      </c>
      <c r="L100" s="7">
        <f>IF(I100="Completed","0",IF($H100="","",$H100-'[2]Read Me'!$B$4))</f>
        <v>231</v>
      </c>
      <c r="M100" s="4" t="str">
        <f>IF($I100="Complete","Green",IF($H100="","Amber",IF($H100&lt;'[2]Read Me'!$B$4,"Red",IF($H100-'[2]Read Me'!$B$4&lt;=21,"Amber","Green"))))</f>
        <v>Green</v>
      </c>
      <c r="N100" s="3"/>
      <c r="O100" t="str">
        <f>IF($I100&lt;&gt;"Complete",IF(COUNTIFS($A$4:$A99,$A100,$B$4:$B99,$B100,$I$4:$I99,"&lt;&gt;Complete")=0,$A100&amp;"|"&amp;$B100,""),"")</f>
        <v/>
      </c>
      <c r="P100" t="str">
        <f ca="1">IF($K100="Yes",COUNTIFS($K$4:$K100,"Yes"),"")</f>
        <v/>
      </c>
      <c r="Q100">
        <f t="shared" ca="1" si="6"/>
        <v>0</v>
      </c>
      <c r="R100" t="str">
        <f ca="1">IF($Q100=1,SUM($Q$4:$Q100),"")</f>
        <v/>
      </c>
    </row>
    <row r="101" spans="1:18" ht="33.75" customHeight="1" x14ac:dyDescent="0.3">
      <c r="A101" s="2" t="s">
        <v>111</v>
      </c>
      <c r="B101" s="2" t="s">
        <v>62</v>
      </c>
      <c r="C101" s="3" t="s">
        <v>112</v>
      </c>
      <c r="D101" s="3" t="s">
        <v>20</v>
      </c>
      <c r="E101" s="2" t="s">
        <v>33</v>
      </c>
      <c r="F101" s="2" t="s">
        <v>81</v>
      </c>
      <c r="G101" s="5">
        <v>46390</v>
      </c>
      <c r="H101" s="5">
        <v>46425</v>
      </c>
      <c r="I101" s="4" t="s">
        <v>17</v>
      </c>
      <c r="J101" s="6">
        <f t="shared" si="4"/>
        <v>35</v>
      </c>
      <c r="K101" s="4" t="str">
        <f t="shared" ca="1" si="5"/>
        <v>No</v>
      </c>
      <c r="L101" s="7">
        <f>IF(I101="Completed","0",IF($H101="","",$H101-'[2]Read Me'!$B$4))</f>
        <v>238</v>
      </c>
      <c r="M101" s="4" t="str">
        <f>IF($I101="Complete","Green",IF($H101="","Amber",IF($H101&lt;'[2]Read Me'!$B$4,"Red",IF($H101-'[2]Read Me'!$B$4&lt;=21,"Amber","Green"))))</f>
        <v>Green</v>
      </c>
      <c r="N101" s="3"/>
      <c r="O101" t="str">
        <f>IF($I101&lt;&gt;"Complete",IF(COUNTIFS($A$4:$A100,$A101,$B$4:$B100,$B101,$I$4:$I100,"&lt;&gt;Complete")=0,$A101&amp;"|"&amp;$B101,""),"")</f>
        <v/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 t="s">
        <v>111</v>
      </c>
      <c r="B102" s="2" t="s">
        <v>62</v>
      </c>
      <c r="C102" s="3" t="s">
        <v>112</v>
      </c>
      <c r="D102" s="3" t="s">
        <v>119</v>
      </c>
      <c r="E102" s="2" t="s">
        <v>75</v>
      </c>
      <c r="F102" s="2"/>
      <c r="G102" s="5">
        <v>46404</v>
      </c>
      <c r="H102" s="5">
        <v>46439</v>
      </c>
      <c r="I102" s="4" t="s">
        <v>17</v>
      </c>
      <c r="J102" s="6">
        <f t="shared" si="4"/>
        <v>35</v>
      </c>
      <c r="K102" s="4" t="str">
        <f t="shared" ca="1" si="5"/>
        <v>No</v>
      </c>
      <c r="L102" s="7">
        <f>IF(I102="Completed","0",IF($H102="","",$H102-'[2]Read Me'!$B$4))</f>
        <v>252</v>
      </c>
      <c r="M102" s="4" t="str">
        <f>IF($I102="Complete","Green",IF($H102="","Amber",IF($H102&lt;'[2]Read Me'!$B$4,"Red",IF($H102-'[2]Read Me'!$B$4&lt;=21,"Amber","Green"))))</f>
        <v>Green</v>
      </c>
      <c r="N102" s="3"/>
      <c r="O102" t="str">
        <f>IF($I102&lt;&gt;"Complete",IF(COUNTIFS($A$4:$A101,$A102,$B$4:$B101,$B102,$I$4:$I101,"&lt;&gt;Complete")=0,$A102&amp;"|"&amp;$B102,""),"")</f>
        <v/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 t="s">
        <v>111</v>
      </c>
      <c r="B103" s="2" t="s">
        <v>62</v>
      </c>
      <c r="C103" s="3" t="s">
        <v>112</v>
      </c>
      <c r="D103" s="3" t="s">
        <v>37</v>
      </c>
      <c r="E103" s="2" t="s">
        <v>75</v>
      </c>
      <c r="F103" s="2"/>
      <c r="G103" s="5">
        <v>46418</v>
      </c>
      <c r="H103" s="5">
        <v>46453</v>
      </c>
      <c r="I103" s="4" t="s">
        <v>17</v>
      </c>
      <c r="J103" s="6">
        <f t="shared" si="4"/>
        <v>35</v>
      </c>
      <c r="K103" s="4" t="str">
        <f t="shared" ca="1" si="5"/>
        <v>No</v>
      </c>
      <c r="L103" s="7">
        <f>IF(I103="Completed","0",IF($H103="","",$H103-'[2]Read Me'!$B$4))</f>
        <v>266</v>
      </c>
      <c r="M103" s="4" t="str">
        <f>IF($I103="Complete","Green",IF($H103="","Amber",IF($H103&lt;'[2]Read Me'!$B$4,"Red",IF($H103-'[2]Read Me'!$B$4&lt;=21,"Amber","Green"))))</f>
        <v>Green</v>
      </c>
      <c r="N103" s="3"/>
      <c r="O103" t="str">
        <f>IF($I103&lt;&gt;"Complete",IF(COUNTIFS($A$4:$A102,$A103,$B$4:$B102,$B103,$I$4:$I102,"&lt;&gt;Complete")=0,$A103&amp;"|"&amp;$B103,""),"")</f>
        <v/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 t="s">
        <v>120</v>
      </c>
      <c r="B104" s="2" t="s">
        <v>49</v>
      </c>
      <c r="C104" s="3"/>
      <c r="D104" s="3"/>
      <c r="E104" s="2"/>
      <c r="F104" s="2"/>
      <c r="G104" s="5">
        <v>46502</v>
      </c>
      <c r="H104" s="5">
        <v>46537</v>
      </c>
      <c r="I104" s="4"/>
      <c r="J104" s="6">
        <f t="shared" si="4"/>
        <v>35</v>
      </c>
      <c r="K104" s="4" t="str">
        <f t="shared" ca="1" si="5"/>
        <v/>
      </c>
      <c r="L104" s="7">
        <f>IF(I104="Completed","0",IF($H104="","",$H104-'[2]Read Me'!$B$4))</f>
        <v>350</v>
      </c>
      <c r="M104" s="4" t="str">
        <f>IF($I104="Complete","Green",IF($H104="","Amber",IF($H104&lt;'[2]Read Me'!$B$4,"Red",IF($H104-'[2]Read Me'!$B$4&lt;=21,"Amber","Green"))))</f>
        <v>Green</v>
      </c>
      <c r="N104" s="3"/>
      <c r="O104" t="str">
        <f>IF($I104&lt;&gt;"Complete",IF(COUNTIFS($A$4:$A103,$A104,$B$4:$B103,$B104,$I$4:$I103,"&lt;&gt;Complete")=0,$A104&amp;"|"&amp;$B104,""),"")</f>
        <v>Authorities (Phase.03)|Authorities</v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 t="s">
        <v>120</v>
      </c>
      <c r="B105" s="2" t="s">
        <v>49</v>
      </c>
      <c r="C105" s="3" t="s">
        <v>121</v>
      </c>
      <c r="D105" s="3" t="s">
        <v>91</v>
      </c>
      <c r="E105" s="2"/>
      <c r="F105" s="2"/>
      <c r="G105" s="5">
        <v>46404</v>
      </c>
      <c r="H105" s="5">
        <v>46439</v>
      </c>
      <c r="I105" s="4" t="s">
        <v>17</v>
      </c>
      <c r="J105" s="6">
        <f t="shared" si="4"/>
        <v>35</v>
      </c>
      <c r="K105" s="4" t="str">
        <f t="shared" ca="1" si="5"/>
        <v>No</v>
      </c>
      <c r="L105" s="7">
        <f>IF(I105="Completed","0",IF($H105="","",$H105-'[2]Read Me'!$B$4))</f>
        <v>252</v>
      </c>
      <c r="M105" s="4" t="str">
        <f>IF($I105="Complete","Green",IF($H105="","Amber",IF($H105&lt;'[2]Read Me'!$B$4,"Red",IF($H105-'[2]Read Me'!$B$4&lt;=21,"Amber","Green"))))</f>
        <v>Green</v>
      </c>
      <c r="N105" s="3"/>
      <c r="O105" t="str">
        <f>IF($I105&lt;&gt;"Complete",IF(COUNTIFS($A$4:$A104,$A105,$B$4:$B104,$B105,$I$4:$I104,"&lt;&gt;Complete")=0,$A105&amp;"|"&amp;$B105,""),"")</f>
        <v/>
      </c>
      <c r="P105" t="str">
        <f ca="1">IF($K105="Yes",COUNTIFS($K$4:$K105,"Yes"),"")</f>
        <v/>
      </c>
      <c r="Q105">
        <f t="shared" ca="1" si="6"/>
        <v>0</v>
      </c>
      <c r="R105" t="str">
        <f ca="1">IF($Q105=1,SUM($Q$4:$Q105),"")</f>
        <v/>
      </c>
    </row>
    <row r="106" spans="1:18" ht="22.5" customHeight="1" x14ac:dyDescent="0.3">
      <c r="A106" s="2" t="s">
        <v>120</v>
      </c>
      <c r="B106" s="2" t="s">
        <v>49</v>
      </c>
      <c r="C106" s="3" t="s">
        <v>121</v>
      </c>
      <c r="D106" s="3" t="s">
        <v>93</v>
      </c>
      <c r="E106" s="2"/>
      <c r="F106" s="2"/>
      <c r="G106" s="5">
        <v>46446</v>
      </c>
      <c r="H106" s="5">
        <v>46481</v>
      </c>
      <c r="I106" s="4" t="s">
        <v>17</v>
      </c>
      <c r="J106" s="6">
        <f t="shared" si="4"/>
        <v>35</v>
      </c>
      <c r="K106" s="4" t="str">
        <f t="shared" ca="1" si="5"/>
        <v>No</v>
      </c>
      <c r="L106" s="7">
        <f>IF(I106="Completed","0",IF($H106="","",$H106-'[2]Read Me'!$B$4))</f>
        <v>294</v>
      </c>
      <c r="M106" s="4" t="str">
        <f>IF($I106="Complete","Green",IF($H106="","Amber",IF($H106&lt;'[2]Read Me'!$B$4,"Red",IF($H106-'[2]Read Me'!$B$4&lt;=21,"Amber","Green"))))</f>
        <v>Green</v>
      </c>
      <c r="N106" s="3"/>
      <c r="O106" t="str">
        <f>IF($I106&lt;&gt;"Complete",IF(COUNTIFS($A$4:$A105,$A106,$B$4:$B105,$B106,$I$4:$I105,"&lt;&gt;Complete")=0,$A106&amp;"|"&amp;$B106,""),"")</f>
        <v/>
      </c>
      <c r="P106" t="str">
        <f ca="1">IF($K106="Yes",COUNTIFS($K$4:$K106,"Yes"),"")</f>
        <v/>
      </c>
      <c r="Q106">
        <f t="shared" ca="1" si="6"/>
        <v>0</v>
      </c>
      <c r="R106" t="str">
        <f ca="1">IF($Q106=1,SUM($Q$4:$Q106),"")</f>
        <v/>
      </c>
    </row>
    <row r="107" spans="1:18" ht="22.5" customHeight="1" x14ac:dyDescent="0.3">
      <c r="A107" s="2" t="s">
        <v>120</v>
      </c>
      <c r="B107" s="2" t="s">
        <v>49</v>
      </c>
      <c r="C107" s="3" t="s">
        <v>121</v>
      </c>
      <c r="D107" s="3" t="s">
        <v>94</v>
      </c>
      <c r="E107" s="2"/>
      <c r="F107" s="2"/>
      <c r="G107" s="5">
        <v>46502</v>
      </c>
      <c r="H107" s="5">
        <v>46537</v>
      </c>
      <c r="I107" s="4" t="s">
        <v>17</v>
      </c>
      <c r="J107" s="6">
        <f t="shared" si="4"/>
        <v>35</v>
      </c>
      <c r="K107" s="4" t="str">
        <f t="shared" ca="1" si="5"/>
        <v>No</v>
      </c>
      <c r="L107" s="7">
        <f>IF(I107="Completed","0",IF($H107="","",$H107-'[2]Read Me'!$B$4))</f>
        <v>350</v>
      </c>
      <c r="M107" s="4" t="str">
        <f>IF($I107="Complete","Green",IF($H107="","Amber",IF($H107&lt;'[2]Read Me'!$B$4,"Red",IF($H107-'[2]Read Me'!$B$4&lt;=21,"Amber","Green"))))</f>
        <v>Green</v>
      </c>
      <c r="N107" s="3"/>
      <c r="O107" t="str">
        <f>IF($I107&lt;&gt;"Complete",IF(COUNTIFS($A$4:$A106,$A107,$B$4:$B106,$B107,$I$4:$I106,"&lt;&gt;Complete")=0,$A107&amp;"|"&amp;$B107,""),"")</f>
        <v/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 t="s">
        <v>139</v>
      </c>
      <c r="B108" s="2" t="s">
        <v>140</v>
      </c>
      <c r="C108" s="3"/>
      <c r="D108" s="3"/>
      <c r="E108" s="2"/>
      <c r="F108" s="2"/>
      <c r="G108" s="5">
        <v>46334</v>
      </c>
      <c r="H108" s="5">
        <v>46418</v>
      </c>
      <c r="I108" s="4"/>
      <c r="J108" s="6">
        <f t="shared" si="4"/>
        <v>84</v>
      </c>
      <c r="K108" s="4" t="str">
        <f t="shared" ca="1" si="5"/>
        <v/>
      </c>
      <c r="L108" s="7">
        <f>IF(I108="Completed","0",IF($H108="","",$H108-'[2]Read Me'!$B$4))</f>
        <v>231</v>
      </c>
      <c r="M108" s="4" t="str">
        <f>IF($I108="Complete","Green",IF($H108="","Amber",IF($H108&lt;'[2]Read Me'!$B$4,"Red",IF($H108-'[2]Read Me'!$B$4&lt;=21,"Amber","Green"))))</f>
        <v>Green</v>
      </c>
      <c r="N108" s="3"/>
      <c r="O108" t="str">
        <f>IF($I108&lt;&gt;"Complete",IF(COUNTIFS($A$4:$A107,$A108,$B$4:$B107,$B108,$I$4:$I107,"&lt;&gt;Complete")=0,$A108&amp;"|"&amp;$B108,""),"")</f>
        <v>Masterplan (All Phases)|Masterplan</v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 t="s">
        <v>139</v>
      </c>
      <c r="B109" s="2" t="s">
        <v>140</v>
      </c>
      <c r="C109" s="3" t="s">
        <v>139</v>
      </c>
      <c r="D109" s="3" t="s">
        <v>69</v>
      </c>
      <c r="E109" s="2" t="s">
        <v>65</v>
      </c>
      <c r="F109" s="2" t="s">
        <v>66</v>
      </c>
      <c r="G109" s="5">
        <v>46201</v>
      </c>
      <c r="H109" s="5">
        <v>46201</v>
      </c>
      <c r="I109" s="4" t="s">
        <v>46</v>
      </c>
      <c r="J109" s="6">
        <f t="shared" si="4"/>
        <v>0</v>
      </c>
      <c r="K109" s="4" t="str">
        <f t="shared" ca="1" si="5"/>
        <v>Yes</v>
      </c>
      <c r="L109" s="7">
        <f>IF(I109="Completed","0",IF($H109="","",$H109-'[2]Read Me'!$B$4))</f>
        <v>14</v>
      </c>
      <c r="M109" s="4" t="str">
        <f>IF($I109="Complete","Green",IF($H109="","Amber",IF($H109&lt;'[2]Read Me'!$B$4,"Red",IF($H109-'[2]Read Me'!$B$4&lt;=21,"Amber","Green"))))</f>
        <v>Amber</v>
      </c>
      <c r="N109" s="3"/>
      <c r="O109" t="str">
        <f>IF($I109&lt;&gt;"Complete",IF(COUNTIFS($A$4:$A108,$A109,$B$4:$B108,$B109,$I$4:$I108,"&lt;&gt;Complete")=0,$A109&amp;"|"&amp;$B109,""),"")</f>
        <v/>
      </c>
      <c r="P109">
        <f ca="1">IF($K109="Yes",COUNTIFS($K$4:$K109,"Yes"),"")</f>
        <v>2</v>
      </c>
      <c r="Q109">
        <f t="shared" ca="1" si="6"/>
        <v>1</v>
      </c>
      <c r="R109">
        <f ca="1">IF($Q109=1,SUM($Q$4:$Q109),"")</f>
        <v>2</v>
      </c>
    </row>
    <row r="110" spans="1:18" ht="22.5" customHeight="1" x14ac:dyDescent="0.3">
      <c r="A110" s="2" t="s">
        <v>139</v>
      </c>
      <c r="B110" s="2" t="s">
        <v>140</v>
      </c>
      <c r="C110" s="3" t="s">
        <v>139</v>
      </c>
      <c r="D110" s="3" t="s">
        <v>70</v>
      </c>
      <c r="E110" s="2" t="s">
        <v>65</v>
      </c>
      <c r="F110" s="2" t="s">
        <v>68</v>
      </c>
      <c r="G110" s="5">
        <v>46215</v>
      </c>
      <c r="H110" s="5">
        <v>46215</v>
      </c>
      <c r="I110" s="4" t="s">
        <v>17</v>
      </c>
      <c r="J110" s="6">
        <f t="shared" si="4"/>
        <v>0</v>
      </c>
      <c r="K110" s="4" t="str">
        <f t="shared" ca="1" si="5"/>
        <v>No</v>
      </c>
      <c r="L110" s="7">
        <f>IF(I110="Completed","0",IF($H110="","",$H110-'[2]Read Me'!$B$4))</f>
        <v>28</v>
      </c>
      <c r="M110" s="4" t="str">
        <f>IF($I110="Complete","Green",IF($H110="","Amber",IF($H110&lt;'[2]Read Me'!$B$4,"Red",IF($H110-'[2]Read Me'!$B$4&lt;=21,"Amber","Green"))))</f>
        <v>Green</v>
      </c>
      <c r="N110" s="3"/>
      <c r="O110" t="str">
        <f>IF($I110&lt;&gt;"Complete",IF(COUNTIFS($A$4:$A109,$A110,$B$4:$B109,$B110,$I$4:$I109,"&lt;&gt;Complete")=0,$A110&amp;"|"&amp;$B110,""),"")</f>
        <v/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 t="s">
        <v>139</v>
      </c>
      <c r="B111" s="2" t="s">
        <v>140</v>
      </c>
      <c r="C111" s="3" t="s">
        <v>139</v>
      </c>
      <c r="D111" s="3" t="s">
        <v>71</v>
      </c>
      <c r="E111" s="2" t="s">
        <v>65</v>
      </c>
      <c r="F111" s="2" t="s">
        <v>66</v>
      </c>
      <c r="G111" s="5">
        <v>46229</v>
      </c>
      <c r="H111" s="5">
        <v>46229</v>
      </c>
      <c r="I111" s="4" t="s">
        <v>17</v>
      </c>
      <c r="J111" s="6">
        <f t="shared" si="4"/>
        <v>0</v>
      </c>
      <c r="K111" s="4" t="str">
        <f t="shared" ca="1" si="5"/>
        <v>No</v>
      </c>
      <c r="L111" s="7">
        <f>IF(I111="Completed","0",IF($H111="","",$H111-'[2]Read Me'!$B$4))</f>
        <v>42</v>
      </c>
      <c r="M111" s="4" t="str">
        <f>IF($I111="Complete","Green",IF($H111="","Amber",IF($H111&lt;'[2]Read Me'!$B$4,"Red",IF($H111-'[2]Read Me'!$B$4&lt;=21,"Amber","Green"))))</f>
        <v>Green</v>
      </c>
      <c r="N111" s="3"/>
      <c r="O111" t="str">
        <f>IF($I111&lt;&gt;"Complete",IF(COUNTIFS($A$4:$A110,$A111,$B$4:$B110,$B111,$I$4:$I110,"&lt;&gt;Complete")=0,$A111&amp;"|"&amp;$B111,""),"")</f>
        <v/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 t="s">
        <v>139</v>
      </c>
      <c r="B112" s="2" t="s">
        <v>140</v>
      </c>
      <c r="C112" s="3" t="s">
        <v>139</v>
      </c>
      <c r="D112" s="3" t="s">
        <v>47</v>
      </c>
      <c r="E112" s="2" t="s">
        <v>65</v>
      </c>
      <c r="F112" s="2" t="s">
        <v>68</v>
      </c>
      <c r="G112" s="5">
        <v>46243</v>
      </c>
      <c r="H112" s="5">
        <v>46243</v>
      </c>
      <c r="I112" s="4" t="s">
        <v>17</v>
      </c>
      <c r="J112" s="6">
        <f t="shared" si="4"/>
        <v>0</v>
      </c>
      <c r="K112" s="4" t="str">
        <f t="shared" ca="1" si="5"/>
        <v>No</v>
      </c>
      <c r="L112" s="7">
        <f>IF(I112="Completed","0",IF($H112="","",$H112-'[2]Read Me'!$B$4))</f>
        <v>56</v>
      </c>
      <c r="M112" s="4" t="str">
        <f>IF($I112="Complete","Green",IF($H112="","Amber",IF($H112&lt;'[2]Read Me'!$B$4,"Red",IF($H112-'[2]Read Me'!$B$4&lt;=21,"Amber","Green"))))</f>
        <v>Green</v>
      </c>
      <c r="N112" s="3"/>
      <c r="O112" t="str">
        <f>IF($I112&lt;&gt;"Complete",IF(COUNTIFS($A$4:$A111,$A112,$B$4:$B111,$B112,$I$4:$I111,"&lt;&gt;Complete")=0,$A112&amp;"|"&amp;$B112,""),"")</f>
        <v/>
      </c>
      <c r="P112" t="str">
        <f ca="1">IF($K112="Yes",COUNTIFS($K$4:$K112,"Yes"),"")</f>
        <v/>
      </c>
      <c r="Q112">
        <f t="shared" ca="1" si="6"/>
        <v>0</v>
      </c>
      <c r="R112" t="str">
        <f ca="1">IF($Q112=1,SUM($Q$4:$Q112),"")</f>
        <v/>
      </c>
    </row>
    <row r="113" spans="1:18" ht="22.5" customHeight="1" x14ac:dyDescent="0.3">
      <c r="A113" s="2" t="s">
        <v>139</v>
      </c>
      <c r="B113" s="2" t="s">
        <v>140</v>
      </c>
      <c r="C113" s="3" t="s">
        <v>139</v>
      </c>
      <c r="D113" s="3" t="s">
        <v>72</v>
      </c>
      <c r="E113" s="2" t="s">
        <v>65</v>
      </c>
      <c r="F113" s="2" t="s">
        <v>66</v>
      </c>
      <c r="G113" s="5">
        <v>46215</v>
      </c>
      <c r="H113" s="5">
        <v>46215</v>
      </c>
      <c r="I113" s="4" t="s">
        <v>17</v>
      </c>
      <c r="J113" s="6">
        <f t="shared" si="4"/>
        <v>0</v>
      </c>
      <c r="K113" s="4" t="str">
        <f t="shared" ca="1" si="5"/>
        <v>No</v>
      </c>
      <c r="L113" s="7">
        <f>IF(I113="Completed","0",IF($H113="","",$H113-'[2]Read Me'!$B$4))</f>
        <v>28</v>
      </c>
      <c r="M113" s="4" t="str">
        <f>IF($I113="Complete","Green",IF($H113="","Amber",IF($H113&lt;'[2]Read Me'!$B$4,"Red",IF($H113-'[2]Read Me'!$B$4&lt;=21,"Amber","Green"))))</f>
        <v>Green</v>
      </c>
      <c r="N113" s="3"/>
      <c r="O113" t="str">
        <f>IF($I113&lt;&gt;"Complete",IF(COUNTIFS($A$4:$A112,$A113,$B$4:$B112,$B113,$I$4:$I112,"&lt;&gt;Complete")=0,$A113&amp;"|"&amp;$B113,""),"")</f>
        <v/>
      </c>
      <c r="P113" t="str">
        <f ca="1">IF($K113="Yes",COUNTIFS($K$4:$K113,"Yes"),"")</f>
        <v/>
      </c>
      <c r="Q113">
        <f t="shared" ca="1" si="6"/>
        <v>0</v>
      </c>
      <c r="R113" t="str">
        <f ca="1">IF($Q113=1,SUM($Q$4:$Q113),"")</f>
        <v/>
      </c>
    </row>
    <row r="114" spans="1:18" ht="22.5" customHeight="1" x14ac:dyDescent="0.3">
      <c r="A114" s="2" t="s">
        <v>139</v>
      </c>
      <c r="B114" s="2" t="s">
        <v>140</v>
      </c>
      <c r="C114" s="3" t="s">
        <v>139</v>
      </c>
      <c r="D114" s="3" t="s">
        <v>70</v>
      </c>
      <c r="E114" s="2" t="s">
        <v>65</v>
      </c>
      <c r="F114" s="2" t="s">
        <v>68</v>
      </c>
      <c r="G114" s="5">
        <v>46229</v>
      </c>
      <c r="H114" s="5">
        <v>46229</v>
      </c>
      <c r="I114" s="4" t="s">
        <v>17</v>
      </c>
      <c r="J114" s="6">
        <f t="shared" si="4"/>
        <v>0</v>
      </c>
      <c r="K114" s="4" t="str">
        <f t="shared" ca="1" si="5"/>
        <v>No</v>
      </c>
      <c r="L114" s="7">
        <f>IF(I114="Completed","0",IF($H114="","",$H114-'[2]Read Me'!$B$4))</f>
        <v>42</v>
      </c>
      <c r="M114" s="4" t="str">
        <f>IF($I114="Complete","Green",IF($H114="","Amber",IF($H114&lt;'[2]Read Me'!$B$4,"Red",IF($H114-'[2]Read Me'!$B$4&lt;=21,"Amber","Green"))))</f>
        <v>Green</v>
      </c>
      <c r="N114" s="3"/>
      <c r="O114" t="str">
        <f>IF($I114&lt;&gt;"Complete",IF(COUNTIFS($A$4:$A113,$A114,$B$4:$B113,$B114,$I$4:$I113,"&lt;&gt;Complete")=0,$A114&amp;"|"&amp;$B114,""),"")</f>
        <v/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 t="s">
        <v>139</v>
      </c>
      <c r="B115" s="2" t="s">
        <v>140</v>
      </c>
      <c r="C115" s="3" t="s">
        <v>139</v>
      </c>
      <c r="D115" s="3" t="s">
        <v>73</v>
      </c>
      <c r="E115" s="2" t="s">
        <v>65</v>
      </c>
      <c r="F115" s="2" t="s">
        <v>66</v>
      </c>
      <c r="G115" s="5">
        <v>46243</v>
      </c>
      <c r="H115" s="5">
        <v>46243</v>
      </c>
      <c r="I115" s="4" t="s">
        <v>17</v>
      </c>
      <c r="J115" s="6">
        <f t="shared" si="4"/>
        <v>0</v>
      </c>
      <c r="K115" s="4" t="str">
        <f t="shared" ca="1" si="5"/>
        <v>No</v>
      </c>
      <c r="L115" s="7">
        <f>IF(I115="Completed","0",IF($H115="","",$H115-'[2]Read Me'!$B$4))</f>
        <v>56</v>
      </c>
      <c r="M115" s="4" t="str">
        <f>IF($I115="Complete","Green",IF($H115="","Amber",IF($H115&lt;'[2]Read Me'!$B$4,"Red",IF($H115-'[2]Read Me'!$B$4&lt;=21,"Amber","Green"))))</f>
        <v>Green</v>
      </c>
      <c r="N115" s="3"/>
      <c r="O115" t="str">
        <f>IF($I115&lt;&gt;"Complete",IF(COUNTIFS($A$4:$A114,$A115,$B$4:$B114,$B115,$I$4:$I114,"&lt;&gt;Complete")=0,$A115&amp;"|"&amp;$B115,""),"")</f>
        <v/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 t="s">
        <v>139</v>
      </c>
      <c r="B116" s="2" t="s">
        <v>140</v>
      </c>
      <c r="C116" s="3" t="s">
        <v>139</v>
      </c>
      <c r="D116" s="3" t="s">
        <v>47</v>
      </c>
      <c r="E116" s="2" t="s">
        <v>65</v>
      </c>
      <c r="F116" s="2" t="s">
        <v>68</v>
      </c>
      <c r="G116" s="5">
        <v>46257</v>
      </c>
      <c r="H116" s="5">
        <v>46257</v>
      </c>
      <c r="I116" s="4" t="s">
        <v>17</v>
      </c>
      <c r="J116" s="6">
        <f t="shared" si="4"/>
        <v>0</v>
      </c>
      <c r="K116" s="4" t="str">
        <f t="shared" ca="1" si="5"/>
        <v>No</v>
      </c>
      <c r="L116" s="7">
        <f>IF(I116="Completed","0",IF($H116="","",$H116-'[2]Read Me'!$B$4))</f>
        <v>70</v>
      </c>
      <c r="M116" s="4" t="str">
        <f>IF($I116="Complete","Green",IF($H116="","Amber",IF($H116&lt;'[2]Read Me'!$B$4,"Red",IF($H116-'[2]Read Me'!$B$4&lt;=21,"Amber","Green"))))</f>
        <v>Green</v>
      </c>
      <c r="N116" s="3"/>
      <c r="O116" t="str">
        <f>IF($I116&lt;&gt;"Complete",IF(COUNTIFS($A$4:$A115,$A116,$B$4:$B115,$B116,$I$4:$I115,"&lt;&gt;Complete")=0,$A116&amp;"|"&amp;$B116,""),"")</f>
        <v/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 t="s">
        <v>139</v>
      </c>
      <c r="B117" s="2" t="s">
        <v>140</v>
      </c>
      <c r="C117" s="3" t="s">
        <v>139</v>
      </c>
      <c r="D117" s="3" t="s">
        <v>78</v>
      </c>
      <c r="E117" s="2" t="s">
        <v>75</v>
      </c>
      <c r="F117" s="2"/>
      <c r="G117" s="5">
        <v>46187</v>
      </c>
      <c r="H117" s="5">
        <v>46271</v>
      </c>
      <c r="I117" s="4" t="s">
        <v>17</v>
      </c>
      <c r="J117" s="6">
        <f t="shared" si="4"/>
        <v>84</v>
      </c>
      <c r="K117" s="4" t="str">
        <f t="shared" ca="1" si="5"/>
        <v>No</v>
      </c>
      <c r="L117" s="7">
        <f>IF(I117="Completed","0",IF($H117="","",$H117-'[2]Read Me'!$B$4))</f>
        <v>84</v>
      </c>
      <c r="M117" s="4" t="str">
        <f>IF($I117="Complete","Green",IF($H117="","Amber",IF($H117&lt;'[2]Read Me'!$B$4,"Red",IF($H117-'[2]Read Me'!$B$4&lt;=21,"Amber","Green"))))</f>
        <v>Green</v>
      </c>
      <c r="N117" s="3"/>
      <c r="O117" t="str">
        <f>IF($I117&lt;&gt;"Complete",IF(COUNTIFS($A$4:$A116,$A117,$B$4:$B116,$B117,$I$4:$I116,"&lt;&gt;Complete")=0,$A117&amp;"|"&amp;$B117,""),"")</f>
        <v/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 t="s">
        <v>139</v>
      </c>
      <c r="B118" s="2" t="s">
        <v>140</v>
      </c>
      <c r="C118" s="3" t="s">
        <v>139</v>
      </c>
      <c r="D118" s="3" t="s">
        <v>80</v>
      </c>
      <c r="E118" s="2" t="s">
        <v>75</v>
      </c>
      <c r="F118" s="2"/>
      <c r="G118" s="5">
        <v>46194</v>
      </c>
      <c r="H118" s="5">
        <v>46278</v>
      </c>
      <c r="I118" s="4" t="s">
        <v>17</v>
      </c>
      <c r="J118" s="6">
        <f t="shared" si="4"/>
        <v>84</v>
      </c>
      <c r="K118" s="4" t="str">
        <f t="shared" ca="1" si="5"/>
        <v>No</v>
      </c>
      <c r="L118" s="7">
        <f>IF(I118="Completed","0",IF($H118="","",$H118-'[2]Read Me'!$B$4))</f>
        <v>91</v>
      </c>
      <c r="M118" s="4" t="str">
        <f>IF($I118="Complete","Green",IF($H118="","Amber",IF($H118&lt;'[2]Read Me'!$B$4,"Red",IF($H118-'[2]Read Me'!$B$4&lt;=21,"Amber","Green"))))</f>
        <v>Green</v>
      </c>
      <c r="N118" s="3"/>
      <c r="O118" t="str">
        <f>IF($I118&lt;&gt;"Complete",IF(COUNTIFS($A$4:$A117,$A118,$B$4:$B117,$B118,$I$4:$I117,"&lt;&gt;Complete")=0,$A118&amp;"|"&amp;$B118,""),"")</f>
        <v/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 t="s">
        <v>139</v>
      </c>
      <c r="B119" s="2" t="s">
        <v>140</v>
      </c>
      <c r="C119" s="3" t="s">
        <v>139</v>
      </c>
      <c r="D119" s="3" t="s">
        <v>123</v>
      </c>
      <c r="E119" s="2" t="s">
        <v>75</v>
      </c>
      <c r="F119" s="2"/>
      <c r="G119" s="5">
        <v>46215</v>
      </c>
      <c r="H119" s="5">
        <v>46299</v>
      </c>
      <c r="I119" s="4" t="s">
        <v>17</v>
      </c>
      <c r="J119" s="6">
        <f t="shared" si="4"/>
        <v>84</v>
      </c>
      <c r="K119" s="4" t="str">
        <f t="shared" ca="1" si="5"/>
        <v>No</v>
      </c>
      <c r="L119" s="7">
        <f>IF(I119="Completed","0",IF($H119="","",$H119-'[2]Read Me'!$B$4))</f>
        <v>112</v>
      </c>
      <c r="M119" s="4" t="str">
        <f>IF($I119="Complete","Green",IF($H119="","Amber",IF($H119&lt;'[2]Read Me'!$B$4,"Red",IF($H119-'[2]Read Me'!$B$4&lt;=21,"Amber","Green"))))</f>
        <v>Green</v>
      </c>
      <c r="N119" s="3"/>
      <c r="O119" t="str">
        <f>IF($I119&lt;&gt;"Complete",IF(COUNTIFS($A$4:$A118,$A119,$B$4:$B118,$B119,$I$4:$I118,"&lt;&gt;Complete")=0,$A119&amp;"|"&amp;$B119,""),"")</f>
        <v/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 t="s">
        <v>139</v>
      </c>
      <c r="B120" s="2" t="s">
        <v>140</v>
      </c>
      <c r="C120" s="3" t="s">
        <v>139</v>
      </c>
      <c r="D120" s="3" t="s">
        <v>32</v>
      </c>
      <c r="E120" s="2" t="s">
        <v>75</v>
      </c>
      <c r="F120" s="2"/>
      <c r="G120" s="5">
        <v>46229</v>
      </c>
      <c r="H120" s="5">
        <v>46313</v>
      </c>
      <c r="I120" s="4" t="s">
        <v>17</v>
      </c>
      <c r="J120" s="6">
        <f t="shared" si="4"/>
        <v>84</v>
      </c>
      <c r="K120" s="4" t="str">
        <f t="shared" ca="1" si="5"/>
        <v>No</v>
      </c>
      <c r="L120" s="7">
        <f>IF(I120="Completed","0",IF($H120="","",$H120-'[2]Read Me'!$B$4))</f>
        <v>126</v>
      </c>
      <c r="M120" s="4" t="str">
        <f>IF($I120="Complete","Green",IF($H120="","Amber",IF($H120&lt;'[2]Read Me'!$B$4,"Red",IF($H120-'[2]Read Me'!$B$4&lt;=21,"Amber","Green"))))</f>
        <v>Green</v>
      </c>
      <c r="N120" s="3"/>
      <c r="O120" t="str">
        <f>IF($I120&lt;&gt;"Complete",IF(COUNTIFS($A$4:$A119,$A120,$B$4:$B119,$B120,$I$4:$I119,"&lt;&gt;Complete")=0,$A120&amp;"|"&amp;$B120,""),"")</f>
        <v/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 t="s">
        <v>139</v>
      </c>
      <c r="B121" s="2" t="s">
        <v>140</v>
      </c>
      <c r="C121" s="3" t="s">
        <v>139</v>
      </c>
      <c r="D121" s="3" t="s">
        <v>124</v>
      </c>
      <c r="E121" s="2" t="s">
        <v>75</v>
      </c>
      <c r="F121" s="2"/>
      <c r="G121" s="5">
        <v>46299</v>
      </c>
      <c r="H121" s="5">
        <v>46334</v>
      </c>
      <c r="I121" s="4" t="s">
        <v>17</v>
      </c>
      <c r="J121" s="6">
        <f t="shared" si="4"/>
        <v>35</v>
      </c>
      <c r="K121" s="4" t="str">
        <f t="shared" ca="1" si="5"/>
        <v>No</v>
      </c>
      <c r="L121" s="7">
        <f>IF(I121="Completed","0",IF($H121="","",$H121-'[2]Read Me'!$B$4))</f>
        <v>147</v>
      </c>
      <c r="M121" s="4" t="str">
        <f>IF($I121="Complete","Green",IF($H121="","Amber",IF($H121&lt;'[2]Read Me'!$B$4,"Red",IF($H121-'[2]Read Me'!$B$4&lt;=21,"Amber","Green"))))</f>
        <v>Green</v>
      </c>
      <c r="N121" s="3"/>
      <c r="O121" t="str">
        <f>IF($I121&lt;&gt;"Complete",IF(COUNTIFS($A$4:$A120,$A121,$B$4:$B120,$B121,$I$4:$I120,"&lt;&gt;Complete")=0,$A121&amp;"|"&amp;$B121,""),"")</f>
        <v/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 t="s">
        <v>139</v>
      </c>
      <c r="B122" s="2" t="s">
        <v>140</v>
      </c>
      <c r="C122" s="3" t="s">
        <v>139</v>
      </c>
      <c r="D122" s="3" t="s">
        <v>125</v>
      </c>
      <c r="E122" s="2" t="s">
        <v>75</v>
      </c>
      <c r="F122" s="2"/>
      <c r="G122" s="5">
        <v>46306</v>
      </c>
      <c r="H122" s="5">
        <v>46341</v>
      </c>
      <c r="I122" s="4" t="s">
        <v>17</v>
      </c>
      <c r="J122" s="6">
        <f t="shared" si="4"/>
        <v>35</v>
      </c>
      <c r="K122" s="4" t="str">
        <f t="shared" ca="1" si="5"/>
        <v>No</v>
      </c>
      <c r="L122" s="7">
        <f>IF(I122="Completed","0",IF($H122="","",$H122-'[2]Read Me'!$B$4))</f>
        <v>154</v>
      </c>
      <c r="M122" s="4" t="str">
        <f>IF($I122="Complete","Green",IF($H122="","Amber",IF($H122&lt;'[2]Read Me'!$B$4,"Red",IF($H122-'[2]Read Me'!$B$4&lt;=21,"Amber","Green"))))</f>
        <v>Green</v>
      </c>
      <c r="N122" s="3"/>
      <c r="O122" t="str">
        <f>IF($I122&lt;&gt;"Complete",IF(COUNTIFS($A$4:$A121,$A122,$B$4:$B121,$B122,$I$4:$I121,"&lt;&gt;Complete")=0,$A122&amp;"|"&amp;$B122,""),"")</f>
        <v/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 t="s">
        <v>139</v>
      </c>
      <c r="B123" s="2" t="s">
        <v>140</v>
      </c>
      <c r="C123" s="3" t="s">
        <v>139</v>
      </c>
      <c r="D123" s="3" t="s">
        <v>126</v>
      </c>
      <c r="E123" s="2" t="s">
        <v>75</v>
      </c>
      <c r="F123" s="2"/>
      <c r="G123" s="5">
        <v>46250</v>
      </c>
      <c r="H123" s="5">
        <v>46334</v>
      </c>
      <c r="I123" s="4" t="s">
        <v>17</v>
      </c>
      <c r="J123" s="6">
        <f t="shared" si="4"/>
        <v>84</v>
      </c>
      <c r="K123" s="4" t="str">
        <f t="shared" ca="1" si="5"/>
        <v>No</v>
      </c>
      <c r="L123" s="7">
        <f>IF(I123="Completed","0",IF($H123="","",$H123-'[2]Read Me'!$B$4))</f>
        <v>147</v>
      </c>
      <c r="M123" s="4" t="str">
        <f>IF($I123="Complete","Green",IF($H123="","Amber",IF($H123&lt;'[2]Read Me'!$B$4,"Red",IF($H123-'[2]Read Me'!$B$4&lt;=21,"Amber","Green"))))</f>
        <v>Green</v>
      </c>
      <c r="N123" s="3"/>
      <c r="O123" t="str">
        <f>IF($I123&lt;&gt;"Complete",IF(COUNTIFS($A$4:$A122,$A123,$B$4:$B122,$B123,$I$4:$I122,"&lt;&gt;Complete")=0,$A123&amp;"|"&amp;$B123,""),"")</f>
        <v/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 t="s">
        <v>139</v>
      </c>
      <c r="B124" s="2" t="s">
        <v>140</v>
      </c>
      <c r="C124" s="3" t="s">
        <v>139</v>
      </c>
      <c r="D124" s="3" t="s">
        <v>34</v>
      </c>
      <c r="E124" s="2" t="s">
        <v>75</v>
      </c>
      <c r="F124" s="2"/>
      <c r="G124" s="5">
        <v>46264</v>
      </c>
      <c r="H124" s="5">
        <v>46348</v>
      </c>
      <c r="I124" s="4" t="s">
        <v>17</v>
      </c>
      <c r="J124" s="6">
        <f t="shared" si="4"/>
        <v>84</v>
      </c>
      <c r="K124" s="4" t="str">
        <f t="shared" ca="1" si="5"/>
        <v>No</v>
      </c>
      <c r="L124" s="7">
        <f>IF(I124="Completed","0",IF($H124="","",$H124-'[2]Read Me'!$B$4))</f>
        <v>161</v>
      </c>
      <c r="M124" s="4" t="str">
        <f>IF($I124="Complete","Green",IF($H124="","Amber",IF($H124&lt;'[2]Read Me'!$B$4,"Red",IF($H124-'[2]Read Me'!$B$4&lt;=21,"Amber","Green"))))</f>
        <v>Green</v>
      </c>
      <c r="N124" s="3"/>
      <c r="O124" t="str">
        <f>IF($I124&lt;&gt;"Complete",IF(COUNTIFS($A$4:$A123,$A124,$B$4:$B123,$B124,$I$4:$I123,"&lt;&gt;Complete")=0,$A124&amp;"|"&amp;$B124,""),"")</f>
        <v/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 t="s">
        <v>139</v>
      </c>
      <c r="B125" s="2" t="s">
        <v>140</v>
      </c>
      <c r="C125" s="3" t="s">
        <v>139</v>
      </c>
      <c r="D125" s="3" t="s">
        <v>127</v>
      </c>
      <c r="E125" s="2" t="s">
        <v>75</v>
      </c>
      <c r="F125" s="2"/>
      <c r="G125" s="5">
        <v>46285</v>
      </c>
      <c r="H125" s="5">
        <v>46369</v>
      </c>
      <c r="I125" s="4" t="s">
        <v>17</v>
      </c>
      <c r="J125" s="6">
        <f t="shared" si="4"/>
        <v>84</v>
      </c>
      <c r="K125" s="4" t="str">
        <f t="shared" ca="1" si="5"/>
        <v>No</v>
      </c>
      <c r="L125" s="7">
        <f>IF(I125="Completed","0",IF($H125="","",$H125-'[2]Read Me'!$B$4))</f>
        <v>182</v>
      </c>
      <c r="M125" s="4" t="str">
        <f>IF($I125="Complete","Green",IF($H125="","Amber",IF($H125&lt;'[2]Read Me'!$B$4,"Red",IF($H125-'[2]Read Me'!$B$4&lt;=21,"Amber","Green"))))</f>
        <v>Green</v>
      </c>
      <c r="N125" s="3"/>
      <c r="O125" t="str">
        <f>IF($I125&lt;&gt;"Complete",IF(COUNTIFS($A$4:$A124,$A125,$B$4:$B124,$B125,$I$4:$I124,"&lt;&gt;Complete")=0,$A125&amp;"|"&amp;$B125,""),"")</f>
        <v/>
      </c>
      <c r="P125" t="str">
        <f ca="1">IF($K125="Yes",COUNTIFS($K$4:$K125,"Yes"),"")</f>
        <v/>
      </c>
      <c r="Q125">
        <f t="shared" ca="1" si="6"/>
        <v>0</v>
      </c>
      <c r="R125" t="str">
        <f ca="1">IF($Q125=1,SUM($Q$4:$Q125),"")</f>
        <v/>
      </c>
    </row>
    <row r="126" spans="1:18" ht="22.5" customHeight="1" x14ac:dyDescent="0.3">
      <c r="A126" s="2" t="s">
        <v>139</v>
      </c>
      <c r="B126" s="2" t="s">
        <v>140</v>
      </c>
      <c r="C126" s="3" t="s">
        <v>139</v>
      </c>
      <c r="D126" s="3" t="s">
        <v>35</v>
      </c>
      <c r="E126" s="2" t="s">
        <v>75</v>
      </c>
      <c r="F126" s="2"/>
      <c r="G126" s="5">
        <v>46299</v>
      </c>
      <c r="H126" s="5">
        <v>46383</v>
      </c>
      <c r="I126" s="4" t="s">
        <v>17</v>
      </c>
      <c r="J126" s="6">
        <f t="shared" si="4"/>
        <v>84</v>
      </c>
      <c r="K126" s="4" t="str">
        <f t="shared" ca="1" si="5"/>
        <v>No</v>
      </c>
      <c r="L126" s="7">
        <f>IF(I126="Completed","0",IF($H126="","",$H126-'[2]Read Me'!$B$4))</f>
        <v>196</v>
      </c>
      <c r="M126" s="4" t="str">
        <f>IF($I126="Complete","Green",IF($H126="","Amber",IF($H126&lt;'[2]Read Me'!$B$4,"Red",IF($H126-'[2]Read Me'!$B$4&lt;=21,"Amber","Green"))))</f>
        <v>Green</v>
      </c>
      <c r="N126" s="3"/>
      <c r="O126" t="str">
        <f>IF($I126&lt;&gt;"Complete",IF(COUNTIFS($A$4:$A125,$A126,$B$4:$B125,$B126,$I$4:$I125,"&lt;&gt;Complete")=0,$A126&amp;"|"&amp;$B126,""),"")</f>
        <v/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 t="s">
        <v>139</v>
      </c>
      <c r="B127" s="2" t="s">
        <v>140</v>
      </c>
      <c r="C127" s="3" t="s">
        <v>139</v>
      </c>
      <c r="D127" s="3" t="s">
        <v>16</v>
      </c>
      <c r="E127" s="2" t="s">
        <v>75</v>
      </c>
      <c r="F127" s="2"/>
      <c r="G127" s="5">
        <v>46320</v>
      </c>
      <c r="H127" s="5">
        <v>46404</v>
      </c>
      <c r="I127" s="4" t="s">
        <v>17</v>
      </c>
      <c r="J127" s="6">
        <f t="shared" si="4"/>
        <v>84</v>
      </c>
      <c r="K127" s="4" t="str">
        <f t="shared" ca="1" si="5"/>
        <v>No</v>
      </c>
      <c r="L127" s="7">
        <f>IF(I127="Completed","0",IF($H127="","",$H127-'[2]Read Me'!$B$4))</f>
        <v>217</v>
      </c>
      <c r="M127" s="4" t="str">
        <f>IF($I127="Complete","Green",IF($H127="","Amber",IF($H127&lt;'[2]Read Me'!$B$4,"Red",IF($H127-'[2]Read Me'!$B$4&lt;=21,"Amber","Green"))))</f>
        <v>Green</v>
      </c>
      <c r="N127" s="3"/>
      <c r="O127" t="str">
        <f>IF($I127&lt;&gt;"Complete",IF(COUNTIFS($A$4:$A126,$A127,$B$4:$B126,$B127,$I$4:$I126,"&lt;&gt;Complete")=0,$A127&amp;"|"&amp;$B127,""),"")</f>
        <v/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 t="s">
        <v>139</v>
      </c>
      <c r="B128" s="2" t="s">
        <v>140</v>
      </c>
      <c r="C128" s="3" t="s">
        <v>139</v>
      </c>
      <c r="D128" s="3" t="s">
        <v>37</v>
      </c>
      <c r="E128" s="2" t="s">
        <v>75</v>
      </c>
      <c r="F128" s="2"/>
      <c r="G128" s="5">
        <v>46334</v>
      </c>
      <c r="H128" s="5">
        <v>46418</v>
      </c>
      <c r="I128" s="4" t="s">
        <v>17</v>
      </c>
      <c r="J128" s="6">
        <f t="shared" si="4"/>
        <v>84</v>
      </c>
      <c r="K128" s="4" t="str">
        <f t="shared" ca="1" si="5"/>
        <v>No</v>
      </c>
      <c r="L128" s="7">
        <f>IF(I128="Completed","0",IF($H128="","",$H128-'[2]Read Me'!$B$4))</f>
        <v>231</v>
      </c>
      <c r="M128" s="4" t="str">
        <f>IF($I128="Complete","Green",IF($H128="","Amber",IF($H128&lt;'[2]Read Me'!$B$4,"Red",IF($H128-'[2]Read Me'!$B$4&lt;=21,"Amber","Green"))))</f>
        <v>Green</v>
      </c>
      <c r="N128" s="3"/>
      <c r="O128" t="str">
        <f>IF($I128&lt;&gt;"Complete",IF(COUNTIFS($A$4:$A127,$A128,$B$4:$B127,$B128,$I$4:$I127,"&lt;&gt;Complete")=0,$A128&amp;"|"&amp;$B128,""),"")</f>
        <v/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 t="s">
        <v>128</v>
      </c>
      <c r="B129" s="2" t="s">
        <v>21</v>
      </c>
      <c r="C129" s="3"/>
      <c r="D129" s="3"/>
      <c r="E129" s="2"/>
      <c r="F129" s="2"/>
      <c r="G129" s="5">
        <v>46404</v>
      </c>
      <c r="H129" s="5">
        <v>46497</v>
      </c>
      <c r="I129" s="4"/>
      <c r="J129" s="6">
        <f t="shared" si="4"/>
        <v>93</v>
      </c>
      <c r="K129" s="4" t="str">
        <f t="shared" ca="1" si="5"/>
        <v/>
      </c>
      <c r="L129" s="7">
        <f>IF(I129="Completed","0",IF($H129="","",$H129-'[2]Read Me'!$B$4))</f>
        <v>310</v>
      </c>
      <c r="M129" s="4" t="str">
        <f>IF($I129="Complete","Green",IF($H129="","Amber",IF($H129&lt;'[2]Read Me'!$B$4,"Red",IF($H129-'[2]Read Me'!$B$4&lt;=21,"Amber","Green"))))</f>
        <v>Green</v>
      </c>
      <c r="N129" s="3"/>
      <c r="O129" t="str">
        <f>IF($I129&lt;&gt;"Complete",IF(COUNTIFS($A$4:$A128,$A129,$B$4:$B128,$B129,$I$4:$I128,"&lt;&gt;Complete")=0,$A129&amp;"|"&amp;$B129,""),"")</f>
        <v>Landscape (Phase.01)|Landscape</v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 t="s">
        <v>128</v>
      </c>
      <c r="B130" s="2" t="s">
        <v>21</v>
      </c>
      <c r="C130" s="3" t="s">
        <v>128</v>
      </c>
      <c r="D130" s="3" t="s">
        <v>129</v>
      </c>
      <c r="E130" s="2" t="s">
        <v>130</v>
      </c>
      <c r="F130" s="2"/>
      <c r="G130" s="5">
        <v>46152</v>
      </c>
      <c r="H130" s="5">
        <v>46163</v>
      </c>
      <c r="I130" s="4" t="s">
        <v>31</v>
      </c>
      <c r="J130" s="6">
        <f t="shared" si="4"/>
        <v>11</v>
      </c>
      <c r="K130" s="4" t="str">
        <f t="shared" ca="1" si="5"/>
        <v>-</v>
      </c>
      <c r="L130" s="7" t="str">
        <f>IF(I130="Completed","0",IF($H130="","",$H130-'[2]Read Me'!$B$4))</f>
        <v>0</v>
      </c>
      <c r="M130" s="4" t="str">
        <f>IF($I130="Complete","Green",IF($H130="","Amber",IF($H130&lt;'[2]Read Me'!$B$4,"Red",IF($H130-'[2]Read Me'!$B$4&lt;=21,"Amber","Green"))))</f>
        <v>Red</v>
      </c>
      <c r="N130" s="3"/>
      <c r="O130" t="str">
        <f>IF($I130&lt;&gt;"Complete",IF(COUNTIFS($A$4:$A129,$A130,$B$4:$B129,$B130,$I$4:$I129,"&lt;&gt;Complete")=0,$A130&amp;"|"&amp;$B130,""),"")</f>
        <v/>
      </c>
      <c r="P130" t="str">
        <f ca="1">IF($K130="Yes",COUNTIFS($K$4:$K130,"Yes"),"")</f>
        <v/>
      </c>
      <c r="Q130">
        <f t="shared" ca="1" si="6"/>
        <v>0</v>
      </c>
      <c r="R130" t="str">
        <f ca="1">IF($Q130=1,SUM($Q$4:$Q130),"")</f>
        <v/>
      </c>
    </row>
    <row r="131" spans="1:18" ht="22.5" customHeight="1" x14ac:dyDescent="0.3">
      <c r="A131" s="2" t="s">
        <v>128</v>
      </c>
      <c r="B131" s="2" t="s">
        <v>21</v>
      </c>
      <c r="C131" s="3" t="s">
        <v>128</v>
      </c>
      <c r="D131" s="3" t="s">
        <v>131</v>
      </c>
      <c r="E131" s="2" t="s">
        <v>130</v>
      </c>
      <c r="F131" s="2"/>
      <c r="G131" s="5">
        <v>46173</v>
      </c>
      <c r="H131" s="5">
        <v>46208</v>
      </c>
      <c r="I131" s="4" t="s">
        <v>46</v>
      </c>
      <c r="J131" s="6">
        <f t="shared" si="4"/>
        <v>35</v>
      </c>
      <c r="K131" s="4" t="str">
        <f t="shared" ca="1" si="5"/>
        <v>No</v>
      </c>
      <c r="L131" s="7">
        <f>IF(I131="Completed","0",IF($H131="","",$H131-'[2]Read Me'!$B$4))</f>
        <v>21</v>
      </c>
      <c r="M131" s="4" t="str">
        <f>IF($I131="Complete","Green",IF($H131="","Amber",IF($H131&lt;'[2]Read Me'!$B$4,"Red",IF($H131-'[2]Read Me'!$B$4&lt;=21,"Amber","Green"))))</f>
        <v>Amber</v>
      </c>
      <c r="N131" s="3"/>
      <c r="O131" t="str">
        <f>IF($I131&lt;&gt;"Complete",IF(COUNTIFS($A$4:$A130,$A131,$B$4:$B130,$B131,$I$4:$I130,"&lt;&gt;Complete")=0,$A131&amp;"|"&amp;$B131,""),"")</f>
        <v/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 t="s">
        <v>128</v>
      </c>
      <c r="B132" s="2" t="s">
        <v>21</v>
      </c>
      <c r="C132" s="3" t="s">
        <v>128</v>
      </c>
      <c r="D132" s="3" t="s">
        <v>97</v>
      </c>
      <c r="E132" s="2" t="s">
        <v>130</v>
      </c>
      <c r="F132" s="2"/>
      <c r="G132" s="5">
        <v>46201</v>
      </c>
      <c r="H132" s="5">
        <v>46294</v>
      </c>
      <c r="I132" s="4" t="s">
        <v>17</v>
      </c>
      <c r="J132" s="6">
        <f t="shared" ref="J132:J195" si="7">IF(OR($G132="",$H132=""),"",$H132-$G132)</f>
        <v>93</v>
      </c>
      <c r="K132" s="4" t="str">
        <f t="shared" ref="K132:K195" ca="1" si="8">IF(C132="","",IF(H132="","",IF($I132="completed","-",IF($H132&gt;TODAY(),"No","Yes"))))</f>
        <v>No</v>
      </c>
      <c r="L132" s="7">
        <f>IF(I132="Completed","0",IF($H132="","",$H132-'[2]Read Me'!$B$4))</f>
        <v>107</v>
      </c>
      <c r="M132" s="4" t="str">
        <f>IF($I132="Complete","Green",IF($H132="","Amber",IF($H132&lt;'[2]Read Me'!$B$4,"Red",IF($H132-'[2]Read Me'!$B$4&lt;=21,"Amber","Green"))))</f>
        <v>Green</v>
      </c>
      <c r="N132" s="3"/>
      <c r="O132" t="str">
        <f>IF($I132&lt;&gt;"Complete",IF(COUNTIFS($A$4:$A131,$A132,$B$4:$B131,$B132,$I$4:$I131,"&lt;&gt;Complete")=0,$A132&amp;"|"&amp;$B132,""),"")</f>
        <v/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 t="s">
        <v>128</v>
      </c>
      <c r="B133" s="2" t="s">
        <v>21</v>
      </c>
      <c r="C133" s="3" t="s">
        <v>128</v>
      </c>
      <c r="D133" s="3" t="s">
        <v>70</v>
      </c>
      <c r="E133" s="2" t="s">
        <v>130</v>
      </c>
      <c r="F133" s="2"/>
      <c r="G133" s="5">
        <v>46208</v>
      </c>
      <c r="H133" s="5">
        <v>46301</v>
      </c>
      <c r="I133" s="4" t="s">
        <v>17</v>
      </c>
      <c r="J133" s="6">
        <f t="shared" si="7"/>
        <v>93</v>
      </c>
      <c r="K133" s="4" t="str">
        <f t="shared" ca="1" si="8"/>
        <v>No</v>
      </c>
      <c r="L133" s="7">
        <f>IF(I133="Completed","0",IF($H133="","",$H133-'[2]Read Me'!$B$4))</f>
        <v>114</v>
      </c>
      <c r="M133" s="4" t="str">
        <f>IF($I133="Complete","Green",IF($H133="","Amber",IF($H133&lt;'[2]Read Me'!$B$4,"Red",IF($H133-'[2]Read Me'!$B$4&lt;=21,"Amber","Green"))))</f>
        <v>Green</v>
      </c>
      <c r="N133" s="3"/>
      <c r="O133" t="str">
        <f>IF($I133&lt;&gt;"Complete",IF(COUNTIFS($A$4:$A132,$A133,$B$4:$B132,$B133,$I$4:$I132,"&lt;&gt;Complete")=0,$A133&amp;"|"&amp;$B133,""),"")</f>
        <v/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 t="s">
        <v>128</v>
      </c>
      <c r="B134" s="2" t="s">
        <v>21</v>
      </c>
      <c r="C134" s="3" t="s">
        <v>128</v>
      </c>
      <c r="D134" s="3" t="s">
        <v>98</v>
      </c>
      <c r="E134" s="2" t="s">
        <v>130</v>
      </c>
      <c r="F134" s="2"/>
      <c r="G134" s="5">
        <v>46222</v>
      </c>
      <c r="H134" s="5">
        <v>46315</v>
      </c>
      <c r="I134" s="4" t="s">
        <v>17</v>
      </c>
      <c r="J134" s="6">
        <f t="shared" si="7"/>
        <v>93</v>
      </c>
      <c r="K134" s="4" t="str">
        <f t="shared" ca="1" si="8"/>
        <v>No</v>
      </c>
      <c r="L134" s="7">
        <f>IF(I134="Completed","0",IF($H134="","",$H134-'[2]Read Me'!$B$4))</f>
        <v>128</v>
      </c>
      <c r="M134" s="4" t="str">
        <f>IF($I134="Complete","Green",IF($H134="","Amber",IF($H134&lt;'[2]Read Me'!$B$4,"Red",IF($H134-'[2]Read Me'!$B$4&lt;=21,"Amber","Green"))))</f>
        <v>Green</v>
      </c>
      <c r="N134" s="3"/>
      <c r="O134" t="str">
        <f>IF($I134&lt;&gt;"Complete",IF(COUNTIFS($A$4:$A133,$A134,$B$4:$B133,$B134,$I$4:$I133,"&lt;&gt;Complete")=0,$A134&amp;"|"&amp;$B134,""),"")</f>
        <v/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 t="s">
        <v>128</v>
      </c>
      <c r="B135" s="2" t="s">
        <v>21</v>
      </c>
      <c r="C135" s="3" t="s">
        <v>128</v>
      </c>
      <c r="D135" s="3" t="s">
        <v>47</v>
      </c>
      <c r="E135" s="2" t="s">
        <v>130</v>
      </c>
      <c r="F135" s="2"/>
      <c r="G135" s="5">
        <v>46236</v>
      </c>
      <c r="H135" s="5">
        <v>46329</v>
      </c>
      <c r="I135" s="4" t="s">
        <v>17</v>
      </c>
      <c r="J135" s="6">
        <f t="shared" si="7"/>
        <v>93</v>
      </c>
      <c r="K135" s="4" t="str">
        <f t="shared" ca="1" si="8"/>
        <v>No</v>
      </c>
      <c r="L135" s="7">
        <f>IF(I135="Completed","0",IF($H135="","",$H135-'[2]Read Me'!$B$4))</f>
        <v>142</v>
      </c>
      <c r="M135" s="4" t="str">
        <f>IF($I135="Complete","Green",IF($H135="","Amber",IF($H135&lt;'[2]Read Me'!$B$4,"Red",IF($H135-'[2]Read Me'!$B$4&lt;=21,"Amber","Green"))))</f>
        <v>Green</v>
      </c>
      <c r="N135" s="3"/>
      <c r="O135" t="str">
        <f>IF($I135&lt;&gt;"Complete",IF(COUNTIFS($A$4:$A134,$A135,$B$4:$B134,$B135,$I$4:$I134,"&lt;&gt;Complete")=0,$A135&amp;"|"&amp;$B135,""),"")</f>
        <v/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 t="s">
        <v>128</v>
      </c>
      <c r="B136" s="2" t="s">
        <v>21</v>
      </c>
      <c r="C136" s="3" t="s">
        <v>128</v>
      </c>
      <c r="D136" s="3" t="s">
        <v>132</v>
      </c>
      <c r="E136" s="2" t="s">
        <v>33</v>
      </c>
      <c r="F136" s="2" t="s">
        <v>81</v>
      </c>
      <c r="G136" s="5">
        <v>46243</v>
      </c>
      <c r="H136" s="5">
        <v>46336</v>
      </c>
      <c r="I136" s="4" t="s">
        <v>17</v>
      </c>
      <c r="J136" s="6">
        <f t="shared" si="7"/>
        <v>93</v>
      </c>
      <c r="K136" s="4" t="str">
        <f t="shared" ca="1" si="8"/>
        <v>No</v>
      </c>
      <c r="L136" s="7">
        <f>IF(I136="Completed","0",IF($H136="","",$H136-'[2]Read Me'!$B$4))</f>
        <v>149</v>
      </c>
      <c r="M136" s="4" t="str">
        <f>IF($I136="Complete","Green",IF($H136="","Amber",IF($H136&lt;'[2]Read Me'!$B$4,"Red",IF($H136-'[2]Read Me'!$B$4&lt;=21,"Amber","Green"))))</f>
        <v>Green</v>
      </c>
      <c r="N136" s="3"/>
      <c r="O136" t="str">
        <f>IF($I136&lt;&gt;"Complete",IF(COUNTIFS($A$4:$A135,$A136,$B$4:$B135,$B136,$I$4:$I135,"&lt;&gt;Complete")=0,$A136&amp;"|"&amp;$B136,""),"")</f>
        <v/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 t="s">
        <v>128</v>
      </c>
      <c r="B137" s="2" t="s">
        <v>21</v>
      </c>
      <c r="C137" s="3" t="s">
        <v>128</v>
      </c>
      <c r="D137" s="3" t="s">
        <v>133</v>
      </c>
      <c r="E137" s="2" t="s">
        <v>130</v>
      </c>
      <c r="F137" s="2"/>
      <c r="G137" s="5">
        <v>46250</v>
      </c>
      <c r="H137" s="5">
        <v>46343</v>
      </c>
      <c r="I137" s="4" t="s">
        <v>17</v>
      </c>
      <c r="J137" s="6">
        <f t="shared" si="7"/>
        <v>93</v>
      </c>
      <c r="K137" s="4" t="str">
        <f t="shared" ca="1" si="8"/>
        <v>No</v>
      </c>
      <c r="L137" s="7">
        <f>IF(I137="Completed","0",IF($H137="","",$H137-'[2]Read Me'!$B$4))</f>
        <v>156</v>
      </c>
      <c r="M137" s="4" t="str">
        <f>IF($I137="Complete","Green",IF($H137="","Amber",IF($H137&lt;'[2]Read Me'!$B$4,"Red",IF($H137-'[2]Read Me'!$B$4&lt;=21,"Amber","Green"))))</f>
        <v>Green</v>
      </c>
      <c r="N137" s="3"/>
      <c r="O137" t="str">
        <f>IF($I137&lt;&gt;"Complete",IF(COUNTIFS($A$4:$A136,$A137,$B$4:$B136,$B137,$I$4:$I136,"&lt;&gt;Complete")=0,$A137&amp;"|"&amp;$B137,""),"")</f>
        <v/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 t="s">
        <v>128</v>
      </c>
      <c r="B138" s="2" t="s">
        <v>21</v>
      </c>
      <c r="C138" s="3" t="s">
        <v>128</v>
      </c>
      <c r="D138" s="3" t="s">
        <v>134</v>
      </c>
      <c r="E138" s="2" t="s">
        <v>130</v>
      </c>
      <c r="F138" s="2"/>
      <c r="G138" s="5">
        <v>46264</v>
      </c>
      <c r="H138" s="5">
        <v>46357</v>
      </c>
      <c r="I138" s="4" t="s">
        <v>17</v>
      </c>
      <c r="J138" s="6">
        <f t="shared" si="7"/>
        <v>93</v>
      </c>
      <c r="K138" s="4" t="str">
        <f t="shared" ca="1" si="8"/>
        <v>No</v>
      </c>
      <c r="L138" s="7">
        <f>IF(I138="Completed","0",IF($H138="","",$H138-'[2]Read Me'!$B$4))</f>
        <v>170</v>
      </c>
      <c r="M138" s="4" t="str">
        <f>IF($I138="Complete","Green",IF($H138="","Amber",IF($H138&lt;'[2]Read Me'!$B$4,"Red",IF($H138-'[2]Read Me'!$B$4&lt;=21,"Amber","Green"))))</f>
        <v>Green</v>
      </c>
      <c r="N138" s="3"/>
      <c r="O138" t="str">
        <f>IF($I138&lt;&gt;"Complete",IF(COUNTIFS($A$4:$A137,$A138,$B$4:$B137,$B138,$I$4:$I137,"&lt;&gt;Complete")=0,$A138&amp;"|"&amp;$B138,""),"")</f>
        <v/>
      </c>
      <c r="P138" t="str">
        <f ca="1">IF($K138="Yes",COUNTIFS($K$4:$K138,"Yes"),"")</f>
        <v/>
      </c>
      <c r="Q138">
        <f t="shared" ca="1" si="9"/>
        <v>0</v>
      </c>
      <c r="R138" t="str">
        <f ca="1">IF($Q138=1,SUM($Q$4:$Q138),"")</f>
        <v/>
      </c>
    </row>
    <row r="139" spans="1:18" ht="22.5" customHeight="1" x14ac:dyDescent="0.3">
      <c r="A139" s="2" t="s">
        <v>128</v>
      </c>
      <c r="B139" s="2" t="s">
        <v>21</v>
      </c>
      <c r="C139" s="3" t="s">
        <v>128</v>
      </c>
      <c r="D139" s="3" t="s">
        <v>123</v>
      </c>
      <c r="E139" s="2" t="s">
        <v>130</v>
      </c>
      <c r="F139" s="2"/>
      <c r="G139" s="5">
        <v>46292</v>
      </c>
      <c r="H139" s="5">
        <v>46385</v>
      </c>
      <c r="I139" s="4" t="s">
        <v>17</v>
      </c>
      <c r="J139" s="6">
        <f t="shared" si="7"/>
        <v>93</v>
      </c>
      <c r="K139" s="4" t="str">
        <f t="shared" ca="1" si="8"/>
        <v>No</v>
      </c>
      <c r="L139" s="7">
        <f>IF(I139="Completed","0",IF($H139="","",$H139-'[2]Read Me'!$B$4))</f>
        <v>198</v>
      </c>
      <c r="M139" s="4" t="str">
        <f>IF($I139="Complete","Green",IF($H139="","Amber",IF($H139&lt;'[2]Read Me'!$B$4,"Red",IF($H139-'[2]Read Me'!$B$4&lt;=21,"Amber","Green"))))</f>
        <v>Green</v>
      </c>
      <c r="N139" s="3"/>
      <c r="O139" t="str">
        <f>IF($I139&lt;&gt;"Complete",IF(COUNTIFS($A$4:$A138,$A139,$B$4:$B138,$B139,$I$4:$I138,"&lt;&gt;Complete")=0,$A139&amp;"|"&amp;$B139,""),"")</f>
        <v/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 t="s">
        <v>128</v>
      </c>
      <c r="B140" s="2" t="s">
        <v>21</v>
      </c>
      <c r="C140" s="3" t="s">
        <v>128</v>
      </c>
      <c r="D140" s="3" t="s">
        <v>32</v>
      </c>
      <c r="E140" s="2" t="s">
        <v>130</v>
      </c>
      <c r="F140" s="2"/>
      <c r="G140" s="5">
        <v>46306</v>
      </c>
      <c r="H140" s="5">
        <v>46399</v>
      </c>
      <c r="I140" s="4" t="s">
        <v>17</v>
      </c>
      <c r="J140" s="6">
        <f t="shared" si="7"/>
        <v>93</v>
      </c>
      <c r="K140" s="4" t="str">
        <f t="shared" ca="1" si="8"/>
        <v>No</v>
      </c>
      <c r="L140" s="7">
        <f>IF(I140="Completed","0",IF($H140="","",$H140-'[2]Read Me'!$B$4))</f>
        <v>212</v>
      </c>
      <c r="M140" s="4" t="str">
        <f>IF($I140="Complete","Green",IF($H140="","Amber",IF($H140&lt;'[2]Read Me'!$B$4,"Red",IF($H140-'[2]Read Me'!$B$4&lt;=21,"Amber","Green"))))</f>
        <v>Green</v>
      </c>
      <c r="N140" s="3"/>
      <c r="O140" t="str">
        <f>IF($I140&lt;&gt;"Complete",IF(COUNTIFS($A$4:$A139,$A140,$B$4:$B139,$B140,$I$4:$I139,"&lt;&gt;Complete")=0,$A140&amp;"|"&amp;$B140,""),"")</f>
        <v/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 t="s">
        <v>128</v>
      </c>
      <c r="B141" s="2" t="s">
        <v>21</v>
      </c>
      <c r="C141" s="3" t="s">
        <v>128</v>
      </c>
      <c r="D141" s="3" t="s">
        <v>19</v>
      </c>
      <c r="E141" s="2" t="s">
        <v>33</v>
      </c>
      <c r="F141" s="2" t="s">
        <v>81</v>
      </c>
      <c r="G141" s="5">
        <v>46313</v>
      </c>
      <c r="H141" s="5">
        <v>46406</v>
      </c>
      <c r="I141" s="4" t="s">
        <v>17</v>
      </c>
      <c r="J141" s="6">
        <f t="shared" si="7"/>
        <v>93</v>
      </c>
      <c r="K141" s="4" t="str">
        <f t="shared" ca="1" si="8"/>
        <v>No</v>
      </c>
      <c r="L141" s="7">
        <f>IF(I141="Completed","0",IF($H141="","",$H141-'[2]Read Me'!$B$4))</f>
        <v>219</v>
      </c>
      <c r="M141" s="4" t="str">
        <f>IF($I141="Complete","Green",IF($H141="","Amber",IF($H141&lt;'[2]Read Me'!$B$4,"Red",IF($H141-'[2]Read Me'!$B$4&lt;=21,"Amber","Green"))))</f>
        <v>Green</v>
      </c>
      <c r="N141" s="3"/>
      <c r="O141" t="str">
        <f>IF($I141&lt;&gt;"Complete",IF(COUNTIFS($A$4:$A140,$A141,$B$4:$B140,$B141,$I$4:$I140,"&lt;&gt;Complete")=0,$A141&amp;"|"&amp;$B141,""),"")</f>
        <v/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 t="s">
        <v>128</v>
      </c>
      <c r="B142" s="2" t="s">
        <v>21</v>
      </c>
      <c r="C142" s="3" t="s">
        <v>128</v>
      </c>
      <c r="D142" s="3" t="s">
        <v>14</v>
      </c>
      <c r="E142" s="2" t="s">
        <v>130</v>
      </c>
      <c r="F142" s="2"/>
      <c r="G142" s="5">
        <v>46327</v>
      </c>
      <c r="H142" s="5">
        <v>46420</v>
      </c>
      <c r="I142" s="4" t="s">
        <v>17</v>
      </c>
      <c r="J142" s="6">
        <f t="shared" si="7"/>
        <v>93</v>
      </c>
      <c r="K142" s="4" t="str">
        <f t="shared" ca="1" si="8"/>
        <v>No</v>
      </c>
      <c r="L142" s="7">
        <f>IF(I142="Completed","0",IF($H142="","",$H142-'[2]Read Me'!$B$4))</f>
        <v>233</v>
      </c>
      <c r="M142" s="4" t="str">
        <f>IF($I142="Complete","Green",IF($H142="","Amber",IF($H142&lt;'[2]Read Me'!$B$4,"Red",IF($H142-'[2]Read Me'!$B$4&lt;=21,"Amber","Green"))))</f>
        <v>Green</v>
      </c>
      <c r="N142" s="3"/>
      <c r="O142" t="str">
        <f>IF($I142&lt;&gt;"Complete",IF(COUNTIFS($A$4:$A141,$A142,$B$4:$B141,$B142,$I$4:$I141,"&lt;&gt;Complete")=0,$A142&amp;"|"&amp;$B142,""),"")</f>
        <v/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 t="s">
        <v>128</v>
      </c>
      <c r="B143" s="2" t="s">
        <v>21</v>
      </c>
      <c r="C143" s="3" t="s">
        <v>128</v>
      </c>
      <c r="D143" s="3" t="s">
        <v>34</v>
      </c>
      <c r="E143" s="2" t="s">
        <v>130</v>
      </c>
      <c r="F143" s="2"/>
      <c r="G143" s="5">
        <v>46341</v>
      </c>
      <c r="H143" s="5">
        <v>46434</v>
      </c>
      <c r="I143" s="4" t="s">
        <v>17</v>
      </c>
      <c r="J143" s="6">
        <f t="shared" si="7"/>
        <v>93</v>
      </c>
      <c r="K143" s="4" t="str">
        <f t="shared" ca="1" si="8"/>
        <v>No</v>
      </c>
      <c r="L143" s="7">
        <f>IF(I143="Completed","0",IF($H143="","",$H143-'[2]Read Me'!$B$4))</f>
        <v>247</v>
      </c>
      <c r="M143" s="4" t="str">
        <f>IF($I143="Complete","Green",IF($H143="","Amber",IF($H143&lt;'[2]Read Me'!$B$4,"Red",IF($H143-'[2]Read Me'!$B$4&lt;=21,"Amber","Green"))))</f>
        <v>Green</v>
      </c>
      <c r="N143" s="3"/>
      <c r="O143" t="str">
        <f>IF($I143&lt;&gt;"Complete",IF(COUNTIFS($A$4:$A142,$A143,$B$4:$B142,$B143,$I$4:$I142,"&lt;&gt;Complete")=0,$A143&amp;"|"&amp;$B143,""),"")</f>
        <v/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 t="s">
        <v>128</v>
      </c>
      <c r="B144" s="2" t="s">
        <v>21</v>
      </c>
      <c r="C144" s="3" t="s">
        <v>128</v>
      </c>
      <c r="D144" s="3" t="s">
        <v>127</v>
      </c>
      <c r="E144" s="2" t="s">
        <v>130</v>
      </c>
      <c r="F144" s="2"/>
      <c r="G144" s="5">
        <v>46355</v>
      </c>
      <c r="H144" s="5">
        <v>46448</v>
      </c>
      <c r="I144" s="4" t="s">
        <v>17</v>
      </c>
      <c r="J144" s="6">
        <f t="shared" si="7"/>
        <v>93</v>
      </c>
      <c r="K144" s="4" t="str">
        <f t="shared" ca="1" si="8"/>
        <v>No</v>
      </c>
      <c r="L144" s="7">
        <f>IF(I144="Completed","0",IF($H144="","",$H144-'[2]Read Me'!$B$4))</f>
        <v>261</v>
      </c>
      <c r="M144" s="4" t="str">
        <f>IF($I144="Complete","Green",IF($H144="","Amber",IF($H144&lt;'[2]Read Me'!$B$4,"Red",IF($H144-'[2]Read Me'!$B$4&lt;=21,"Amber","Green"))))</f>
        <v>Green</v>
      </c>
      <c r="N144" s="3"/>
      <c r="O144" t="str">
        <f>IF($I144&lt;&gt;"Complete",IF(COUNTIFS($A$4:$A143,$A144,$B$4:$B143,$B144,$I$4:$I143,"&lt;&gt;Complete")=0,$A144&amp;"|"&amp;$B144,""),"")</f>
        <v/>
      </c>
      <c r="P144" t="str">
        <f ca="1">IF($K144="Yes",COUNTIFS($K$4:$K144,"Yes"),"")</f>
        <v/>
      </c>
      <c r="Q144">
        <f t="shared" ca="1" si="9"/>
        <v>0</v>
      </c>
      <c r="R144" t="str">
        <f ca="1">IF($Q144=1,SUM($Q$4:$Q144),"")</f>
        <v/>
      </c>
    </row>
    <row r="145" spans="1:18" ht="22.5" customHeight="1" x14ac:dyDescent="0.3">
      <c r="A145" s="2" t="s">
        <v>128</v>
      </c>
      <c r="B145" s="2" t="s">
        <v>21</v>
      </c>
      <c r="C145" s="3" t="s">
        <v>128</v>
      </c>
      <c r="D145" s="3" t="s">
        <v>35</v>
      </c>
      <c r="E145" s="2" t="s">
        <v>130</v>
      </c>
      <c r="F145" s="2"/>
      <c r="G145" s="5">
        <v>46369</v>
      </c>
      <c r="H145" s="5">
        <v>46462</v>
      </c>
      <c r="I145" s="4" t="s">
        <v>17</v>
      </c>
      <c r="J145" s="6">
        <f t="shared" si="7"/>
        <v>93</v>
      </c>
      <c r="K145" s="4" t="str">
        <f t="shared" ca="1" si="8"/>
        <v>No</v>
      </c>
      <c r="L145" s="7">
        <f>IF(I145="Completed","0",IF($H145="","",$H145-'[2]Read Me'!$B$4))</f>
        <v>275</v>
      </c>
      <c r="M145" s="4" t="str">
        <f>IF($I145="Complete","Green",IF($H145="","Amber",IF($H145&lt;'[2]Read Me'!$B$4,"Red",IF($H145-'[2]Read Me'!$B$4&lt;=21,"Amber","Green"))))</f>
        <v>Green</v>
      </c>
      <c r="N145" s="3"/>
      <c r="O145" t="str">
        <f>IF($I145&lt;&gt;"Complete",IF(COUNTIFS($A$4:$A144,$A145,$B$4:$B144,$B145,$I$4:$I144,"&lt;&gt;Complete")=0,$A145&amp;"|"&amp;$B145,""),"")</f>
        <v/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 t="s">
        <v>128</v>
      </c>
      <c r="B146" s="2" t="s">
        <v>21</v>
      </c>
      <c r="C146" s="3" t="s">
        <v>128</v>
      </c>
      <c r="D146" s="3" t="s">
        <v>20</v>
      </c>
      <c r="E146" s="2" t="s">
        <v>33</v>
      </c>
      <c r="F146" s="2" t="s">
        <v>81</v>
      </c>
      <c r="G146" s="5">
        <v>46376</v>
      </c>
      <c r="H146" s="5">
        <v>46469</v>
      </c>
      <c r="I146" s="4" t="s">
        <v>17</v>
      </c>
      <c r="J146" s="6">
        <f t="shared" si="7"/>
        <v>93</v>
      </c>
      <c r="K146" s="4" t="str">
        <f t="shared" ca="1" si="8"/>
        <v>No</v>
      </c>
      <c r="L146" s="7">
        <f>IF(I146="Completed","0",IF($H146="","",$H146-'[2]Read Me'!$B$4))</f>
        <v>282</v>
      </c>
      <c r="M146" s="4" t="str">
        <f>IF($I146="Complete","Green",IF($H146="","Amber",IF($H146&lt;'[2]Read Me'!$B$4,"Red",IF($H146-'[2]Read Me'!$B$4&lt;=21,"Amber","Green"))))</f>
        <v>Green</v>
      </c>
      <c r="N146" s="3"/>
      <c r="O146" t="str">
        <f>IF($I146&lt;&gt;"Complete",IF(COUNTIFS($A$4:$A145,$A146,$B$4:$B145,$B146,$I$4:$I145,"&lt;&gt;Complete")=0,$A146&amp;"|"&amp;$B146,""),"")</f>
        <v/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 t="s">
        <v>128</v>
      </c>
      <c r="B147" s="2" t="s">
        <v>21</v>
      </c>
      <c r="C147" s="3" t="s">
        <v>128</v>
      </c>
      <c r="D147" s="3" t="s">
        <v>108</v>
      </c>
      <c r="E147" s="2" t="s">
        <v>130</v>
      </c>
      <c r="F147" s="2"/>
      <c r="G147" s="5">
        <v>46390</v>
      </c>
      <c r="H147" s="5">
        <v>46483</v>
      </c>
      <c r="I147" s="4" t="s">
        <v>17</v>
      </c>
      <c r="J147" s="6">
        <f t="shared" si="7"/>
        <v>93</v>
      </c>
      <c r="K147" s="4" t="str">
        <f t="shared" ca="1" si="8"/>
        <v>No</v>
      </c>
      <c r="L147" s="7">
        <f>IF(I147="Completed","0",IF($H147="","",$H147-'[2]Read Me'!$B$4))</f>
        <v>296</v>
      </c>
      <c r="M147" s="4" t="str">
        <f>IF($I147="Complete","Green",IF($H147="","Amber",IF($H147&lt;'[2]Read Me'!$B$4,"Red",IF($H147-'[2]Read Me'!$B$4&lt;=21,"Amber","Green"))))</f>
        <v>Green</v>
      </c>
      <c r="N147" s="3"/>
      <c r="O147" t="str">
        <f>IF($I147&lt;&gt;"Complete",IF(COUNTIFS($A$4:$A146,$A147,$B$4:$B146,$B147,$I$4:$I146,"&lt;&gt;Complete")=0,$A147&amp;"|"&amp;$B147,""),"")</f>
        <v/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 t="s">
        <v>128</v>
      </c>
      <c r="B148" s="2" t="s">
        <v>21</v>
      </c>
      <c r="C148" s="3" t="s">
        <v>128</v>
      </c>
      <c r="D148" s="3" t="s">
        <v>37</v>
      </c>
      <c r="E148" s="2" t="s">
        <v>130</v>
      </c>
      <c r="F148" s="2"/>
      <c r="G148" s="5">
        <v>46404</v>
      </c>
      <c r="H148" s="5">
        <v>46497</v>
      </c>
      <c r="I148" s="4" t="s">
        <v>17</v>
      </c>
      <c r="J148" s="6">
        <f t="shared" si="7"/>
        <v>93</v>
      </c>
      <c r="K148" s="4" t="str">
        <f t="shared" ca="1" si="8"/>
        <v>No</v>
      </c>
      <c r="L148" s="7">
        <f>IF(I148="Completed","0",IF($H148="","",$H148-'[2]Read Me'!$B$4))</f>
        <v>310</v>
      </c>
      <c r="M148" s="4" t="str">
        <f>IF($I148="Complete","Green",IF($H148="","Amber",IF($H148&lt;'[2]Read Me'!$B$4,"Red",IF($H148-'[2]Read Me'!$B$4&lt;=21,"Amber","Green"))))</f>
        <v>Green</v>
      </c>
      <c r="N148" s="3"/>
      <c r="O148" t="str">
        <f>IF($I148&lt;&gt;"Complete",IF(COUNTIFS($A$4:$A147,$A148,$B$4:$B147,$B148,$I$4:$I147,"&lt;&gt;Complete")=0,$A148&amp;"|"&amp;$B148,""),"")</f>
        <v/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 t="s">
        <v>135</v>
      </c>
      <c r="B149" s="2" t="s">
        <v>21</v>
      </c>
      <c r="C149" s="3"/>
      <c r="D149" s="3"/>
      <c r="E149" s="2"/>
      <c r="F149" s="2"/>
      <c r="G149" s="5">
        <v>46460</v>
      </c>
      <c r="H149" s="5">
        <v>46553</v>
      </c>
      <c r="I149" s="4"/>
      <c r="J149" s="6">
        <f t="shared" si="7"/>
        <v>93</v>
      </c>
      <c r="K149" s="4" t="str">
        <f t="shared" ca="1" si="8"/>
        <v/>
      </c>
      <c r="L149" s="7">
        <f>IF(I149="Completed","0",IF($H149="","",$H149-'[2]Read Me'!$B$4))</f>
        <v>366</v>
      </c>
      <c r="M149" s="4" t="str">
        <f>IF($I149="Complete","Green",IF($H149="","Amber",IF($H149&lt;'[2]Read Me'!$B$4,"Red",IF($H149-'[2]Read Me'!$B$4&lt;=21,"Amber","Green"))))</f>
        <v>Green</v>
      </c>
      <c r="N149" s="3"/>
      <c r="O149" t="str">
        <f>IF($I149&lt;&gt;"Complete",IF(COUNTIFS($A$4:$A148,$A149,$B$4:$B148,$B149,$I$4:$I148,"&lt;&gt;Complete")=0,$A149&amp;"|"&amp;$B149,""),"")</f>
        <v>Landscape (Phase.02)|Landscape</v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 t="s">
        <v>135</v>
      </c>
      <c r="B150" s="2" t="s">
        <v>21</v>
      </c>
      <c r="C150" s="3" t="s">
        <v>135</v>
      </c>
      <c r="D150" s="3" t="s">
        <v>98</v>
      </c>
      <c r="E150" s="2" t="s">
        <v>130</v>
      </c>
      <c r="F150" s="2"/>
      <c r="G150" s="5">
        <v>46278</v>
      </c>
      <c r="H150" s="5">
        <v>46371</v>
      </c>
      <c r="I150" s="4" t="s">
        <v>17</v>
      </c>
      <c r="J150" s="6">
        <f t="shared" si="7"/>
        <v>93</v>
      </c>
      <c r="K150" s="4" t="str">
        <f t="shared" ca="1" si="8"/>
        <v>No</v>
      </c>
      <c r="L150" s="7">
        <f>IF(I150="Completed","0",IF($H150="","",$H150-'[2]Read Me'!$B$4))</f>
        <v>184</v>
      </c>
      <c r="M150" s="4" t="str">
        <f>IF($I150="Complete","Green",IF($H150="","Amber",IF($H150&lt;'[2]Read Me'!$B$4,"Red",IF($H150-'[2]Read Me'!$B$4&lt;=21,"Amber","Green"))))</f>
        <v>Green</v>
      </c>
      <c r="N150" s="3"/>
      <c r="O150" t="str">
        <f>IF($I150&lt;&gt;"Complete",IF(COUNTIFS($A$4:$A149,$A150,$B$4:$B149,$B150,$I$4:$I149,"&lt;&gt;Complete")=0,$A150&amp;"|"&amp;$B150,""),"")</f>
        <v/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 t="s">
        <v>135</v>
      </c>
      <c r="B151" s="2" t="s">
        <v>21</v>
      </c>
      <c r="C151" s="3" t="s">
        <v>135</v>
      </c>
      <c r="D151" s="3" t="s">
        <v>47</v>
      </c>
      <c r="E151" s="2" t="s">
        <v>130</v>
      </c>
      <c r="F151" s="2"/>
      <c r="G151" s="5">
        <v>46292</v>
      </c>
      <c r="H151" s="5">
        <v>46385</v>
      </c>
      <c r="I151" s="4" t="s">
        <v>17</v>
      </c>
      <c r="J151" s="6">
        <f t="shared" si="7"/>
        <v>93</v>
      </c>
      <c r="K151" s="4" t="str">
        <f t="shared" ca="1" si="8"/>
        <v>No</v>
      </c>
      <c r="L151" s="7">
        <f>IF(I151="Completed","0",IF($H151="","",$H151-'[2]Read Me'!$B$4))</f>
        <v>198</v>
      </c>
      <c r="M151" s="4" t="str">
        <f>IF($I151="Complete","Green",IF($H151="","Amber",IF($H151&lt;'[2]Read Me'!$B$4,"Red",IF($H151-'[2]Read Me'!$B$4&lt;=21,"Amber","Green"))))</f>
        <v>Green</v>
      </c>
      <c r="N151" s="3"/>
      <c r="O151" t="str">
        <f>IF($I151&lt;&gt;"Complete",IF(COUNTIFS($A$4:$A150,$A151,$B$4:$B150,$B151,$I$4:$I150,"&lt;&gt;Complete")=0,$A151&amp;"|"&amp;$B151,""),"")</f>
        <v/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 t="s">
        <v>135</v>
      </c>
      <c r="B152" s="2" t="s">
        <v>21</v>
      </c>
      <c r="C152" s="3" t="s">
        <v>135</v>
      </c>
      <c r="D152" s="3" t="s">
        <v>132</v>
      </c>
      <c r="E152" s="2" t="s">
        <v>33</v>
      </c>
      <c r="F152" s="2" t="s">
        <v>81</v>
      </c>
      <c r="G152" s="5">
        <v>46299</v>
      </c>
      <c r="H152" s="5">
        <v>46392</v>
      </c>
      <c r="I152" s="4" t="s">
        <v>17</v>
      </c>
      <c r="J152" s="6">
        <f t="shared" si="7"/>
        <v>93</v>
      </c>
      <c r="K152" s="4" t="str">
        <f t="shared" ca="1" si="8"/>
        <v>No</v>
      </c>
      <c r="L152" s="7">
        <f>IF(I152="Completed","0",IF($H152="","",$H152-'[2]Read Me'!$B$4))</f>
        <v>205</v>
      </c>
      <c r="M152" s="4" t="str">
        <f>IF($I152="Complete","Green",IF($H152="","Amber",IF($H152&lt;'[2]Read Me'!$B$4,"Red",IF($H152-'[2]Read Me'!$B$4&lt;=21,"Amber","Green"))))</f>
        <v>Green</v>
      </c>
      <c r="N152" s="3"/>
      <c r="O152" t="str">
        <f>IF($I152&lt;&gt;"Complete",IF(COUNTIFS($A$4:$A151,$A152,$B$4:$B151,$B152,$I$4:$I151,"&lt;&gt;Complete")=0,$A152&amp;"|"&amp;$B152,""),"")</f>
        <v/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 t="s">
        <v>135</v>
      </c>
      <c r="B153" s="2" t="s">
        <v>21</v>
      </c>
      <c r="C153" s="3" t="s">
        <v>135</v>
      </c>
      <c r="D153" s="3" t="s">
        <v>133</v>
      </c>
      <c r="E153" s="2" t="s">
        <v>130</v>
      </c>
      <c r="F153" s="2"/>
      <c r="G153" s="5">
        <v>46306</v>
      </c>
      <c r="H153" s="5">
        <v>46399</v>
      </c>
      <c r="I153" s="4" t="s">
        <v>17</v>
      </c>
      <c r="J153" s="6">
        <f t="shared" si="7"/>
        <v>93</v>
      </c>
      <c r="K153" s="4" t="str">
        <f t="shared" ca="1" si="8"/>
        <v>No</v>
      </c>
      <c r="L153" s="7">
        <f>IF(I153="Completed","0",IF($H153="","",$H153-'[2]Read Me'!$B$4))</f>
        <v>212</v>
      </c>
      <c r="M153" s="4" t="str">
        <f>IF($I153="Complete","Green",IF($H153="","Amber",IF($H153&lt;'[2]Read Me'!$B$4,"Red",IF($H153-'[2]Read Me'!$B$4&lt;=21,"Amber","Green"))))</f>
        <v>Green</v>
      </c>
      <c r="N153" s="3"/>
      <c r="O153" t="str">
        <f>IF($I153&lt;&gt;"Complete",IF(COUNTIFS($A$4:$A152,$A153,$B$4:$B152,$B153,$I$4:$I152,"&lt;&gt;Complete")=0,$A153&amp;"|"&amp;$B153,""),"")</f>
        <v/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 t="s">
        <v>135</v>
      </c>
      <c r="B154" s="2" t="s">
        <v>21</v>
      </c>
      <c r="C154" s="3" t="s">
        <v>135</v>
      </c>
      <c r="D154" s="3" t="s">
        <v>134</v>
      </c>
      <c r="E154" s="2" t="s">
        <v>130</v>
      </c>
      <c r="F154" s="2"/>
      <c r="G154" s="5">
        <v>46320</v>
      </c>
      <c r="H154" s="5">
        <v>46413</v>
      </c>
      <c r="I154" s="4" t="s">
        <v>17</v>
      </c>
      <c r="J154" s="6">
        <f t="shared" si="7"/>
        <v>93</v>
      </c>
      <c r="K154" s="4" t="str">
        <f t="shared" ca="1" si="8"/>
        <v>No</v>
      </c>
      <c r="L154" s="7">
        <f>IF(I154="Completed","0",IF($H154="","",$H154-'[2]Read Me'!$B$4))</f>
        <v>226</v>
      </c>
      <c r="M154" s="4" t="str">
        <f>IF($I154="Complete","Green",IF($H154="","Amber",IF($H154&lt;'[2]Read Me'!$B$4,"Red",IF($H154-'[2]Read Me'!$B$4&lt;=21,"Amber","Green"))))</f>
        <v>Green</v>
      </c>
      <c r="N154" s="3"/>
      <c r="O154" t="str">
        <f>IF($I154&lt;&gt;"Complete",IF(COUNTIFS($A$4:$A153,$A154,$B$4:$B153,$B154,$I$4:$I153,"&lt;&gt;Complete")=0,$A154&amp;"|"&amp;$B154,""),"")</f>
        <v/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 t="s">
        <v>135</v>
      </c>
      <c r="B155" s="2" t="s">
        <v>21</v>
      </c>
      <c r="C155" s="3" t="s">
        <v>135</v>
      </c>
      <c r="D155" s="3" t="s">
        <v>123</v>
      </c>
      <c r="E155" s="2" t="s">
        <v>130</v>
      </c>
      <c r="F155" s="2"/>
      <c r="G155" s="5">
        <v>46348</v>
      </c>
      <c r="H155" s="5">
        <v>46441</v>
      </c>
      <c r="I155" s="4" t="s">
        <v>17</v>
      </c>
      <c r="J155" s="6">
        <f t="shared" si="7"/>
        <v>93</v>
      </c>
      <c r="K155" s="4" t="str">
        <f t="shared" ca="1" si="8"/>
        <v>No</v>
      </c>
      <c r="L155" s="7">
        <f>IF(I155="Completed","0",IF($H155="","",$H155-'[2]Read Me'!$B$4))</f>
        <v>254</v>
      </c>
      <c r="M155" s="4" t="str">
        <f>IF($I155="Complete","Green",IF($H155="","Amber",IF($H155&lt;'[2]Read Me'!$B$4,"Red",IF($H155-'[2]Read Me'!$B$4&lt;=21,"Amber","Green"))))</f>
        <v>Green</v>
      </c>
      <c r="N155" s="3"/>
      <c r="O155" t="str">
        <f>IF($I155&lt;&gt;"Complete",IF(COUNTIFS($A$4:$A154,$A155,$B$4:$B154,$B155,$I$4:$I154,"&lt;&gt;Complete")=0,$A155&amp;"|"&amp;$B155,""),"")</f>
        <v/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 t="s">
        <v>135</v>
      </c>
      <c r="B156" s="2" t="s">
        <v>21</v>
      </c>
      <c r="C156" s="3" t="s">
        <v>135</v>
      </c>
      <c r="D156" s="3" t="s">
        <v>32</v>
      </c>
      <c r="E156" s="2" t="s">
        <v>130</v>
      </c>
      <c r="F156" s="2"/>
      <c r="G156" s="5">
        <v>46362</v>
      </c>
      <c r="H156" s="5">
        <v>46455</v>
      </c>
      <c r="I156" s="4" t="s">
        <v>17</v>
      </c>
      <c r="J156" s="6">
        <f t="shared" si="7"/>
        <v>93</v>
      </c>
      <c r="K156" s="4" t="str">
        <f t="shared" ca="1" si="8"/>
        <v>No</v>
      </c>
      <c r="L156" s="7">
        <f>IF(I156="Completed","0",IF($H156="","",$H156-'[2]Read Me'!$B$4))</f>
        <v>268</v>
      </c>
      <c r="M156" s="4" t="str">
        <f>IF($I156="Complete","Green",IF($H156="","Amber",IF($H156&lt;'[2]Read Me'!$B$4,"Red",IF($H156-'[2]Read Me'!$B$4&lt;=21,"Amber","Green"))))</f>
        <v>Green</v>
      </c>
      <c r="N156" s="3"/>
      <c r="O156" t="str">
        <f>IF($I156&lt;&gt;"Complete",IF(COUNTIFS($A$4:$A155,$A156,$B$4:$B155,$B156,$I$4:$I155,"&lt;&gt;Complete")=0,$A156&amp;"|"&amp;$B156,""),"")</f>
        <v/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 t="s">
        <v>135</v>
      </c>
      <c r="B157" s="2" t="s">
        <v>21</v>
      </c>
      <c r="C157" s="3" t="s">
        <v>135</v>
      </c>
      <c r="D157" s="3" t="s">
        <v>19</v>
      </c>
      <c r="E157" s="2" t="s">
        <v>33</v>
      </c>
      <c r="F157" s="2" t="s">
        <v>81</v>
      </c>
      <c r="G157" s="5">
        <v>46369</v>
      </c>
      <c r="H157" s="5">
        <v>46462</v>
      </c>
      <c r="I157" s="4" t="s">
        <v>17</v>
      </c>
      <c r="J157" s="6">
        <f t="shared" si="7"/>
        <v>93</v>
      </c>
      <c r="K157" s="4" t="str">
        <f t="shared" ca="1" si="8"/>
        <v>No</v>
      </c>
      <c r="L157" s="7">
        <f>IF(I157="Completed","0",IF($H157="","",$H157-'[2]Read Me'!$B$4))</f>
        <v>275</v>
      </c>
      <c r="M157" s="4" t="str">
        <f>IF($I157="Complete","Green",IF($H157="","Amber",IF($H157&lt;'[2]Read Me'!$B$4,"Red",IF($H157-'[2]Read Me'!$B$4&lt;=21,"Amber","Green"))))</f>
        <v>Green</v>
      </c>
      <c r="N157" s="3"/>
      <c r="O157" t="str">
        <f>IF($I157&lt;&gt;"Complete",IF(COUNTIFS($A$4:$A156,$A157,$B$4:$B156,$B157,$I$4:$I156,"&lt;&gt;Complete")=0,$A157&amp;"|"&amp;$B157,""),"")</f>
        <v/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 t="s">
        <v>135</v>
      </c>
      <c r="B158" s="2" t="s">
        <v>21</v>
      </c>
      <c r="C158" s="3" t="s">
        <v>135</v>
      </c>
      <c r="D158" s="3" t="s">
        <v>14</v>
      </c>
      <c r="E158" s="2" t="s">
        <v>130</v>
      </c>
      <c r="F158" s="2"/>
      <c r="G158" s="5">
        <v>46383</v>
      </c>
      <c r="H158" s="5">
        <v>46476</v>
      </c>
      <c r="I158" s="4" t="s">
        <v>17</v>
      </c>
      <c r="J158" s="6">
        <f t="shared" si="7"/>
        <v>93</v>
      </c>
      <c r="K158" s="4" t="str">
        <f t="shared" ca="1" si="8"/>
        <v>No</v>
      </c>
      <c r="L158" s="7">
        <f>IF(I158="Completed","0",IF($H158="","",$H158-'[2]Read Me'!$B$4))</f>
        <v>289</v>
      </c>
      <c r="M158" s="4" t="str">
        <f>IF($I158="Complete","Green",IF($H158="","Amber",IF($H158&lt;'[2]Read Me'!$B$4,"Red",IF($H158-'[2]Read Me'!$B$4&lt;=21,"Amber","Green"))))</f>
        <v>Green</v>
      </c>
      <c r="N158" s="3"/>
      <c r="O158" t="str">
        <f>IF($I158&lt;&gt;"Complete",IF(COUNTIFS($A$4:$A157,$A158,$B$4:$B157,$B158,$I$4:$I157,"&lt;&gt;Complete")=0,$A158&amp;"|"&amp;$B158,""),"")</f>
        <v/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 t="s">
        <v>135</v>
      </c>
      <c r="B159" s="2" t="s">
        <v>21</v>
      </c>
      <c r="C159" s="3" t="s">
        <v>135</v>
      </c>
      <c r="D159" s="3" t="s">
        <v>34</v>
      </c>
      <c r="E159" s="2" t="s">
        <v>130</v>
      </c>
      <c r="F159" s="2"/>
      <c r="G159" s="5">
        <v>46397</v>
      </c>
      <c r="H159" s="5">
        <v>46490</v>
      </c>
      <c r="I159" s="4" t="s">
        <v>17</v>
      </c>
      <c r="J159" s="6">
        <f t="shared" si="7"/>
        <v>93</v>
      </c>
      <c r="K159" s="4" t="str">
        <f t="shared" ca="1" si="8"/>
        <v>No</v>
      </c>
      <c r="L159" s="7">
        <f>IF(I159="Completed","0",IF($H159="","",$H159-'[2]Read Me'!$B$4))</f>
        <v>303</v>
      </c>
      <c r="M159" s="4" t="str">
        <f>IF($I159="Complete","Green",IF($H159="","Amber",IF($H159&lt;'[2]Read Me'!$B$4,"Red",IF($H159-'[2]Read Me'!$B$4&lt;=21,"Amber","Green"))))</f>
        <v>Green</v>
      </c>
      <c r="N159" s="3"/>
      <c r="O159" t="str">
        <f>IF($I159&lt;&gt;"Complete",IF(COUNTIFS($A$4:$A158,$A159,$B$4:$B158,$B159,$I$4:$I158,"&lt;&gt;Complete")=0,$A159&amp;"|"&amp;$B159,""),"")</f>
        <v/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 t="s">
        <v>135</v>
      </c>
      <c r="B160" s="2" t="s">
        <v>21</v>
      </c>
      <c r="C160" s="3" t="s">
        <v>135</v>
      </c>
      <c r="D160" s="3" t="s">
        <v>127</v>
      </c>
      <c r="E160" s="2" t="s">
        <v>130</v>
      </c>
      <c r="F160" s="2"/>
      <c r="G160" s="5">
        <v>46411</v>
      </c>
      <c r="H160" s="5">
        <v>46504</v>
      </c>
      <c r="I160" s="4" t="s">
        <v>17</v>
      </c>
      <c r="J160" s="6">
        <f t="shared" si="7"/>
        <v>93</v>
      </c>
      <c r="K160" s="4" t="str">
        <f t="shared" ca="1" si="8"/>
        <v>No</v>
      </c>
      <c r="L160" s="7">
        <f>IF(I160="Completed","0",IF($H160="","",$H160-'[2]Read Me'!$B$4))</f>
        <v>317</v>
      </c>
      <c r="M160" s="4" t="str">
        <f>IF($I160="Complete","Green",IF($H160="","Amber",IF($H160&lt;'[2]Read Me'!$B$4,"Red",IF($H160-'[2]Read Me'!$B$4&lt;=21,"Amber","Green"))))</f>
        <v>Green</v>
      </c>
      <c r="N160" s="3"/>
      <c r="O160" t="str">
        <f>IF($I160&lt;&gt;"Complete",IF(COUNTIFS($A$4:$A159,$A160,$B$4:$B159,$B160,$I$4:$I159,"&lt;&gt;Complete")=0,$A160&amp;"|"&amp;$B160,""),"")</f>
        <v/>
      </c>
      <c r="P160" t="str">
        <f ca="1">IF($K160="Yes",COUNTIFS($K$4:$K160,"Yes"),"")</f>
        <v/>
      </c>
      <c r="Q160">
        <f t="shared" ca="1" si="9"/>
        <v>0</v>
      </c>
      <c r="R160" t="str">
        <f ca="1">IF($Q160=1,SUM($Q$4:$Q160),"")</f>
        <v/>
      </c>
    </row>
    <row r="161" spans="1:18" ht="33.75" customHeight="1" x14ac:dyDescent="0.3">
      <c r="A161" s="2" t="s">
        <v>135</v>
      </c>
      <c r="B161" s="2" t="s">
        <v>21</v>
      </c>
      <c r="C161" s="3" t="s">
        <v>135</v>
      </c>
      <c r="D161" s="3" t="s">
        <v>35</v>
      </c>
      <c r="E161" s="2" t="s">
        <v>130</v>
      </c>
      <c r="F161" s="2"/>
      <c r="G161" s="5">
        <v>46425</v>
      </c>
      <c r="H161" s="5">
        <v>46518</v>
      </c>
      <c r="I161" s="4" t="s">
        <v>17</v>
      </c>
      <c r="J161" s="6">
        <f t="shared" si="7"/>
        <v>93</v>
      </c>
      <c r="K161" s="4" t="str">
        <f t="shared" ca="1" si="8"/>
        <v>No</v>
      </c>
      <c r="L161" s="7">
        <f>IF(I161="Completed","0",IF($H161="","",$H161-'[2]Read Me'!$B$4))</f>
        <v>331</v>
      </c>
      <c r="M161" s="4" t="str">
        <f>IF($I161="Complete","Green",IF($H161="","Amber",IF($H161&lt;'[2]Read Me'!$B$4,"Red",IF($H161-'[2]Read Me'!$B$4&lt;=21,"Amber","Green"))))</f>
        <v>Green</v>
      </c>
      <c r="N161" s="3"/>
      <c r="O161" t="str">
        <f>IF($I161&lt;&gt;"Complete",IF(COUNTIFS($A$4:$A160,$A161,$B$4:$B160,$B161,$I$4:$I160,"&lt;&gt;Complete")=0,$A161&amp;"|"&amp;$B161,""),"")</f>
        <v/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 t="s">
        <v>135</v>
      </c>
      <c r="B162" s="2" t="s">
        <v>21</v>
      </c>
      <c r="C162" s="3" t="s">
        <v>135</v>
      </c>
      <c r="D162" s="3" t="s">
        <v>20</v>
      </c>
      <c r="E162" s="2" t="s">
        <v>33</v>
      </c>
      <c r="F162" s="2" t="s">
        <v>81</v>
      </c>
      <c r="G162" s="5">
        <v>46432</v>
      </c>
      <c r="H162" s="5">
        <v>46525</v>
      </c>
      <c r="I162" s="4" t="s">
        <v>17</v>
      </c>
      <c r="J162" s="6">
        <f t="shared" si="7"/>
        <v>93</v>
      </c>
      <c r="K162" s="4" t="str">
        <f t="shared" ca="1" si="8"/>
        <v>No</v>
      </c>
      <c r="L162" s="7">
        <f>IF(I162="Completed","0",IF($H162="","",$H162-'[2]Read Me'!$B$4))</f>
        <v>338</v>
      </c>
      <c r="M162" s="4" t="str">
        <f>IF($I162="Complete","Green",IF($H162="","Amber",IF($H162&lt;'[2]Read Me'!$B$4,"Red",IF($H162-'[2]Read Me'!$B$4&lt;=21,"Amber","Green"))))</f>
        <v>Green</v>
      </c>
      <c r="N162" s="3"/>
      <c r="O162" t="str">
        <f>IF($I162&lt;&gt;"Complete",IF(COUNTIFS($A$4:$A161,$A162,$B$4:$B161,$B162,$I$4:$I161,"&lt;&gt;Complete")=0,$A162&amp;"|"&amp;$B162,""),"")</f>
        <v/>
      </c>
      <c r="P162" t="str">
        <f ca="1">IF($K162="Yes",COUNTIFS($K$4:$K162,"Yes"),"")</f>
        <v/>
      </c>
      <c r="Q162">
        <f t="shared" ca="1" si="9"/>
        <v>0</v>
      </c>
      <c r="R162" t="str">
        <f ca="1">IF($Q162=1,SUM($Q$4:$Q162),"")</f>
        <v/>
      </c>
    </row>
    <row r="163" spans="1:18" ht="33.75" customHeight="1" x14ac:dyDescent="0.3">
      <c r="A163" s="2" t="s">
        <v>135</v>
      </c>
      <c r="B163" s="2" t="s">
        <v>21</v>
      </c>
      <c r="C163" s="3" t="s">
        <v>135</v>
      </c>
      <c r="D163" s="3" t="s">
        <v>108</v>
      </c>
      <c r="E163" s="2" t="s">
        <v>130</v>
      </c>
      <c r="F163" s="2"/>
      <c r="G163" s="5">
        <v>46446</v>
      </c>
      <c r="H163" s="5">
        <v>46539</v>
      </c>
      <c r="I163" s="4" t="s">
        <v>17</v>
      </c>
      <c r="J163" s="6">
        <f t="shared" si="7"/>
        <v>93</v>
      </c>
      <c r="K163" s="4" t="str">
        <f t="shared" ca="1" si="8"/>
        <v>No</v>
      </c>
      <c r="L163" s="7">
        <f>IF(I163="Completed","0",IF($H163="","",$H163-'[2]Read Me'!$B$4))</f>
        <v>352</v>
      </c>
      <c r="M163" s="4" t="str">
        <f>IF($I163="Complete","Green",IF($H163="","Amber",IF($H163&lt;'[2]Read Me'!$B$4,"Red",IF($H163-'[2]Read Me'!$B$4&lt;=21,"Amber","Green"))))</f>
        <v>Green</v>
      </c>
      <c r="N163" s="3"/>
      <c r="O163" t="str">
        <f>IF($I163&lt;&gt;"Complete",IF(COUNTIFS($A$4:$A162,$A163,$B$4:$B162,$B163,$I$4:$I162,"&lt;&gt;Complete")=0,$A163&amp;"|"&amp;$B163,""),"")</f>
        <v/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 t="s">
        <v>135</v>
      </c>
      <c r="B164" s="2" t="s">
        <v>21</v>
      </c>
      <c r="C164" s="3" t="s">
        <v>135</v>
      </c>
      <c r="D164" s="3" t="s">
        <v>37</v>
      </c>
      <c r="E164" s="2" t="s">
        <v>130</v>
      </c>
      <c r="F164" s="2"/>
      <c r="G164" s="5">
        <v>46460</v>
      </c>
      <c r="H164" s="5">
        <v>46553</v>
      </c>
      <c r="I164" s="4" t="s">
        <v>17</v>
      </c>
      <c r="J164" s="6">
        <f t="shared" si="7"/>
        <v>93</v>
      </c>
      <c r="K164" s="4" t="str">
        <f t="shared" ca="1" si="8"/>
        <v>No</v>
      </c>
      <c r="L164" s="7">
        <f>IF(I164="Completed","0",IF($H164="","",$H164-'[2]Read Me'!$B$4))</f>
        <v>366</v>
      </c>
      <c r="M164" s="4" t="str">
        <f>IF($I164="Complete","Green",IF($H164="","Amber",IF($H164&lt;'[2]Read Me'!$B$4,"Red",IF($H164-'[2]Read Me'!$B$4&lt;=21,"Amber","Green"))))</f>
        <v>Green</v>
      </c>
      <c r="N164" s="3"/>
      <c r="O164" t="str">
        <f>IF($I164&lt;&gt;"Complete",IF(COUNTIFS($A$4:$A163,$A164,$B$4:$B163,$B164,$I$4:$I163,"&lt;&gt;Complete")=0,$A164&amp;"|"&amp;$B164,""),"")</f>
        <v/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 t="s">
        <v>136</v>
      </c>
      <c r="B165" s="2" t="s">
        <v>21</v>
      </c>
      <c r="C165" s="3"/>
      <c r="D165" s="3"/>
      <c r="E165" s="2"/>
      <c r="F165" s="2"/>
      <c r="G165" s="5">
        <v>46516</v>
      </c>
      <c r="H165" s="5">
        <v>46609</v>
      </c>
      <c r="I165" s="4"/>
      <c r="J165" s="6">
        <f t="shared" si="7"/>
        <v>93</v>
      </c>
      <c r="K165" s="4" t="str">
        <f t="shared" ca="1" si="8"/>
        <v/>
      </c>
      <c r="L165" s="7">
        <f>IF(I165="Completed","0",IF($H165="","",$H165-'[2]Read Me'!$B$4))</f>
        <v>422</v>
      </c>
      <c r="M165" s="4" t="str">
        <f>IF($I165="Complete","Green",IF($H165="","Amber",IF($H165&lt;'[2]Read Me'!$B$4,"Red",IF($H165-'[2]Read Me'!$B$4&lt;=21,"Amber","Green"))))</f>
        <v>Green</v>
      </c>
      <c r="N165" s="3"/>
      <c r="O165" t="str">
        <f>IF($I165&lt;&gt;"Complete",IF(COUNTIFS($A$4:$A164,$A165,$B$4:$B164,$B165,$I$4:$I164,"&lt;&gt;Complete")=0,$A165&amp;"|"&amp;$B165,""),"")</f>
        <v>Landscape (Phase.03)|Landscape</v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 t="s">
        <v>136</v>
      </c>
      <c r="B166" s="2" t="s">
        <v>21</v>
      </c>
      <c r="C166" s="3" t="s">
        <v>136</v>
      </c>
      <c r="D166" s="3" t="s">
        <v>98</v>
      </c>
      <c r="E166" s="2" t="s">
        <v>130</v>
      </c>
      <c r="F166" s="2"/>
      <c r="G166" s="5">
        <v>46334</v>
      </c>
      <c r="H166" s="5">
        <v>46427</v>
      </c>
      <c r="I166" s="4" t="s">
        <v>17</v>
      </c>
      <c r="J166" s="6">
        <f t="shared" si="7"/>
        <v>93</v>
      </c>
      <c r="K166" s="4" t="str">
        <f t="shared" ca="1" si="8"/>
        <v>No</v>
      </c>
      <c r="L166" s="7">
        <f>IF(I166="Completed","0",IF($H166="","",$H166-'[2]Read Me'!$B$4))</f>
        <v>240</v>
      </c>
      <c r="M166" s="4" t="str">
        <f>IF($I166="Complete","Green",IF($H166="","Amber",IF($H166&lt;'[2]Read Me'!$B$4,"Red",IF($H166-'[2]Read Me'!$B$4&lt;=21,"Amber","Green"))))</f>
        <v>Green</v>
      </c>
      <c r="N166" s="3"/>
      <c r="O166" t="str">
        <f>IF($I166&lt;&gt;"Complete",IF(COUNTIFS($A$4:$A165,$A166,$B$4:$B165,$B166,$I$4:$I165,"&lt;&gt;Complete")=0,$A166&amp;"|"&amp;$B166,""),"")</f>
        <v/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 t="s">
        <v>136</v>
      </c>
      <c r="B167" s="2" t="s">
        <v>21</v>
      </c>
      <c r="C167" s="3" t="s">
        <v>136</v>
      </c>
      <c r="D167" s="3" t="s">
        <v>47</v>
      </c>
      <c r="E167" s="2" t="s">
        <v>130</v>
      </c>
      <c r="F167" s="2"/>
      <c r="G167" s="5">
        <v>46348</v>
      </c>
      <c r="H167" s="5">
        <v>46441</v>
      </c>
      <c r="I167" s="4" t="s">
        <v>17</v>
      </c>
      <c r="J167" s="6">
        <f t="shared" si="7"/>
        <v>93</v>
      </c>
      <c r="K167" s="4" t="str">
        <f t="shared" ca="1" si="8"/>
        <v>No</v>
      </c>
      <c r="L167" s="7">
        <f>IF(I167="Completed","0",IF($H167="","",$H167-'[2]Read Me'!$B$4))</f>
        <v>254</v>
      </c>
      <c r="M167" s="4" t="str">
        <f>IF($I167="Complete","Green",IF($H167="","Amber",IF($H167&lt;'[2]Read Me'!$B$4,"Red",IF($H167-'[2]Read Me'!$B$4&lt;=21,"Amber","Green"))))</f>
        <v>Green</v>
      </c>
      <c r="N167" s="3"/>
      <c r="O167" t="str">
        <f>IF($I167&lt;&gt;"Complete",IF(COUNTIFS($A$4:$A166,$A167,$B$4:$B166,$B167,$I$4:$I166,"&lt;&gt;Complete")=0,$A167&amp;"|"&amp;$B167,""),"")</f>
        <v/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 t="s">
        <v>136</v>
      </c>
      <c r="B168" s="2" t="s">
        <v>21</v>
      </c>
      <c r="C168" s="3" t="s">
        <v>136</v>
      </c>
      <c r="D168" s="3" t="s">
        <v>132</v>
      </c>
      <c r="E168" s="2" t="s">
        <v>33</v>
      </c>
      <c r="F168" s="2" t="s">
        <v>81</v>
      </c>
      <c r="G168" s="5">
        <v>46355</v>
      </c>
      <c r="H168" s="5">
        <v>46448</v>
      </c>
      <c r="I168" s="4" t="s">
        <v>17</v>
      </c>
      <c r="J168" s="6">
        <f t="shared" si="7"/>
        <v>93</v>
      </c>
      <c r="K168" s="4" t="str">
        <f t="shared" ca="1" si="8"/>
        <v>No</v>
      </c>
      <c r="L168" s="7">
        <f>IF(I168="Completed","0",IF($H168="","",$H168-'[2]Read Me'!$B$4))</f>
        <v>261</v>
      </c>
      <c r="M168" s="4" t="str">
        <f>IF($I168="Complete","Green",IF($H168="","Amber",IF($H168&lt;'[2]Read Me'!$B$4,"Red",IF($H168-'[2]Read Me'!$B$4&lt;=21,"Amber","Green"))))</f>
        <v>Green</v>
      </c>
      <c r="N168" s="3"/>
      <c r="O168" t="str">
        <f>IF($I168&lt;&gt;"Complete",IF(COUNTIFS($A$4:$A167,$A168,$B$4:$B167,$B168,$I$4:$I167,"&lt;&gt;Complete")=0,$A168&amp;"|"&amp;$B168,""),"")</f>
        <v/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 t="s">
        <v>136</v>
      </c>
      <c r="B169" s="2" t="s">
        <v>21</v>
      </c>
      <c r="C169" s="3" t="s">
        <v>136</v>
      </c>
      <c r="D169" s="3" t="s">
        <v>133</v>
      </c>
      <c r="E169" s="2" t="s">
        <v>130</v>
      </c>
      <c r="F169" s="2"/>
      <c r="G169" s="5">
        <v>46362</v>
      </c>
      <c r="H169" s="5">
        <v>46455</v>
      </c>
      <c r="I169" s="4" t="s">
        <v>17</v>
      </c>
      <c r="J169" s="6">
        <f t="shared" si="7"/>
        <v>93</v>
      </c>
      <c r="K169" s="4" t="str">
        <f t="shared" ca="1" si="8"/>
        <v>No</v>
      </c>
      <c r="L169" s="7">
        <f>IF(I169="Completed","0",IF($H169="","",$H169-'[2]Read Me'!$B$4))</f>
        <v>268</v>
      </c>
      <c r="M169" s="4" t="str">
        <f>IF($I169="Complete","Green",IF($H169="","Amber",IF($H169&lt;'[2]Read Me'!$B$4,"Red",IF($H169-'[2]Read Me'!$B$4&lt;=21,"Amber","Green"))))</f>
        <v>Green</v>
      </c>
      <c r="N169" s="3"/>
      <c r="O169" t="str">
        <f>IF($I169&lt;&gt;"Complete",IF(COUNTIFS($A$4:$A168,$A169,$B$4:$B168,$B169,$I$4:$I168,"&lt;&gt;Complete")=0,$A169&amp;"|"&amp;$B169,""),"")</f>
        <v/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 t="s">
        <v>136</v>
      </c>
      <c r="B170" s="2" t="s">
        <v>21</v>
      </c>
      <c r="C170" s="3" t="s">
        <v>136</v>
      </c>
      <c r="D170" s="3" t="s">
        <v>134</v>
      </c>
      <c r="E170" s="2" t="s">
        <v>130</v>
      </c>
      <c r="F170" s="2"/>
      <c r="G170" s="5">
        <v>46376</v>
      </c>
      <c r="H170" s="5">
        <v>46469</v>
      </c>
      <c r="I170" s="4" t="s">
        <v>17</v>
      </c>
      <c r="J170" s="6">
        <f t="shared" si="7"/>
        <v>93</v>
      </c>
      <c r="K170" s="4" t="str">
        <f t="shared" ca="1" si="8"/>
        <v>No</v>
      </c>
      <c r="L170" s="7">
        <f>IF(I170="Completed","0",IF($H170="","",$H170-'[2]Read Me'!$B$4))</f>
        <v>282</v>
      </c>
      <c r="M170" s="4" t="str">
        <f>IF($I170="Complete","Green",IF($H170="","Amber",IF($H170&lt;'[2]Read Me'!$B$4,"Red",IF($H170-'[2]Read Me'!$B$4&lt;=21,"Amber","Green"))))</f>
        <v>Green</v>
      </c>
      <c r="N170" s="3"/>
      <c r="O170" t="str">
        <f>IF($I170&lt;&gt;"Complete",IF(COUNTIFS($A$4:$A169,$A170,$B$4:$B169,$B170,$I$4:$I169,"&lt;&gt;Complete")=0,$A170&amp;"|"&amp;$B170,""),"")</f>
        <v/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 t="s">
        <v>136</v>
      </c>
      <c r="B171" s="2" t="s">
        <v>21</v>
      </c>
      <c r="C171" s="3" t="s">
        <v>136</v>
      </c>
      <c r="D171" s="3" t="s">
        <v>123</v>
      </c>
      <c r="E171" s="2" t="s">
        <v>130</v>
      </c>
      <c r="F171" s="2"/>
      <c r="G171" s="5">
        <v>46404</v>
      </c>
      <c r="H171" s="5">
        <v>46497</v>
      </c>
      <c r="I171" s="4" t="s">
        <v>17</v>
      </c>
      <c r="J171" s="6">
        <f t="shared" si="7"/>
        <v>93</v>
      </c>
      <c r="K171" s="4" t="str">
        <f t="shared" ca="1" si="8"/>
        <v>No</v>
      </c>
      <c r="L171" s="7">
        <f>IF(I171="Completed","0",IF($H171="","",$H171-'[2]Read Me'!$B$4))</f>
        <v>310</v>
      </c>
      <c r="M171" s="4" t="str">
        <f>IF($I171="Complete","Green",IF($H171="","Amber",IF($H171&lt;'[2]Read Me'!$B$4,"Red",IF($H171-'[2]Read Me'!$B$4&lt;=21,"Amber","Green"))))</f>
        <v>Green</v>
      </c>
      <c r="N171" s="3"/>
      <c r="O171" t="str">
        <f>IF($I171&lt;&gt;"Complete",IF(COUNTIFS($A$4:$A170,$A171,$B$4:$B170,$B171,$I$4:$I170,"&lt;&gt;Complete")=0,$A171&amp;"|"&amp;$B171,""),"")</f>
        <v/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 t="s">
        <v>136</v>
      </c>
      <c r="B172" s="2" t="s">
        <v>21</v>
      </c>
      <c r="C172" s="3" t="s">
        <v>136</v>
      </c>
      <c r="D172" s="3" t="s">
        <v>32</v>
      </c>
      <c r="E172" s="2" t="s">
        <v>130</v>
      </c>
      <c r="F172" s="2"/>
      <c r="G172" s="5">
        <v>46418</v>
      </c>
      <c r="H172" s="5">
        <v>46511</v>
      </c>
      <c r="I172" s="4" t="s">
        <v>17</v>
      </c>
      <c r="J172" s="6">
        <f t="shared" si="7"/>
        <v>93</v>
      </c>
      <c r="K172" s="4" t="str">
        <f t="shared" ca="1" si="8"/>
        <v>No</v>
      </c>
      <c r="L172" s="7">
        <f>IF(I172="Completed","0",IF($H172="","",$H172-'[2]Read Me'!$B$4))</f>
        <v>324</v>
      </c>
      <c r="M172" s="4" t="str">
        <f>IF($I172="Complete","Green",IF($H172="","Amber",IF($H172&lt;'[2]Read Me'!$B$4,"Red",IF($H172-'[2]Read Me'!$B$4&lt;=21,"Amber","Green"))))</f>
        <v>Green</v>
      </c>
      <c r="N172" s="3"/>
      <c r="O172" t="str">
        <f>IF($I172&lt;&gt;"Complete",IF(COUNTIFS($A$4:$A171,$A172,$B$4:$B171,$B172,$I$4:$I171,"&lt;&gt;Complete")=0,$A172&amp;"|"&amp;$B172,""),"")</f>
        <v/>
      </c>
      <c r="P172" t="str">
        <f ca="1">IF($K172="Yes",COUNTIFS($K$4:$K172,"Yes"),"")</f>
        <v/>
      </c>
      <c r="Q172">
        <f t="shared" ca="1" si="9"/>
        <v>0</v>
      </c>
      <c r="R172" t="str">
        <f ca="1">IF($Q172=1,SUM($Q$4:$Q172),"")</f>
        <v/>
      </c>
    </row>
    <row r="173" spans="1:18" ht="33.75" customHeight="1" x14ac:dyDescent="0.3">
      <c r="A173" s="2" t="s">
        <v>136</v>
      </c>
      <c r="B173" s="2" t="s">
        <v>21</v>
      </c>
      <c r="C173" s="3" t="s">
        <v>136</v>
      </c>
      <c r="D173" s="3" t="s">
        <v>19</v>
      </c>
      <c r="E173" s="2" t="s">
        <v>33</v>
      </c>
      <c r="F173" s="2" t="s">
        <v>81</v>
      </c>
      <c r="G173" s="5">
        <v>46425</v>
      </c>
      <c r="H173" s="5">
        <v>46518</v>
      </c>
      <c r="I173" s="4" t="s">
        <v>17</v>
      </c>
      <c r="J173" s="6">
        <f t="shared" si="7"/>
        <v>93</v>
      </c>
      <c r="K173" s="4" t="str">
        <f t="shared" ca="1" si="8"/>
        <v>No</v>
      </c>
      <c r="L173" s="7">
        <f>IF(I173="Completed","0",IF($H173="","",$H173-'[2]Read Me'!$B$4))</f>
        <v>331</v>
      </c>
      <c r="M173" s="4" t="str">
        <f>IF($I173="Complete","Green",IF($H173="","Amber",IF($H173&lt;'[2]Read Me'!$B$4,"Red",IF($H173-'[2]Read Me'!$B$4&lt;=21,"Amber","Green"))))</f>
        <v>Green</v>
      </c>
      <c r="N173" s="3"/>
      <c r="O173" t="str">
        <f>IF($I173&lt;&gt;"Complete",IF(COUNTIFS($A$4:$A172,$A173,$B$4:$B172,$B173,$I$4:$I172,"&lt;&gt;Complete")=0,$A173&amp;"|"&amp;$B173,""),"")</f>
        <v/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 t="s">
        <v>136</v>
      </c>
      <c r="B174" s="2" t="s">
        <v>21</v>
      </c>
      <c r="C174" s="3" t="s">
        <v>136</v>
      </c>
      <c r="D174" s="3" t="s">
        <v>14</v>
      </c>
      <c r="E174" s="2" t="s">
        <v>130</v>
      </c>
      <c r="F174" s="2"/>
      <c r="G174" s="5">
        <v>46439</v>
      </c>
      <c r="H174" s="5">
        <v>46532</v>
      </c>
      <c r="I174" s="4" t="s">
        <v>17</v>
      </c>
      <c r="J174" s="6">
        <f t="shared" si="7"/>
        <v>93</v>
      </c>
      <c r="K174" s="4" t="str">
        <f t="shared" ca="1" si="8"/>
        <v>No</v>
      </c>
      <c r="L174" s="7">
        <f>IF(I174="Completed","0",IF($H174="","",$H174-'[2]Read Me'!$B$4))</f>
        <v>345</v>
      </c>
      <c r="M174" s="4" t="str">
        <f>IF($I174="Complete","Green",IF($H174="","Amber",IF($H174&lt;'[2]Read Me'!$B$4,"Red",IF($H174-'[2]Read Me'!$B$4&lt;=21,"Amber","Green"))))</f>
        <v>Green</v>
      </c>
      <c r="N174" s="3"/>
      <c r="O174" t="str">
        <f>IF($I174&lt;&gt;"Complete",IF(COUNTIFS($A$4:$A173,$A174,$B$4:$B173,$B174,$I$4:$I173,"&lt;&gt;Complete")=0,$A174&amp;"|"&amp;$B174,""),"")</f>
        <v/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 t="s">
        <v>136</v>
      </c>
      <c r="B175" s="2" t="s">
        <v>21</v>
      </c>
      <c r="C175" s="3" t="s">
        <v>136</v>
      </c>
      <c r="D175" s="3" t="s">
        <v>34</v>
      </c>
      <c r="E175" s="2" t="s">
        <v>130</v>
      </c>
      <c r="F175" s="2"/>
      <c r="G175" s="5">
        <v>46453</v>
      </c>
      <c r="H175" s="5">
        <v>46546</v>
      </c>
      <c r="I175" s="4" t="s">
        <v>17</v>
      </c>
      <c r="J175" s="6">
        <f t="shared" si="7"/>
        <v>93</v>
      </c>
      <c r="K175" s="4" t="str">
        <f t="shared" ca="1" si="8"/>
        <v>No</v>
      </c>
      <c r="L175" s="7">
        <f>IF(I175="Completed","0",IF($H175="","",$H175-'[2]Read Me'!$B$4))</f>
        <v>359</v>
      </c>
      <c r="M175" s="4" t="str">
        <f>IF($I175="Complete","Green",IF($H175="","Amber",IF($H175&lt;'[2]Read Me'!$B$4,"Red",IF($H175-'[2]Read Me'!$B$4&lt;=21,"Amber","Green"))))</f>
        <v>Green</v>
      </c>
      <c r="N175" s="3"/>
      <c r="O175" t="str">
        <f>IF($I175&lt;&gt;"Complete",IF(COUNTIFS($A$4:$A174,$A175,$B$4:$B174,$B175,$I$4:$I174,"&lt;&gt;Complete")=0,$A175&amp;"|"&amp;$B175,""),"")</f>
        <v/>
      </c>
      <c r="P175" t="str">
        <f ca="1">IF($K175="Yes",COUNTIFS($K$4:$K175,"Yes"),"")</f>
        <v/>
      </c>
      <c r="Q175">
        <f t="shared" ca="1" si="9"/>
        <v>0</v>
      </c>
      <c r="R175" t="str">
        <f ca="1">IF($Q175=1,SUM($Q$4:$Q175),"")</f>
        <v/>
      </c>
    </row>
    <row r="176" spans="1:18" ht="22.5" customHeight="1" x14ac:dyDescent="0.3">
      <c r="A176" s="2" t="s">
        <v>136</v>
      </c>
      <c r="B176" s="2" t="s">
        <v>21</v>
      </c>
      <c r="C176" s="3" t="s">
        <v>136</v>
      </c>
      <c r="D176" s="3" t="s">
        <v>127</v>
      </c>
      <c r="E176" s="2"/>
      <c r="F176" s="2"/>
      <c r="G176" s="5">
        <v>46467</v>
      </c>
      <c r="H176" s="5">
        <v>46560</v>
      </c>
      <c r="I176" s="4"/>
      <c r="J176" s="6">
        <f t="shared" si="7"/>
        <v>93</v>
      </c>
      <c r="K176" s="4" t="str">
        <f t="shared" ca="1" si="8"/>
        <v>No</v>
      </c>
      <c r="L176" s="7">
        <f>IF(I176="Completed","0",IF($H176="","",$H176-'[2]Read Me'!$B$4))</f>
        <v>373</v>
      </c>
      <c r="M176" s="4" t="str">
        <f>IF($I176="Complete","Green",IF($H176="","Amber",IF($H176&lt;'[2]Read Me'!$B$4,"Red",IF($H176-'[2]Read Me'!$B$4&lt;=21,"Amber","Green"))))</f>
        <v>Green</v>
      </c>
      <c r="N176" s="3"/>
      <c r="O176" t="str">
        <f>IF($I176&lt;&gt;"Complete",IF(COUNTIFS($A$4:$A175,$A176,$B$4:$B175,$B176,$I$4:$I175,"&lt;&gt;Complete")=0,$A176&amp;"|"&amp;$B176,""),"")</f>
        <v/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 t="s">
        <v>136</v>
      </c>
      <c r="B177" s="2" t="s">
        <v>21</v>
      </c>
      <c r="C177" s="3" t="s">
        <v>136</v>
      </c>
      <c r="D177" s="3" t="s">
        <v>35</v>
      </c>
      <c r="E177" s="2"/>
      <c r="F177" s="2"/>
      <c r="G177" s="5">
        <v>46481</v>
      </c>
      <c r="H177" s="5">
        <v>46574</v>
      </c>
      <c r="I177" s="4"/>
      <c r="J177" s="6">
        <f t="shared" si="7"/>
        <v>93</v>
      </c>
      <c r="K177" s="4" t="str">
        <f t="shared" ca="1" si="8"/>
        <v>No</v>
      </c>
      <c r="L177" s="7">
        <f>IF(I177="Completed","0",IF($H177="","",$H177-'[2]Read Me'!$B$4))</f>
        <v>387</v>
      </c>
      <c r="M177" s="4" t="str">
        <f>IF($I177="Complete","Green",IF($H177="","Amber",IF($H177&lt;'[2]Read Me'!$B$4,"Red",IF($H177-'[2]Read Me'!$B$4&lt;=21,"Amber","Green"))))</f>
        <v>Green</v>
      </c>
      <c r="N177" s="3"/>
      <c r="O177" t="str">
        <f>IF($I177&lt;&gt;"Complete",IF(COUNTIFS($A$4:$A176,$A177,$B$4:$B176,$B177,$I$4:$I176,"&lt;&gt;Complete")=0,$A177&amp;"|"&amp;$B177,""),"")</f>
        <v/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 t="s">
        <v>136</v>
      </c>
      <c r="B178" s="2" t="s">
        <v>21</v>
      </c>
      <c r="C178" s="3" t="s">
        <v>136</v>
      </c>
      <c r="D178" s="3" t="s">
        <v>20</v>
      </c>
      <c r="E178" s="2"/>
      <c r="F178" s="2"/>
      <c r="G178" s="5">
        <v>46488</v>
      </c>
      <c r="H178" s="5">
        <v>46581</v>
      </c>
      <c r="I178" s="4"/>
      <c r="J178" s="6">
        <f t="shared" si="7"/>
        <v>93</v>
      </c>
      <c r="K178" s="4" t="str">
        <f t="shared" ca="1" si="8"/>
        <v>No</v>
      </c>
      <c r="L178" s="7">
        <f>IF(I178="Completed","0",IF($H178="","",$H178-'[2]Read Me'!$B$4))</f>
        <v>394</v>
      </c>
      <c r="M178" s="4" t="str">
        <f>IF($I178="Complete","Green",IF($H178="","Amber",IF($H178&lt;'[2]Read Me'!$B$4,"Red",IF($H178-'[2]Read Me'!$B$4&lt;=21,"Amber","Green"))))</f>
        <v>Green</v>
      </c>
      <c r="N178" s="3"/>
      <c r="O178" t="str">
        <f>IF($I178&lt;&gt;"Complete",IF(COUNTIFS($A$4:$A177,$A178,$B$4:$B177,$B178,$I$4:$I177,"&lt;&gt;Complete")=0,$A178&amp;"|"&amp;$B178,""),"")</f>
        <v/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 t="s">
        <v>136</v>
      </c>
      <c r="B179" s="2" t="s">
        <v>21</v>
      </c>
      <c r="C179" s="3" t="s">
        <v>136</v>
      </c>
      <c r="D179" s="3" t="s">
        <v>108</v>
      </c>
      <c r="E179" s="2"/>
      <c r="F179" s="2"/>
      <c r="G179" s="5">
        <v>46502</v>
      </c>
      <c r="H179" s="5">
        <v>46595</v>
      </c>
      <c r="I179" s="4"/>
      <c r="J179" s="6">
        <f t="shared" si="7"/>
        <v>93</v>
      </c>
      <c r="K179" s="4" t="str">
        <f t="shared" ca="1" si="8"/>
        <v>No</v>
      </c>
      <c r="L179" s="7">
        <f>IF(I179="Completed","0",IF($H179="","",$H179-'[2]Read Me'!$B$4))</f>
        <v>408</v>
      </c>
      <c r="M179" s="4" t="str">
        <f>IF($I179="Complete","Green",IF($H179="","Amber",IF($H179&lt;'[2]Read Me'!$B$4,"Red",IF($H179-'[2]Read Me'!$B$4&lt;=21,"Amber","Green"))))</f>
        <v>Green</v>
      </c>
      <c r="N179" s="3"/>
      <c r="O179" t="str">
        <f>IF($I179&lt;&gt;"Complete",IF(COUNTIFS($A$4:$A178,$A179,$B$4:$B178,$B179,$I$4:$I178,"&lt;&gt;Complete")=0,$A179&amp;"|"&amp;$B179,""),"")</f>
        <v/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 t="s">
        <v>136</v>
      </c>
      <c r="B180" s="2" t="s">
        <v>21</v>
      </c>
      <c r="C180" s="3" t="s">
        <v>136</v>
      </c>
      <c r="D180" s="3" t="s">
        <v>37</v>
      </c>
      <c r="E180" s="2"/>
      <c r="F180" s="2"/>
      <c r="G180" s="5">
        <v>46516</v>
      </c>
      <c r="H180" s="5">
        <v>46609</v>
      </c>
      <c r="I180" s="4"/>
      <c r="J180" s="6">
        <f t="shared" si="7"/>
        <v>93</v>
      </c>
      <c r="K180" s="4" t="str">
        <f t="shared" ca="1" si="8"/>
        <v>No</v>
      </c>
      <c r="L180" s="7">
        <f>IF(I180="Completed","0",IF($H180="","",$H180-'[2]Read Me'!$B$4))</f>
        <v>422</v>
      </c>
      <c r="M180" s="4" t="str">
        <f>IF($I180="Complete","Green",IF($H180="","Amber",IF($H180&lt;'[2]Read Me'!$B$4,"Red",IF($H180-'[2]Read Me'!$B$4&lt;=21,"Amber","Green"))))</f>
        <v>Green</v>
      </c>
      <c r="N180" s="3"/>
      <c r="O180" t="str">
        <f>IF($I180&lt;&gt;"Complete",IF(COUNTIFS($A$4:$A179,$A180,$B$4:$B179,$B180,$I$4:$I179,"&lt;&gt;Complete")=0,$A180&amp;"|"&amp;$B180,""),"")</f>
        <v/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/>
      <c r="B181" s="2"/>
      <c r="C181" s="3"/>
      <c r="D181" s="3"/>
      <c r="E181" s="2"/>
      <c r="F181" s="2"/>
      <c r="G181" s="5"/>
      <c r="H181" s="5"/>
      <c r="I181" s="4"/>
      <c r="J181" s="6" t="str">
        <f t="shared" si="7"/>
        <v/>
      </c>
      <c r="K181" s="4" t="str">
        <f t="shared" ca="1" si="8"/>
        <v/>
      </c>
      <c r="L181" s="7" t="str">
        <f>IF(I181="Completed","0",IF($H181="","",$H181-'[2]Read Me'!$B$4))</f>
        <v/>
      </c>
      <c r="M181" s="4" t="str">
        <f>IF($I181="Complete","Green",IF($H181="","Amber",IF($H181&lt;'[2]Read Me'!$B$4,"Red",IF($H181-'[2]Read Me'!$B$4&lt;=21,"Amber","Green"))))</f>
        <v>Amber</v>
      </c>
      <c r="N181" s="3"/>
      <c r="O181" t="str">
        <f>IF($I181&lt;&gt;"Complete",IF(COUNTIFS($A$4:$A180,$A181,$B$4:$B180,$B181,$I$4:$I180,"&lt;&gt;Complete")=0,$A181&amp;"|"&amp;$B181,""),"")</f>
        <v>|</v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/>
      <c r="B182" s="2"/>
      <c r="C182" s="3"/>
      <c r="D182" s="3"/>
      <c r="E182" s="2"/>
      <c r="F182" s="2"/>
      <c r="G182" s="5"/>
      <c r="H182" s="5"/>
      <c r="I182" s="4"/>
      <c r="J182" s="6" t="str">
        <f t="shared" si="7"/>
        <v/>
      </c>
      <c r="K182" s="4" t="str">
        <f t="shared" ca="1" si="8"/>
        <v/>
      </c>
      <c r="L182" s="7" t="str">
        <f>IF(I182="Completed","0",IF($H182="","",$H182-'[2]Read Me'!$B$4))</f>
        <v/>
      </c>
      <c r="M182" s="4" t="str">
        <f>IF($I182="Complete","Green",IF($H182="","Amber",IF($H182&lt;'[2]Read Me'!$B$4,"Red",IF($H182-'[2]Read Me'!$B$4&lt;=21,"Amber","Green"))))</f>
        <v>Amber</v>
      </c>
      <c r="N182" s="3"/>
      <c r="O182" t="str">
        <f>IF($I182&lt;&gt;"Complete",IF(COUNTIFS($A$4:$A181,$A182,$B$4:$B181,$B182,$I$4:$I181,"&lt;&gt;Complete")=0,$A182&amp;"|"&amp;$B182,""),"")</f>
        <v>|</v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/>
      <c r="B183" s="2"/>
      <c r="C183" s="3"/>
      <c r="D183" s="3"/>
      <c r="E183" s="2"/>
      <c r="F183" s="2"/>
      <c r="G183" s="5"/>
      <c r="H183" s="5"/>
      <c r="I183" s="4"/>
      <c r="J183" s="6" t="str">
        <f t="shared" si="7"/>
        <v/>
      </c>
      <c r="K183" s="4" t="str">
        <f t="shared" ca="1" si="8"/>
        <v/>
      </c>
      <c r="L183" s="7" t="str">
        <f>IF(I183="Completed","0",IF($H183="","",$H183-'[2]Read Me'!$B$4))</f>
        <v/>
      </c>
      <c r="M183" s="4" t="str">
        <f>IF($I183="Complete","Green",IF($H183="","Amber",IF($H183&lt;'[2]Read Me'!$B$4,"Red",IF($H183-'[2]Read Me'!$B$4&lt;=21,"Amber","Green"))))</f>
        <v>Amber</v>
      </c>
      <c r="N183" s="3"/>
      <c r="O183" t="str">
        <f>IF($I183&lt;&gt;"Complete",IF(COUNTIFS($A$4:$A182,$A183,$B$4:$B182,$B183,$I$4:$I182,"&lt;&gt;Complete")=0,$A183&amp;"|"&amp;$B183,""),"")</f>
        <v>|</v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/>
      <c r="B184" s="2"/>
      <c r="C184" s="3"/>
      <c r="D184" s="3"/>
      <c r="E184" s="2"/>
      <c r="F184" s="2"/>
      <c r="G184" s="5"/>
      <c r="H184" s="5"/>
      <c r="I184" s="4"/>
      <c r="J184" s="6" t="str">
        <f t="shared" si="7"/>
        <v/>
      </c>
      <c r="K184" s="4" t="str">
        <f t="shared" ca="1" si="8"/>
        <v/>
      </c>
      <c r="L184" s="7" t="str">
        <f>IF(I184="Completed","0",IF($H184="","",$H184-'[2]Read Me'!$B$4))</f>
        <v/>
      </c>
      <c r="M184" s="4" t="str">
        <f>IF($I184="Complete","Green",IF($H184="","Amber",IF($H184&lt;'[2]Read Me'!$B$4,"Red",IF($H184-'[2]Read Me'!$B$4&lt;=21,"Amber","Green"))))</f>
        <v>Amber</v>
      </c>
      <c r="N184" s="3"/>
      <c r="O184" t="str">
        <f>IF($I184&lt;&gt;"Complete",IF(COUNTIFS($A$4:$A183,$A184,$B$4:$B183,$B184,$I$4:$I183,"&lt;&gt;Complete")=0,$A184&amp;"|"&amp;$B184,""),"")</f>
        <v>|</v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/>
      <c r="B185" s="2"/>
      <c r="C185" s="3"/>
      <c r="D185" s="3"/>
      <c r="E185" s="2"/>
      <c r="F185" s="2"/>
      <c r="G185" s="5"/>
      <c r="H185" s="5"/>
      <c r="I185" s="4"/>
      <c r="J185" s="6" t="str">
        <f t="shared" si="7"/>
        <v/>
      </c>
      <c r="K185" s="4" t="str">
        <f t="shared" ca="1" si="8"/>
        <v/>
      </c>
      <c r="L185" s="7" t="str">
        <f>IF(I185="Completed","0",IF($H185="","",$H185-'[2]Read Me'!$B$4))</f>
        <v/>
      </c>
      <c r="M185" s="4" t="str">
        <f>IF($I185="Complete","Green",IF($H185="","Amber",IF($H185&lt;'[2]Read Me'!$B$4,"Red",IF($H185-'[2]Read Me'!$B$4&lt;=21,"Amber","Green"))))</f>
        <v>Amber</v>
      </c>
      <c r="N185" s="3"/>
      <c r="O185" t="str">
        <f>IF($I185&lt;&gt;"Complete",IF(COUNTIFS($A$4:$A184,$A185,$B$4:$B184,$B185,$I$4:$I184,"&lt;&gt;Complete")=0,$A185&amp;"|"&amp;$B185,""),"")</f>
        <v>|</v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/>
      <c r="B186" s="2"/>
      <c r="C186" s="3"/>
      <c r="D186" s="3"/>
      <c r="E186" s="2"/>
      <c r="F186" s="2"/>
      <c r="G186" s="5"/>
      <c r="H186" s="5"/>
      <c r="I186" s="4"/>
      <c r="J186" s="6" t="str">
        <f t="shared" si="7"/>
        <v/>
      </c>
      <c r="K186" s="4" t="str">
        <f t="shared" ca="1" si="8"/>
        <v/>
      </c>
      <c r="L186" s="7" t="str">
        <f>IF(I186="Completed","0",IF($H186="","",$H186-'[2]Read Me'!$B$4))</f>
        <v/>
      </c>
      <c r="M186" s="4" t="str">
        <f>IF($I186="Complete","Green",IF($H186="","Amber",IF($H186&lt;'[2]Read Me'!$B$4,"Red",IF($H186-'[2]Read Me'!$B$4&lt;=21,"Amber","Green"))))</f>
        <v>Amber</v>
      </c>
      <c r="N186" s="3"/>
      <c r="O186" t="str">
        <f>IF($I186&lt;&gt;"Complete",IF(COUNTIFS($A$4:$A185,$A186,$B$4:$B185,$B186,$I$4:$I185,"&lt;&gt;Complete")=0,$A186&amp;"|"&amp;$B186,""),"")</f>
        <v>|</v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/>
      <c r="B187" s="2"/>
      <c r="C187" s="3"/>
      <c r="D187" s="3"/>
      <c r="E187" s="2"/>
      <c r="F187" s="2"/>
      <c r="G187" s="5"/>
      <c r="H187" s="5"/>
      <c r="I187" s="4"/>
      <c r="J187" s="6" t="str">
        <f t="shared" si="7"/>
        <v/>
      </c>
      <c r="K187" s="4" t="str">
        <f t="shared" ca="1" si="8"/>
        <v/>
      </c>
      <c r="L187" s="7" t="str">
        <f>IF(I187="Completed","0",IF($H187="","",$H187-'[2]Read Me'!$B$4))</f>
        <v/>
      </c>
      <c r="M187" s="4" t="str">
        <f>IF($I187="Complete","Green",IF($H187="","Amber",IF($H187&lt;'[2]Read Me'!$B$4,"Red",IF($H187-'[2]Read Me'!$B$4&lt;=21,"Amber","Green"))))</f>
        <v>Amber</v>
      </c>
      <c r="N187" s="3"/>
      <c r="O187" t="str">
        <f>IF($I187&lt;&gt;"Complete",IF(COUNTIFS($A$4:$A186,$A187,$B$4:$B186,$B187,$I$4:$I186,"&lt;&gt;Complete")=0,$A187&amp;"|"&amp;$B187,""),"")</f>
        <v>|</v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/>
      <c r="B188" s="2"/>
      <c r="C188" s="3"/>
      <c r="D188" s="3"/>
      <c r="E188" s="2"/>
      <c r="F188" s="2"/>
      <c r="G188" s="5"/>
      <c r="H188" s="5"/>
      <c r="I188" s="4"/>
      <c r="J188" s="6" t="str">
        <f t="shared" si="7"/>
        <v/>
      </c>
      <c r="K188" s="4" t="str">
        <f t="shared" ca="1" si="8"/>
        <v/>
      </c>
      <c r="L188" s="7" t="str">
        <f>IF(I188="Completed","0",IF($H188="","",$H188-'[2]Read Me'!$B$4))</f>
        <v/>
      </c>
      <c r="M188" s="4" t="str">
        <f>IF($I188="Complete","Green",IF($H188="","Amber",IF($H188&lt;'[2]Read Me'!$B$4,"Red",IF($H188-'[2]Read Me'!$B$4&lt;=21,"Amber","Green"))))</f>
        <v>Amber</v>
      </c>
      <c r="N188" s="3"/>
      <c r="O188" t="str">
        <f>IF($I188&lt;&gt;"Complete",IF(COUNTIFS($A$4:$A187,$A188,$B$4:$B187,$B188,$I$4:$I187,"&lt;&gt;Complete")=0,$A188&amp;"|"&amp;$B188,""),"")</f>
        <v>|</v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/>
      <c r="B189" s="2"/>
      <c r="C189" s="3"/>
      <c r="D189" s="3"/>
      <c r="E189" s="2"/>
      <c r="F189" s="2"/>
      <c r="G189" s="5"/>
      <c r="H189" s="5"/>
      <c r="I189" s="4"/>
      <c r="J189" s="6" t="str">
        <f t="shared" si="7"/>
        <v/>
      </c>
      <c r="K189" s="4" t="str">
        <f t="shared" ca="1" si="8"/>
        <v/>
      </c>
      <c r="L189" s="7" t="str">
        <f>IF($H189="","",$H189-'[2]Read Me'!$B$4)</f>
        <v/>
      </c>
      <c r="M189" s="4" t="str">
        <f>IF($I189="Complete","Green",IF($H189="","Amber",IF($H189&lt;'[2]Read Me'!$B$4,"Red",IF($H189-'[2]Read Me'!$B$4&lt;=21,"Amber","Green"))))</f>
        <v>Amber</v>
      </c>
      <c r="N189" s="3"/>
      <c r="O189" t="str">
        <f>IF($I189&lt;&gt;"Complete",IF(COUNTIFS($A$4:$A188,$A189,$B$4:$B188,$B189,$I$4:$I188,"&lt;&gt;Complete")=0,$A189&amp;"|"&amp;$B189,""),"")</f>
        <v>|</v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/>
      <c r="B190" s="2"/>
      <c r="C190" s="3"/>
      <c r="D190" s="3"/>
      <c r="E190" s="2"/>
      <c r="F190" s="2"/>
      <c r="G190" s="5"/>
      <c r="H190" s="5"/>
      <c r="I190" s="4"/>
      <c r="J190" s="6" t="str">
        <f t="shared" si="7"/>
        <v/>
      </c>
      <c r="K190" s="4" t="str">
        <f t="shared" ca="1" si="8"/>
        <v/>
      </c>
      <c r="L190" s="7" t="str">
        <f>IF($H190="","",$H190-'[2]Read Me'!$B$4)</f>
        <v/>
      </c>
      <c r="M190" s="4" t="str">
        <f>IF($I190="Complete","Green",IF($H190="","Amber",IF($H190&lt;'[2]Read Me'!$B$4,"Red",IF($H190-'[2]Read Me'!$B$4&lt;=21,"Amber","Green"))))</f>
        <v>Amber</v>
      </c>
      <c r="N190" s="3"/>
      <c r="O190" t="str">
        <f>IF($I190&lt;&gt;"Complete",IF(COUNTIFS($A$4:$A189,$A190,$B$4:$B189,$B190,$I$4:$I189,"&lt;&gt;Complete")=0,$A190&amp;"|"&amp;$B190,""),"")</f>
        <v>|</v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/>
      <c r="B191" s="2"/>
      <c r="C191" s="3"/>
      <c r="D191" s="3"/>
      <c r="E191" s="2"/>
      <c r="F191" s="2"/>
      <c r="G191" s="5"/>
      <c r="H191" s="5"/>
      <c r="I191" s="4"/>
      <c r="J191" s="6" t="str">
        <f t="shared" si="7"/>
        <v/>
      </c>
      <c r="K191" s="4" t="str">
        <f t="shared" ca="1" si="8"/>
        <v/>
      </c>
      <c r="L191" s="7" t="str">
        <f>IF($H191="","",$H191-'[2]Read Me'!$B$4)</f>
        <v/>
      </c>
      <c r="M191" s="4" t="str">
        <f>IF($I191="Complete","Green",IF($H191="","Amber",IF($H191&lt;'[2]Read Me'!$B$4,"Red",IF($H191-'[2]Read Me'!$B$4&lt;=21,"Amber","Green"))))</f>
        <v>Amber</v>
      </c>
      <c r="N191" s="3"/>
      <c r="O191" t="str">
        <f>IF($I191&lt;&gt;"Complete",IF(COUNTIFS($A$4:$A190,$A191,$B$4:$B190,$B191,$I$4:$I190,"&lt;&gt;Complete")=0,$A191&amp;"|"&amp;$B191,""),"")</f>
        <v>|</v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/>
      <c r="B192" s="2"/>
      <c r="C192" s="3"/>
      <c r="D192" s="3"/>
      <c r="E192" s="2"/>
      <c r="F192" s="2"/>
      <c r="G192" s="5"/>
      <c r="H192" s="5"/>
      <c r="I192" s="4"/>
      <c r="J192" s="6" t="str">
        <f t="shared" si="7"/>
        <v/>
      </c>
      <c r="K192" s="4" t="str">
        <f t="shared" ca="1" si="8"/>
        <v/>
      </c>
      <c r="L192" s="7" t="str">
        <f>IF($H192="","",$H192-'[2]Read Me'!$B$4)</f>
        <v/>
      </c>
      <c r="M192" s="4" t="str">
        <f>IF($I192="Complete","Green",IF($H192="","Amber",IF($H192&lt;'[2]Read Me'!$B$4,"Red",IF($H192-'[2]Read Me'!$B$4&lt;=21,"Amber","Green"))))</f>
        <v>Amber</v>
      </c>
      <c r="N192" s="3"/>
      <c r="O192" t="str">
        <f>IF($I192&lt;&gt;"Complete",IF(COUNTIFS($A$4:$A191,$A192,$B$4:$B191,$B192,$I$4:$I191,"&lt;&gt;Complete")=0,$A192&amp;"|"&amp;$B192,""),"")</f>
        <v>|</v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/>
      <c r="B193" s="2"/>
      <c r="C193" s="3"/>
      <c r="D193" s="3"/>
      <c r="E193" s="2"/>
      <c r="F193" s="2"/>
      <c r="G193" s="5"/>
      <c r="H193" s="5"/>
      <c r="I193" s="4"/>
      <c r="J193" s="6" t="str">
        <f t="shared" si="7"/>
        <v/>
      </c>
      <c r="K193" s="4" t="str">
        <f t="shared" ca="1" si="8"/>
        <v/>
      </c>
      <c r="L193" s="7" t="str">
        <f>IF($H193="","",$H193-'[2]Read Me'!$B$4)</f>
        <v/>
      </c>
      <c r="M193" s="4" t="str">
        <f>IF($I193="Complete","Green",IF($H193="","Amber",IF($H193&lt;'[2]Read Me'!$B$4,"Red",IF($H193-'[2]Read Me'!$B$4&lt;=21,"Amber","Green"))))</f>
        <v>Amber</v>
      </c>
      <c r="N193" s="3"/>
      <c r="O193" t="str">
        <f>IF($I193&lt;&gt;"Complete",IF(COUNTIFS($A$4:$A192,$A193,$B$4:$B192,$B193,$I$4:$I192,"&lt;&gt;Complete")=0,$A193&amp;"|"&amp;$B193,""),"")</f>
        <v>|</v>
      </c>
      <c r="P193" t="str">
        <f ca="1">IF($K193="Yes",COUNTIFS($K$4:$K193,"Yes"),"")</f>
        <v/>
      </c>
      <c r="Q193">
        <f t="shared" ca="1" si="9"/>
        <v>0</v>
      </c>
      <c r="R193" t="str">
        <f ca="1">IF($Q193=1,SUM($Q$4:$Q193),"")</f>
        <v/>
      </c>
    </row>
    <row r="194" spans="1:18" ht="33.75" customHeight="1" x14ac:dyDescent="0.3">
      <c r="A194" s="2"/>
      <c r="B194" s="2"/>
      <c r="C194" s="3"/>
      <c r="D194" s="3"/>
      <c r="E194" s="2"/>
      <c r="F194" s="2"/>
      <c r="G194" s="5"/>
      <c r="H194" s="5"/>
      <c r="I194" s="4"/>
      <c r="J194" s="6" t="str">
        <f t="shared" si="7"/>
        <v/>
      </c>
      <c r="K194" s="4" t="str">
        <f t="shared" ca="1" si="8"/>
        <v/>
      </c>
      <c r="L194" s="7" t="str">
        <f>IF($H194="","",$H194-'[2]Read Me'!$B$4)</f>
        <v/>
      </c>
      <c r="M194" s="4" t="str">
        <f>IF($I194="Complete","Green",IF($H194="","Amber",IF($H194&lt;'[2]Read Me'!$B$4,"Red",IF($H194-'[2]Read Me'!$B$4&lt;=21,"Amber","Green"))))</f>
        <v>Amber</v>
      </c>
      <c r="N194" s="3"/>
      <c r="O194" t="str">
        <f>IF($I194&lt;&gt;"Complete",IF(COUNTIFS($A$4:$A193,$A194,$B$4:$B193,$B194,$I$4:$I193,"&lt;&gt;Complete")=0,$A194&amp;"|"&amp;$B194,""),"")</f>
        <v>|</v>
      </c>
      <c r="P194" t="str">
        <f ca="1">IF($K194="Yes",COUNTIFS($K$4:$K194,"Yes"),"")</f>
        <v/>
      </c>
      <c r="Q194">
        <f t="shared" ca="1" si="9"/>
        <v>0</v>
      </c>
      <c r="R194" t="str">
        <f ca="1">IF($Q194=1,SUM($Q$4:$Q194),"")</f>
        <v/>
      </c>
    </row>
    <row r="195" spans="1:18" ht="33.75" customHeight="1" x14ac:dyDescent="0.3">
      <c r="A195" s="2"/>
      <c r="B195" s="2"/>
      <c r="C195" s="3"/>
      <c r="D195" s="3"/>
      <c r="E195" s="2"/>
      <c r="F195" s="2"/>
      <c r="G195" s="5"/>
      <c r="H195" s="5"/>
      <c r="I195" s="4"/>
      <c r="J195" s="6" t="str">
        <f t="shared" si="7"/>
        <v/>
      </c>
      <c r="K195" s="4" t="str">
        <f t="shared" ca="1" si="8"/>
        <v/>
      </c>
      <c r="L195" s="7" t="str">
        <f>IF($H195="","",$H195-'[2]Read Me'!$B$4)</f>
        <v/>
      </c>
      <c r="M195" s="4" t="str">
        <f>IF($I195="Complete","Green",IF($H195="","Amber",IF($H195&lt;'[2]Read Me'!$B$4,"Red",IF($H195-'[2]Read Me'!$B$4&lt;=21,"Amber","Green"))))</f>
        <v>Amber</v>
      </c>
      <c r="N195" s="3"/>
      <c r="O195" t="str">
        <f>IF($I195&lt;&gt;"Complete",IF(COUNTIFS($A$4:$A194,$A195,$B$4:$B194,$B195,$I$4:$I194,"&lt;&gt;Complete")=0,$A195&amp;"|"&amp;$B195,""),"")</f>
        <v>|</v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/>
      <c r="B196" s="2"/>
      <c r="C196" s="3"/>
      <c r="D196" s="3"/>
      <c r="E196" s="2"/>
      <c r="F196" s="2"/>
      <c r="G196" s="5"/>
      <c r="H196" s="5"/>
      <c r="I196" s="4"/>
      <c r="J196" s="6" t="str">
        <f t="shared" ref="J196:J259" si="10">IF(OR($G196="",$H196=""),"",$H196-$G196)</f>
        <v/>
      </c>
      <c r="K196" s="4" t="str">
        <f t="shared" ref="K196:K243" ca="1" si="11">IF(C196="","",IF(H196="","",IF($I196="completed","-",IF($H196&gt;TODAY(),"No","Yes"))))</f>
        <v/>
      </c>
      <c r="L196" s="7" t="str">
        <f>IF($H196="","",$H196-'[2]Read Me'!$B$4)</f>
        <v/>
      </c>
      <c r="M196" s="4" t="str">
        <f>IF($I196="Complete","Green",IF($H196="","Amber",IF($H196&lt;'[2]Read Me'!$B$4,"Red",IF($H196-'[2]Read Me'!$B$4&lt;=21,"Amber","Green"))))</f>
        <v>Amber</v>
      </c>
      <c r="N196" s="3"/>
      <c r="O196" t="str">
        <f>IF($I196&lt;&gt;"Complete",IF(COUNTIFS($A$4:$A195,$A196,$B$4:$B195,$B196,$I$4:$I195,"&lt;&gt;Complete")=0,$A196&amp;"|"&amp;$B196,""),"")</f>
        <v>|</v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/>
      <c r="B197" s="2"/>
      <c r="C197" s="3"/>
      <c r="D197" s="3"/>
      <c r="E197" s="2"/>
      <c r="F197" s="2"/>
      <c r="G197" s="5"/>
      <c r="H197" s="5"/>
      <c r="I197" s="4"/>
      <c r="J197" s="6" t="str">
        <f t="shared" si="10"/>
        <v/>
      </c>
      <c r="K197" s="4" t="str">
        <f t="shared" ca="1" si="11"/>
        <v/>
      </c>
      <c r="L197" s="7" t="str">
        <f>IF($H197="","",$H197-'[2]Read Me'!$B$4)</f>
        <v/>
      </c>
      <c r="M197" s="4" t="str">
        <f>IF($I197="Complete","Green",IF($H197="","Amber",IF($H197&lt;'[2]Read Me'!$B$4,"Red",IF($H197-'[2]Read Me'!$B$4&lt;=21,"Amber","Green"))))</f>
        <v>Amber</v>
      </c>
      <c r="N197" s="3"/>
      <c r="O197" t="str">
        <f>IF($I197&lt;&gt;"Complete",IF(COUNTIFS($A$4:$A196,$A197,$B$4:$B196,$B197,$I$4:$I196,"&lt;&gt;Complete")=0,$A197&amp;"|"&amp;$B197,""),"")</f>
        <v>|</v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/>
      <c r="B198" s="2"/>
      <c r="C198" s="3"/>
      <c r="D198" s="3"/>
      <c r="E198" s="2"/>
      <c r="F198" s="2"/>
      <c r="G198" s="5"/>
      <c r="H198" s="5"/>
      <c r="I198" s="4"/>
      <c r="J198" s="6" t="str">
        <f t="shared" si="10"/>
        <v/>
      </c>
      <c r="K198" s="4" t="str">
        <f t="shared" ca="1" si="11"/>
        <v/>
      </c>
      <c r="L198" s="7" t="str">
        <f>IF($H198="","",$H198-'[2]Read Me'!$B$4)</f>
        <v/>
      </c>
      <c r="M198" s="4" t="str">
        <f>IF($I198="Complete","Green",IF($H198="","Amber",IF($H198&lt;'[2]Read Me'!$B$4,"Red",IF($H198-'[2]Read Me'!$B$4&lt;=21,"Amber","Green"))))</f>
        <v>Amber</v>
      </c>
      <c r="N198" s="3"/>
      <c r="O198" t="str">
        <f>IF($I198&lt;&gt;"Complete",IF(COUNTIFS($A$4:$A197,$A198,$B$4:$B197,$B198,$I$4:$I197,"&lt;&gt;Complete")=0,$A198&amp;"|"&amp;$B198,""),"")</f>
        <v>|</v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/>
      <c r="B199" s="2"/>
      <c r="C199" s="3"/>
      <c r="D199" s="3"/>
      <c r="E199" s="2"/>
      <c r="F199" s="2"/>
      <c r="G199" s="5"/>
      <c r="H199" s="5"/>
      <c r="I199" s="4"/>
      <c r="J199" s="6" t="str">
        <f t="shared" si="10"/>
        <v/>
      </c>
      <c r="K199" s="4" t="str">
        <f t="shared" ca="1" si="11"/>
        <v/>
      </c>
      <c r="L199" s="7" t="str">
        <f>IF($H199="","",$H199-'[2]Read Me'!$B$4)</f>
        <v/>
      </c>
      <c r="M199" s="4" t="str">
        <f>IF($I199="Complete","Green",IF($H199="","Amber",IF($H199&lt;'[2]Read Me'!$B$4,"Red",IF($H199-'[2]Read Me'!$B$4&lt;=21,"Amber","Green"))))</f>
        <v>Amber</v>
      </c>
      <c r="N199" s="3"/>
      <c r="O199" t="str">
        <f>IF($I199&lt;&gt;"Complete",IF(COUNTIFS($A$4:$A198,$A199,$B$4:$B198,$B199,$I$4:$I198,"&lt;&gt;Complete")=0,$A199&amp;"|"&amp;$B199,""),"")</f>
        <v>|</v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/>
      <c r="B200" s="2"/>
      <c r="C200" s="3"/>
      <c r="D200" s="3"/>
      <c r="E200" s="2"/>
      <c r="F200" s="2"/>
      <c r="G200" s="5"/>
      <c r="H200" s="5"/>
      <c r="I200" s="4"/>
      <c r="J200" s="6" t="str">
        <f t="shared" si="10"/>
        <v/>
      </c>
      <c r="K200" s="4" t="str">
        <f t="shared" ca="1" si="11"/>
        <v/>
      </c>
      <c r="L200" s="7" t="str">
        <f>IF($H200="","",$H200-'[2]Read Me'!$B$4)</f>
        <v/>
      </c>
      <c r="M200" s="4" t="str">
        <f>IF($I200="Complete","Green",IF($H200="","Amber",IF($H200&lt;'[2]Read Me'!$B$4,"Red",IF($H200-'[2]Read Me'!$B$4&lt;=21,"Amber","Green"))))</f>
        <v>Amber</v>
      </c>
      <c r="N200" s="3"/>
      <c r="O200" t="str">
        <f>IF($I200&lt;&gt;"Complete",IF(COUNTIFS($A$4:$A199,$A200,$B$4:$B199,$B200,$I$4:$I199,"&lt;&gt;Complete")=0,$A200&amp;"|"&amp;$B200,""),"")</f>
        <v>|</v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/>
      <c r="B201" s="2"/>
      <c r="C201" s="3"/>
      <c r="D201" s="3"/>
      <c r="E201" s="2"/>
      <c r="F201" s="2"/>
      <c r="G201" s="5"/>
      <c r="H201" s="5"/>
      <c r="I201" s="4"/>
      <c r="J201" s="6" t="str">
        <f t="shared" si="10"/>
        <v/>
      </c>
      <c r="K201" s="4" t="str">
        <f t="shared" ca="1" si="11"/>
        <v/>
      </c>
      <c r="L201" s="7" t="str">
        <f>IF($H201="","",$H201-'[2]Read Me'!$B$4)</f>
        <v/>
      </c>
      <c r="M201" s="4" t="str">
        <f>IF($I201="Complete","Green",IF($H201="","Amber",IF($H201&lt;'[2]Read Me'!$B$4,"Red",IF($H201-'[2]Read Me'!$B$4&lt;=21,"Amber","Green"))))</f>
        <v>Amber</v>
      </c>
      <c r="N201" s="3"/>
      <c r="O201" t="str">
        <f>IF($I201&lt;&gt;"Complete",IF(COUNTIFS($A$4:$A200,$A201,$B$4:$B200,$B201,$I$4:$I200,"&lt;&gt;Complete")=0,$A201&amp;"|"&amp;$B201,""),"")</f>
        <v>|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/>
      <c r="B202" s="2"/>
      <c r="C202" s="3"/>
      <c r="D202" s="3"/>
      <c r="E202" s="2"/>
      <c r="F202" s="2"/>
      <c r="G202" s="5"/>
      <c r="H202" s="5"/>
      <c r="I202" s="4"/>
      <c r="J202" s="6" t="str">
        <f t="shared" si="10"/>
        <v/>
      </c>
      <c r="K202" s="4" t="str">
        <f t="shared" ca="1" si="11"/>
        <v/>
      </c>
      <c r="L202" s="7" t="str">
        <f>IF($H202="","",$H202-'[2]Read Me'!$B$4)</f>
        <v/>
      </c>
      <c r="M202" s="4" t="str">
        <f>IF($I202="Complete","Green",IF($H202="","Amber",IF($H202&lt;'[2]Read Me'!$B$4,"Red",IF($H202-'[2]Read Me'!$B$4&lt;=21,"Amber","Green"))))</f>
        <v>Amber</v>
      </c>
      <c r="N202" s="3"/>
      <c r="O202" t="str">
        <f>IF($I202&lt;&gt;"Complete",IF(COUNTIFS($A$4:$A201,$A202,$B$4:$B201,$B202,$I$4:$I201,"&lt;&gt;Complete")=0,$A202&amp;"|"&amp;$B202,""),"")</f>
        <v>|</v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/>
      <c r="B203" s="2"/>
      <c r="C203" s="3"/>
      <c r="D203" s="3"/>
      <c r="E203" s="2"/>
      <c r="F203" s="2"/>
      <c r="G203" s="5"/>
      <c r="H203" s="5"/>
      <c r="I203" s="4"/>
      <c r="J203" s="6" t="str">
        <f t="shared" si="10"/>
        <v/>
      </c>
      <c r="K203" s="4" t="str">
        <f t="shared" ca="1" si="11"/>
        <v/>
      </c>
      <c r="L203" s="7" t="str">
        <f>IF($H203="","",$H203-'[2]Read Me'!$B$4)</f>
        <v/>
      </c>
      <c r="M203" s="4" t="str">
        <f>IF($I203="Complete","Green",IF($H203="","Amber",IF($H203&lt;'[2]Read Me'!$B$4,"Red",IF($H203-'[2]Read Me'!$B$4&lt;=21,"Amber","Green"))))</f>
        <v>Amber</v>
      </c>
      <c r="N203" s="3"/>
      <c r="O203" t="str">
        <f>IF($I203&lt;&gt;"Complete",IF(COUNTIFS($A$4:$A202,$A203,$B$4:$B202,$B203,$I$4:$I202,"&lt;&gt;Complete")=0,$A203&amp;"|"&amp;$B203,""),"")</f>
        <v>|</v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/>
      <c r="B204" s="2"/>
      <c r="C204" s="3"/>
      <c r="D204" s="3"/>
      <c r="E204" s="2"/>
      <c r="F204" s="2"/>
      <c r="G204" s="5"/>
      <c r="H204" s="5"/>
      <c r="I204" s="4"/>
      <c r="J204" s="6" t="str">
        <f t="shared" si="10"/>
        <v/>
      </c>
      <c r="K204" s="4" t="str">
        <f t="shared" ca="1" si="11"/>
        <v/>
      </c>
      <c r="L204" s="7" t="str">
        <f>IF($H204="","",$H204-'[2]Read Me'!$B$4)</f>
        <v/>
      </c>
      <c r="M204" s="4" t="str">
        <f>IF($I204="Complete","Green",IF($H204="","Amber",IF($H204&lt;'[2]Read Me'!$B$4,"Red",IF($H204-'[2]Read Me'!$B$4&lt;=21,"Amber","Green"))))</f>
        <v>Amber</v>
      </c>
      <c r="N204" s="3"/>
      <c r="O204" t="str">
        <f>IF($I204&lt;&gt;"Complete",IF(COUNTIFS($A$4:$A203,$A204,$B$4:$B203,$B204,$I$4:$I203,"&lt;&gt;Complete")=0,$A204&amp;"|"&amp;$B204,""),"")</f>
        <v>|</v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/>
      <c r="B205" s="2"/>
      <c r="C205" s="3"/>
      <c r="D205" s="3"/>
      <c r="E205" s="2"/>
      <c r="F205" s="2"/>
      <c r="G205" s="5"/>
      <c r="H205" s="5"/>
      <c r="I205" s="4"/>
      <c r="J205" s="6" t="str">
        <f t="shared" si="10"/>
        <v/>
      </c>
      <c r="K205" s="4" t="str">
        <f t="shared" ca="1" si="11"/>
        <v/>
      </c>
      <c r="L205" s="7" t="str">
        <f>IF($H205="","",$H205-'[2]Read Me'!$B$4)</f>
        <v/>
      </c>
      <c r="M205" s="4" t="str">
        <f>IF($I205="Complete","Green",IF($H205="","Amber",IF($H205&lt;'[2]Read Me'!$B$4,"Red",IF($H205-'[2]Read Me'!$B$4&lt;=21,"Amber","Green"))))</f>
        <v>Amber</v>
      </c>
      <c r="N205" s="3"/>
      <c r="O205" t="str">
        <f>IF($I205&lt;&gt;"Complete",IF(COUNTIFS($A$4:$A204,$A205,$B$4:$B204,$B205,$I$4:$I204,"&lt;&gt;Complete")=0,$A205&amp;"|"&amp;$B205,""),"")</f>
        <v>|</v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/>
      <c r="B206" s="2"/>
      <c r="C206" s="3"/>
      <c r="D206" s="3"/>
      <c r="E206" s="2"/>
      <c r="F206" s="2"/>
      <c r="G206" s="5"/>
      <c r="H206" s="5"/>
      <c r="I206" s="4"/>
      <c r="J206" s="6" t="str">
        <f t="shared" si="10"/>
        <v/>
      </c>
      <c r="K206" s="4" t="str">
        <f t="shared" ca="1" si="11"/>
        <v/>
      </c>
      <c r="L206" s="7" t="str">
        <f>IF($H206="","",$H206-'[2]Read Me'!$B$4)</f>
        <v/>
      </c>
      <c r="M206" s="4" t="str">
        <f>IF($I206="Complete","Green",IF($H206="","Amber",IF($H206&lt;'[2]Read Me'!$B$4,"Red",IF($H206-'[2]Read Me'!$B$4&lt;=21,"Amber","Green"))))</f>
        <v>Amber</v>
      </c>
      <c r="N206" s="3"/>
      <c r="O206" t="str">
        <f>IF($I206&lt;&gt;"Complete",IF(COUNTIFS($A$4:$A205,$A206,$B$4:$B205,$B206,$I$4:$I205,"&lt;&gt;Complete")=0,$A206&amp;"|"&amp;$B206,""),"")</f>
        <v>|</v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/>
      <c r="B207" s="2"/>
      <c r="C207" s="3"/>
      <c r="D207" s="3"/>
      <c r="E207" s="2"/>
      <c r="F207" s="2"/>
      <c r="G207" s="5"/>
      <c r="H207" s="5"/>
      <c r="I207" s="4"/>
      <c r="J207" s="6" t="str">
        <f t="shared" si="10"/>
        <v/>
      </c>
      <c r="K207" s="4" t="str">
        <f t="shared" ca="1" si="11"/>
        <v/>
      </c>
      <c r="L207" s="7" t="str">
        <f>IF($H207="","",$H207-'[2]Read Me'!$B$4)</f>
        <v/>
      </c>
      <c r="M207" s="4" t="str">
        <f>IF($I207="Complete","Green",IF($H207="","Amber",IF($H207&lt;'[2]Read Me'!$B$4,"Red",IF($H207-'[2]Read Me'!$B$4&lt;=21,"Amber","Green"))))</f>
        <v>Amber</v>
      </c>
      <c r="N207" s="3"/>
      <c r="O207" t="str">
        <f>IF($I207&lt;&gt;"Complete",IF(COUNTIFS($A$4:$A206,$A207,$B$4:$B206,$B207,$I$4:$I206,"&lt;&gt;Complete")=0,$A207&amp;"|"&amp;$B207,""),"")</f>
        <v>|</v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/>
      <c r="B208" s="2"/>
      <c r="C208" s="3"/>
      <c r="D208" s="3"/>
      <c r="E208" s="2"/>
      <c r="F208" s="2"/>
      <c r="G208" s="5"/>
      <c r="H208" s="5"/>
      <c r="I208" s="4"/>
      <c r="J208" s="6" t="str">
        <f t="shared" si="10"/>
        <v/>
      </c>
      <c r="K208" s="4" t="str">
        <f t="shared" ca="1" si="11"/>
        <v/>
      </c>
      <c r="L208" s="7" t="str">
        <f>IF($H208="","",$H208-'[2]Read Me'!$B$4)</f>
        <v/>
      </c>
      <c r="M208" s="4" t="str">
        <f>IF($I208="Complete","Green",IF($H208="","Amber",IF($H208&lt;'[2]Read Me'!$B$4,"Red",IF($H208-'[2]Read Me'!$B$4&lt;=21,"Amber","Green"))))</f>
        <v>Amber</v>
      </c>
      <c r="N208" s="3"/>
      <c r="O208" t="str">
        <f>IF($I208&lt;&gt;"Complete",IF(COUNTIFS($A$4:$A207,$A208,$B$4:$B207,$B208,$I$4:$I207,"&lt;&gt;Complete")=0,$A208&amp;"|"&amp;$B208,""),"")</f>
        <v>|</v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/>
      <c r="B209" s="2"/>
      <c r="C209" s="3"/>
      <c r="D209" s="3"/>
      <c r="E209" s="2"/>
      <c r="F209" s="2"/>
      <c r="G209" s="5"/>
      <c r="H209" s="5"/>
      <c r="I209" s="4"/>
      <c r="J209" s="6" t="str">
        <f t="shared" si="10"/>
        <v/>
      </c>
      <c r="K209" s="4" t="str">
        <f t="shared" ca="1" si="11"/>
        <v/>
      </c>
      <c r="L209" s="7" t="str">
        <f>IF($H209="","",$H209-'[2]Read Me'!$B$4)</f>
        <v/>
      </c>
      <c r="M209" s="4" t="str">
        <f>IF($I209="Complete","Green",IF($H209="","Amber",IF($H209&lt;'[2]Read Me'!$B$4,"Red",IF($H209-'[2]Read Me'!$B$4&lt;=21,"Amber","Green"))))</f>
        <v>Amber</v>
      </c>
      <c r="N209" s="3"/>
      <c r="O209" t="str">
        <f>IF($I209&lt;&gt;"Complete",IF(COUNTIFS($A$4:$A208,$A209,$B$4:$B208,$B209,$I$4:$I208,"&lt;&gt;Complete")=0,$A209&amp;"|"&amp;$B209,""),"")</f>
        <v>|</v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/>
      <c r="B210" s="2"/>
      <c r="C210" s="3"/>
      <c r="D210" s="3"/>
      <c r="E210" s="2"/>
      <c r="F210" s="2"/>
      <c r="G210" s="5"/>
      <c r="H210" s="5"/>
      <c r="I210" s="4"/>
      <c r="J210" s="6" t="str">
        <f t="shared" si="10"/>
        <v/>
      </c>
      <c r="K210" s="4" t="str">
        <f t="shared" ca="1" si="11"/>
        <v/>
      </c>
      <c r="L210" s="7" t="str">
        <f>IF($H210="","",$H210-'[2]Read Me'!$B$4)</f>
        <v/>
      </c>
      <c r="M210" s="4" t="str">
        <f>IF($I210="Complete","Green",IF($H210="","Amber",IF($H210&lt;'[2]Read Me'!$B$4,"Red",IF($H210-'[2]Read Me'!$B$4&lt;=21,"Amber","Green"))))</f>
        <v>Amber</v>
      </c>
      <c r="N210" s="3"/>
      <c r="O210" t="str">
        <f>IF($I210&lt;&gt;"Complete",IF(COUNTIFS($A$4:$A209,$A210,$B$4:$B209,$B210,$I$4:$I209,"&lt;&gt;Complete")=0,$A210&amp;"|"&amp;$B210,""),"")</f>
        <v>|</v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/>
      <c r="B211" s="2"/>
      <c r="C211" s="3"/>
      <c r="D211" s="3"/>
      <c r="E211" s="2"/>
      <c r="F211" s="2"/>
      <c r="G211" s="5"/>
      <c r="H211" s="5"/>
      <c r="I211" s="4"/>
      <c r="J211" s="6" t="str">
        <f t="shared" si="10"/>
        <v/>
      </c>
      <c r="K211" s="4" t="str">
        <f t="shared" ca="1" si="11"/>
        <v/>
      </c>
      <c r="L211" s="7" t="str">
        <f>IF($H211="","",$H211-'[2]Read Me'!$B$4)</f>
        <v/>
      </c>
      <c r="M211" s="4" t="str">
        <f>IF($I211="Complete","Green",IF($H211="","Amber",IF($H211&lt;'[2]Read Me'!$B$4,"Red",IF($H211-'[2]Read Me'!$B$4&lt;=21,"Amber","Green"))))</f>
        <v>Amber</v>
      </c>
      <c r="N211" s="3"/>
      <c r="O211" t="str">
        <f>IF($I211&lt;&gt;"Complete",IF(COUNTIFS($A$4:$A210,$A211,$B$4:$B210,$B211,$I$4:$I210,"&lt;&gt;Complete")=0,$A211&amp;"|"&amp;$B211,""),"")</f>
        <v>|</v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/>
      <c r="B212" s="2"/>
      <c r="C212" s="3"/>
      <c r="D212" s="3"/>
      <c r="E212" s="2"/>
      <c r="F212" s="2"/>
      <c r="G212" s="5"/>
      <c r="H212" s="5"/>
      <c r="I212" s="4"/>
      <c r="J212" s="6" t="str">
        <f t="shared" si="10"/>
        <v/>
      </c>
      <c r="K212" s="4" t="str">
        <f t="shared" ca="1" si="11"/>
        <v/>
      </c>
      <c r="L212" s="7" t="str">
        <f>IF($H212="","",$H212-'[2]Read Me'!$B$4)</f>
        <v/>
      </c>
      <c r="M212" s="4" t="str">
        <f>IF($I212="Complete","Green",IF($H212="","Amber",IF($H212&lt;'[2]Read Me'!$B$4,"Red",IF($H212-'[2]Read Me'!$B$4&lt;=21,"Amber","Green"))))</f>
        <v>Amber</v>
      </c>
      <c r="N212" s="3"/>
      <c r="O212" t="str">
        <f>IF($I212&lt;&gt;"Complete",IF(COUNTIFS($A$4:$A211,$A212,$B$4:$B211,$B212,$I$4:$I211,"&lt;&gt;Complete")=0,$A212&amp;"|"&amp;$B212,""),"")</f>
        <v>|</v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/>
      <c r="B213" s="2"/>
      <c r="C213" s="3"/>
      <c r="D213" s="3"/>
      <c r="E213" s="2"/>
      <c r="F213" s="2"/>
      <c r="G213" s="5"/>
      <c r="H213" s="5"/>
      <c r="I213" s="4"/>
      <c r="J213" s="6" t="str">
        <f t="shared" si="10"/>
        <v/>
      </c>
      <c r="K213" s="4" t="str">
        <f t="shared" ca="1" si="11"/>
        <v/>
      </c>
      <c r="L213" s="7" t="str">
        <f>IF($H213="","",$H213-'[2]Read Me'!$B$4)</f>
        <v/>
      </c>
      <c r="M213" s="4" t="str">
        <f>IF($I213="Complete","Green",IF($H213="","Amber",IF($H213&lt;'[2]Read Me'!$B$4,"Red",IF($H213-'[2]Read Me'!$B$4&lt;=21,"Amber","Green"))))</f>
        <v>Amber</v>
      </c>
      <c r="N213" s="3"/>
      <c r="O213" t="str">
        <f>IF($I213&lt;&gt;"Complete",IF(COUNTIFS($A$4:$A212,$A213,$B$4:$B212,$B213,$I$4:$I212,"&lt;&gt;Complete")=0,$A213&amp;"|"&amp;$B213,""),"")</f>
        <v>|</v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/>
      <c r="B214" s="2"/>
      <c r="C214" s="3"/>
      <c r="D214" s="3"/>
      <c r="E214" s="2"/>
      <c r="F214" s="2"/>
      <c r="G214" s="5"/>
      <c r="H214" s="5"/>
      <c r="I214" s="4"/>
      <c r="J214" s="6" t="str">
        <f t="shared" si="10"/>
        <v/>
      </c>
      <c r="K214" s="4" t="str">
        <f t="shared" ca="1" si="11"/>
        <v/>
      </c>
      <c r="L214" s="7" t="str">
        <f>IF($H214="","",$H214-'[2]Read Me'!$B$4)</f>
        <v/>
      </c>
      <c r="M214" s="4" t="str">
        <f>IF($I214="Complete","Green",IF($H214="","Amber",IF($H214&lt;'[2]Read Me'!$B$4,"Red",IF($H214-'[2]Read Me'!$B$4&lt;=21,"Amber","Green"))))</f>
        <v>Amber</v>
      </c>
      <c r="N214" s="3"/>
      <c r="O214" t="str">
        <f>IF($I214&lt;&gt;"Complete",IF(COUNTIFS($A$4:$A213,$A214,$B$4:$B213,$B214,$I$4:$I213,"&lt;&gt;Complete")=0,$A214&amp;"|"&amp;$B214,""),"")</f>
        <v>|</v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/>
      <c r="B215" s="2"/>
      <c r="C215" s="3"/>
      <c r="D215" s="3"/>
      <c r="E215" s="2"/>
      <c r="F215" s="2"/>
      <c r="G215" s="5"/>
      <c r="H215" s="5"/>
      <c r="I215" s="4"/>
      <c r="J215" s="6" t="str">
        <f t="shared" si="10"/>
        <v/>
      </c>
      <c r="K215" s="4" t="str">
        <f t="shared" ca="1" si="11"/>
        <v/>
      </c>
      <c r="L215" s="7" t="str">
        <f>IF($H215="","",$H215-'[2]Read Me'!$B$4)</f>
        <v/>
      </c>
      <c r="M215" s="4" t="str">
        <f>IF($I215="Complete","Green",IF($H215="","Amber",IF($H215&lt;'[2]Read Me'!$B$4,"Red",IF($H215-'[2]Read Me'!$B$4&lt;=21,"Amber","Green"))))</f>
        <v>Amber</v>
      </c>
      <c r="N215" s="3"/>
      <c r="O215" t="str">
        <f>IF($I215&lt;&gt;"Complete",IF(COUNTIFS($A$4:$A214,$A215,$B$4:$B214,$B215,$I$4:$I214,"&lt;&gt;Complete")=0,$A215&amp;"|"&amp;$B215,""),"")</f>
        <v>|</v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/>
      <c r="B216" s="2"/>
      <c r="C216" s="3"/>
      <c r="D216" s="3"/>
      <c r="E216" s="2"/>
      <c r="F216" s="2"/>
      <c r="G216" s="5"/>
      <c r="H216" s="5"/>
      <c r="I216" s="4"/>
      <c r="J216" s="6" t="str">
        <f t="shared" si="10"/>
        <v/>
      </c>
      <c r="K216" s="4" t="str">
        <f t="shared" ca="1" si="11"/>
        <v/>
      </c>
      <c r="L216" s="7" t="str">
        <f>IF($H216="","",$H216-'[2]Read Me'!$B$4)</f>
        <v/>
      </c>
      <c r="M216" s="4" t="str">
        <f>IF($I216="Complete","Green",IF($H216="","Amber",IF($H216&lt;'[2]Read Me'!$B$4,"Red",IF($H216-'[2]Read Me'!$B$4&lt;=21,"Amber","Green"))))</f>
        <v>Amber</v>
      </c>
      <c r="N216" s="3"/>
      <c r="O216" t="str">
        <f>IF($I216&lt;&gt;"Complete",IF(COUNTIFS($A$4:$A215,$A216,$B$4:$B215,$B216,$I$4:$I215,"&lt;&gt;Complete")=0,$A216&amp;"|"&amp;$B216,""),"")</f>
        <v>|</v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/>
      <c r="B217" s="2"/>
      <c r="C217" s="3"/>
      <c r="D217" s="3"/>
      <c r="E217" s="2"/>
      <c r="F217" s="2"/>
      <c r="G217" s="5"/>
      <c r="H217" s="5"/>
      <c r="I217" s="4"/>
      <c r="J217" s="6" t="str">
        <f t="shared" si="10"/>
        <v/>
      </c>
      <c r="K217" s="4" t="str">
        <f t="shared" ca="1" si="11"/>
        <v/>
      </c>
      <c r="L217" s="7" t="str">
        <f>IF($H217="","",$H217-'[2]Read Me'!$B$4)</f>
        <v/>
      </c>
      <c r="M217" s="4" t="str">
        <f>IF($I217="Complete","Green",IF($H217="","Amber",IF($H217&lt;'[2]Read Me'!$B$4,"Red",IF($H217-'[2]Read Me'!$B$4&lt;=21,"Amber","Green"))))</f>
        <v>Amber</v>
      </c>
      <c r="N217" s="3"/>
      <c r="O217" t="str">
        <f>IF($I217&lt;&gt;"Complete",IF(COUNTIFS($A$4:$A216,$A217,$B$4:$B216,$B217,$I$4:$I216,"&lt;&gt;Complete")=0,$A217&amp;"|"&amp;$B217,""),"")</f>
        <v>|</v>
      </c>
      <c r="P217" t="str">
        <f ca="1">IF($K217="Yes",COUNTIFS($K$4:$K217,"Yes"),"")</f>
        <v/>
      </c>
      <c r="Q217">
        <f t="shared" ca="1" si="12"/>
        <v>0</v>
      </c>
      <c r="R217" t="str">
        <f ca="1">IF($Q217=1,SUM($Q$4:$Q217),"")</f>
        <v/>
      </c>
    </row>
    <row r="218" spans="1:18" ht="22.5" customHeight="1" x14ac:dyDescent="0.3">
      <c r="A218" s="2"/>
      <c r="B218" s="2"/>
      <c r="C218" s="3"/>
      <c r="D218" s="3"/>
      <c r="E218" s="2"/>
      <c r="F218" s="2"/>
      <c r="G218" s="5"/>
      <c r="H218" s="5"/>
      <c r="I218" s="4"/>
      <c r="J218" s="6" t="str">
        <f t="shared" si="10"/>
        <v/>
      </c>
      <c r="K218" s="4" t="str">
        <f t="shared" ca="1" si="11"/>
        <v/>
      </c>
      <c r="L218" s="7" t="str">
        <f>IF($H218="","",$H218-'[2]Read Me'!$B$4)</f>
        <v/>
      </c>
      <c r="M218" s="4" t="str">
        <f>IF($I218="Complete","Green",IF($H218="","Amber",IF($H218&lt;'[2]Read Me'!$B$4,"Red",IF($H218-'[2]Read Me'!$B$4&lt;=21,"Amber","Green"))))</f>
        <v>Amber</v>
      </c>
      <c r="N218" s="3"/>
      <c r="O218" t="str">
        <f>IF($I218&lt;&gt;"Complete",IF(COUNTIFS($A$4:$A217,$A218,$B$4:$B217,$B218,$I$4:$I217,"&lt;&gt;Complete")=0,$A218&amp;"|"&amp;$B218,""),"")</f>
        <v>|</v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/>
      <c r="B219" s="2"/>
      <c r="C219" s="3"/>
      <c r="D219" s="3"/>
      <c r="E219" s="2"/>
      <c r="F219" s="2"/>
      <c r="G219" s="5"/>
      <c r="H219" s="5"/>
      <c r="I219" s="4"/>
      <c r="J219" s="6" t="str">
        <f t="shared" si="10"/>
        <v/>
      </c>
      <c r="K219" s="4" t="str">
        <f t="shared" ca="1" si="11"/>
        <v/>
      </c>
      <c r="L219" s="7" t="str">
        <f>IF($H219="","",$H219-'[2]Read Me'!$B$4)</f>
        <v/>
      </c>
      <c r="M219" s="4" t="str">
        <f>IF($I219="Complete","Green",IF($H219="","Amber",IF($H219&lt;'[2]Read Me'!$B$4,"Red",IF($H219-'[2]Read Me'!$B$4&lt;=21,"Amber","Green"))))</f>
        <v>Amber</v>
      </c>
      <c r="N219" s="3"/>
      <c r="O219" t="str">
        <f>IF($I219&lt;&gt;"Complete",IF(COUNTIFS($A$4:$A218,$A219,$B$4:$B218,$B219,$I$4:$I218,"&lt;&gt;Complete")=0,$A219&amp;"|"&amp;$B219,""),"")</f>
        <v>|</v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/>
      <c r="B220" s="2"/>
      <c r="C220" s="3"/>
      <c r="D220" s="3"/>
      <c r="E220" s="2"/>
      <c r="F220" s="2"/>
      <c r="G220" s="5"/>
      <c r="H220" s="5"/>
      <c r="I220" s="4"/>
      <c r="J220" s="6" t="str">
        <f t="shared" si="10"/>
        <v/>
      </c>
      <c r="K220" s="4" t="str">
        <f t="shared" ca="1" si="11"/>
        <v/>
      </c>
      <c r="L220" s="7" t="str">
        <f>IF($H220="","",$H220-'[2]Read Me'!$B$4)</f>
        <v/>
      </c>
      <c r="M220" s="4" t="str">
        <f>IF($I220="Complete","Green",IF($H220="","Amber",IF($H220&lt;'[2]Read Me'!$B$4,"Red",IF($H220-'[2]Read Me'!$B$4&lt;=21,"Amber","Green"))))</f>
        <v>Amber</v>
      </c>
      <c r="N220" s="3"/>
      <c r="O220" t="str">
        <f>IF($I220&lt;&gt;"Complete",IF(COUNTIFS($A$4:$A219,$A220,$B$4:$B219,$B220,$I$4:$I219,"&lt;&gt;Complete")=0,$A220&amp;"|"&amp;$B220,""),"")</f>
        <v>|</v>
      </c>
      <c r="P220" t="str">
        <f ca="1">IF($K220="Yes",COUNTIFS($K$4:$K220,"Yes"),"")</f>
        <v/>
      </c>
      <c r="Q220">
        <f t="shared" ca="1" si="12"/>
        <v>0</v>
      </c>
      <c r="R220" t="str">
        <f ca="1">IF($Q220=1,SUM($Q$4:$Q220),"")</f>
        <v/>
      </c>
    </row>
    <row r="221" spans="1:18" ht="22.5" customHeight="1" x14ac:dyDescent="0.3">
      <c r="A221" s="2"/>
      <c r="B221" s="2"/>
      <c r="C221" s="3"/>
      <c r="D221" s="3"/>
      <c r="E221" s="2"/>
      <c r="F221" s="2"/>
      <c r="G221" s="5"/>
      <c r="H221" s="5"/>
      <c r="I221" s="4"/>
      <c r="J221" s="6" t="str">
        <f t="shared" si="10"/>
        <v/>
      </c>
      <c r="K221" s="4" t="str">
        <f t="shared" ca="1" si="11"/>
        <v/>
      </c>
      <c r="L221" s="7" t="str">
        <f>IF($H221="","",$H221-'[2]Read Me'!$B$4)</f>
        <v/>
      </c>
      <c r="M221" s="4" t="str">
        <f>IF($I221="Complete","Green",IF($H221="","Amber",IF($H221&lt;'[2]Read Me'!$B$4,"Red",IF($H221-'[2]Read Me'!$B$4&lt;=21,"Amber","Green"))))</f>
        <v>Amber</v>
      </c>
      <c r="N221" s="3"/>
      <c r="O221" t="str">
        <f>IF($I221&lt;&gt;"Complete",IF(COUNTIFS($A$4:$A220,$A221,$B$4:$B220,$B221,$I$4:$I220,"&lt;&gt;Complete")=0,$A221&amp;"|"&amp;$B221,""),"")</f>
        <v>|</v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/>
      <c r="B222" s="2"/>
      <c r="C222" s="3"/>
      <c r="D222" s="3"/>
      <c r="E222" s="2"/>
      <c r="F222" s="2"/>
      <c r="G222" s="5"/>
      <c r="H222" s="5"/>
      <c r="I222" s="4"/>
      <c r="J222" s="6" t="str">
        <f t="shared" si="10"/>
        <v/>
      </c>
      <c r="K222" s="4" t="str">
        <f t="shared" ca="1" si="11"/>
        <v/>
      </c>
      <c r="L222" s="7" t="str">
        <f>IF($H222="","",$H222-'[2]Read Me'!$B$4)</f>
        <v/>
      </c>
      <c r="M222" s="4" t="str">
        <f>IF($I222="Complete","Green",IF($H222="","Amber",IF($H222&lt;'[2]Read Me'!$B$4,"Red",IF($H222-'[2]Read Me'!$B$4&lt;=21,"Amber","Green"))))</f>
        <v>Amber</v>
      </c>
      <c r="N222" s="3"/>
      <c r="O222" t="str">
        <f>IF($I222&lt;&gt;"Complete",IF(COUNTIFS($A$4:$A221,$A222,$B$4:$B221,$B222,$I$4:$I221,"&lt;&gt;Complete")=0,$A222&amp;"|"&amp;$B222,""),"")</f>
        <v>|</v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/>
      <c r="B223" s="2"/>
      <c r="C223" s="3"/>
      <c r="D223" s="3"/>
      <c r="E223" s="2"/>
      <c r="F223" s="2"/>
      <c r="G223" s="5"/>
      <c r="H223" s="5"/>
      <c r="I223" s="4"/>
      <c r="J223" s="6" t="str">
        <f t="shared" si="10"/>
        <v/>
      </c>
      <c r="K223" s="4" t="str">
        <f t="shared" ca="1" si="11"/>
        <v/>
      </c>
      <c r="L223" s="7" t="str">
        <f>IF($H223="","",$H223-'[2]Read Me'!$B$4)</f>
        <v/>
      </c>
      <c r="M223" s="4" t="str">
        <f>IF($I223="Complete","Green",IF($H223="","Amber",IF($H223&lt;'[2]Read Me'!$B$4,"Red",IF($H223-'[2]Read Me'!$B$4&lt;=21,"Amber","Green"))))</f>
        <v>Amber</v>
      </c>
      <c r="N223" s="3"/>
      <c r="O223" t="str">
        <f>IF($I223&lt;&gt;"Complete",IF(COUNTIFS($A$4:$A222,$A223,$B$4:$B222,$B223,$I$4:$I222,"&lt;&gt;Complete")=0,$A223&amp;"|"&amp;$B223,""),"")</f>
        <v>|</v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/>
      <c r="B224" s="2"/>
      <c r="C224" s="3"/>
      <c r="D224" s="3"/>
      <c r="E224" s="2"/>
      <c r="F224" s="2"/>
      <c r="G224" s="5"/>
      <c r="H224" s="5"/>
      <c r="I224" s="4"/>
      <c r="J224" s="6" t="str">
        <f t="shared" si="10"/>
        <v/>
      </c>
      <c r="K224" s="4" t="str">
        <f t="shared" ca="1" si="11"/>
        <v/>
      </c>
      <c r="L224" s="7" t="str">
        <f>IF($H224="","",$H224-'[2]Read Me'!$B$4)</f>
        <v/>
      </c>
      <c r="M224" s="4" t="str">
        <f>IF($I224="Complete","Green",IF($H224="","Amber",IF($H224&lt;'[2]Read Me'!$B$4,"Red",IF($H224-'[2]Read Me'!$B$4&lt;=21,"Amber","Green"))))</f>
        <v>Amber</v>
      </c>
      <c r="N224" s="3"/>
      <c r="O224" t="str">
        <f>IF($I224&lt;&gt;"Complete",IF(COUNTIFS($A$4:$A223,$A224,$B$4:$B223,$B224,$I$4:$I223,"&lt;&gt;Complete")=0,$A224&amp;"|"&amp;$B224,""),"")</f>
        <v>|</v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/>
      <c r="B225" s="2"/>
      <c r="C225" s="3"/>
      <c r="D225" s="3"/>
      <c r="E225" s="2"/>
      <c r="F225" s="2"/>
      <c r="G225" s="5"/>
      <c r="H225" s="5"/>
      <c r="I225" s="4"/>
      <c r="J225" s="6" t="str">
        <f t="shared" si="10"/>
        <v/>
      </c>
      <c r="K225" s="4" t="str">
        <f t="shared" ca="1" si="11"/>
        <v/>
      </c>
      <c r="L225" s="7" t="str">
        <f>IF($H225="","",$H225-'[2]Read Me'!$B$4)</f>
        <v/>
      </c>
      <c r="M225" s="4" t="str">
        <f>IF($I225="Complete","Green",IF($H225="","Amber",IF($H225&lt;'[2]Read Me'!$B$4,"Red",IF($H225-'[2]Read Me'!$B$4&lt;=21,"Amber","Green"))))</f>
        <v>Amber</v>
      </c>
      <c r="N225" s="3"/>
      <c r="O225" t="str">
        <f>IF($I225&lt;&gt;"Complete",IF(COUNTIFS($A$4:$A224,$A225,$B$4:$B224,$B225,$I$4:$I224,"&lt;&gt;Complete")=0,$A225&amp;"|"&amp;$B225,""),"")</f>
        <v>|</v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/>
      <c r="B226" s="2"/>
      <c r="C226" s="3"/>
      <c r="D226" s="3"/>
      <c r="E226" s="2"/>
      <c r="F226" s="2"/>
      <c r="G226" s="5"/>
      <c r="H226" s="5"/>
      <c r="I226" s="4"/>
      <c r="J226" s="6" t="str">
        <f t="shared" si="10"/>
        <v/>
      </c>
      <c r="K226" s="4" t="str">
        <f t="shared" ca="1" si="11"/>
        <v/>
      </c>
      <c r="L226" s="7" t="str">
        <f>IF($H226="","",$H226-'[2]Read Me'!$B$4)</f>
        <v/>
      </c>
      <c r="M226" s="4" t="str">
        <f>IF($I226="Complete","Green",IF($H226="","Amber",IF($H226&lt;'[2]Read Me'!$B$4,"Red",IF($H226-'[2]Read Me'!$B$4&lt;=21,"Amber","Green"))))</f>
        <v>Amber</v>
      </c>
      <c r="N226" s="3"/>
      <c r="O226" t="str">
        <f>IF($I226&lt;&gt;"Complete",IF(COUNTIFS($A$4:$A225,$A226,$B$4:$B225,$B226,$I$4:$I225,"&lt;&gt;Complete")=0,$A226&amp;"|"&amp;$B226,""),"")</f>
        <v>|</v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/>
      <c r="B227" s="2"/>
      <c r="C227" s="3"/>
      <c r="D227" s="3"/>
      <c r="E227" s="2"/>
      <c r="F227" s="2"/>
      <c r="G227" s="5"/>
      <c r="H227" s="5"/>
      <c r="I227" s="4"/>
      <c r="J227" s="6" t="str">
        <f t="shared" si="10"/>
        <v/>
      </c>
      <c r="K227" s="4" t="str">
        <f t="shared" ca="1" si="11"/>
        <v/>
      </c>
      <c r="L227" s="7" t="str">
        <f>IF($H227="","",$H227-'[2]Read Me'!$B$4)</f>
        <v/>
      </c>
      <c r="M227" s="4" t="str">
        <f>IF($I227="Complete","Green",IF($H227="","Amber",IF($H227&lt;'[2]Read Me'!$B$4,"Red",IF($H227-'[2]Read Me'!$B$4&lt;=21,"Amber","Green"))))</f>
        <v>Amber</v>
      </c>
      <c r="N227" s="3"/>
      <c r="O227" t="str">
        <f>IF($I227&lt;&gt;"Complete",IF(COUNTIFS($A$4:$A226,$A227,$B$4:$B226,$B227,$I$4:$I226,"&lt;&gt;Complete")=0,$A227&amp;"|"&amp;$B227,""),"")</f>
        <v>|</v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/>
      <c r="B228" s="2"/>
      <c r="C228" s="3"/>
      <c r="D228" s="3"/>
      <c r="E228" s="2"/>
      <c r="F228" s="2"/>
      <c r="G228" s="5"/>
      <c r="H228" s="5"/>
      <c r="I228" s="4"/>
      <c r="J228" s="6" t="str">
        <f t="shared" si="10"/>
        <v/>
      </c>
      <c r="K228" s="4" t="str">
        <f t="shared" ca="1" si="11"/>
        <v/>
      </c>
      <c r="L228" s="7" t="str">
        <f>IF($H228="","",$H228-'[2]Read Me'!$B$4)</f>
        <v/>
      </c>
      <c r="M228" s="4" t="str">
        <f>IF($I228="Complete","Green",IF($H228="","Amber",IF($H228&lt;'[2]Read Me'!$B$4,"Red",IF($H228-'[2]Read Me'!$B$4&lt;=21,"Amber","Green"))))</f>
        <v>Amber</v>
      </c>
      <c r="N228" s="3"/>
      <c r="O228" t="str">
        <f>IF($I228&lt;&gt;"Complete",IF(COUNTIFS($A$4:$A227,$A228,$B$4:$B227,$B228,$I$4:$I227,"&lt;&gt;Complete")=0,$A228&amp;"|"&amp;$B228,""),"")</f>
        <v>|</v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/>
      <c r="B229" s="2"/>
      <c r="C229" s="3"/>
      <c r="D229" s="3"/>
      <c r="E229" s="2"/>
      <c r="F229" s="2"/>
      <c r="G229" s="5"/>
      <c r="H229" s="5"/>
      <c r="I229" s="4"/>
      <c r="J229" s="6" t="str">
        <f t="shared" si="10"/>
        <v/>
      </c>
      <c r="K229" s="4" t="str">
        <f t="shared" ca="1" si="11"/>
        <v/>
      </c>
      <c r="L229" s="7" t="str">
        <f>IF($H229="","",$H229-'[2]Read Me'!$B$4)</f>
        <v/>
      </c>
      <c r="M229" s="4" t="str">
        <f>IF($I229="Complete","Green",IF($H229="","Amber",IF($H229&lt;'[2]Read Me'!$B$4,"Red",IF($H229-'[2]Read Me'!$B$4&lt;=21,"Amber","Green"))))</f>
        <v>Amber</v>
      </c>
      <c r="N229" s="3"/>
      <c r="O229" t="str">
        <f>IF($I229&lt;&gt;"Complete",IF(COUNTIFS($A$4:$A228,$A229,$B$4:$B228,$B229,$I$4:$I228,"&lt;&gt;Complete")=0,$A229&amp;"|"&amp;$B229,""),"")</f>
        <v>|</v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/>
      <c r="B230" s="2"/>
      <c r="C230" s="3"/>
      <c r="D230" s="3"/>
      <c r="E230" s="2"/>
      <c r="F230" s="2"/>
      <c r="G230" s="5"/>
      <c r="H230" s="5"/>
      <c r="I230" s="4"/>
      <c r="J230" s="6" t="str">
        <f t="shared" si="10"/>
        <v/>
      </c>
      <c r="K230" s="4" t="str">
        <f t="shared" ca="1" si="11"/>
        <v/>
      </c>
      <c r="L230" s="7" t="str">
        <f>IF($H230="","",$H230-'[2]Read Me'!$B$4)</f>
        <v/>
      </c>
      <c r="M230" s="4" t="str">
        <f>IF($I230="Complete","Green",IF($H230="","Amber",IF($H230&lt;'[2]Read Me'!$B$4,"Red",IF($H230-'[2]Read Me'!$B$4&lt;=21,"Amber","Green"))))</f>
        <v>Amber</v>
      </c>
      <c r="N230" s="3"/>
      <c r="O230" t="str">
        <f>IF($I230&lt;&gt;"Complete",IF(COUNTIFS($A$4:$A229,$A230,$B$4:$B229,$B230,$I$4:$I229,"&lt;&gt;Complete")=0,$A230&amp;"|"&amp;$B230,""),"")</f>
        <v>|</v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/>
      <c r="B231" s="2"/>
      <c r="C231" s="3"/>
      <c r="D231" s="3"/>
      <c r="E231" s="2"/>
      <c r="F231" s="2"/>
      <c r="G231" s="5"/>
      <c r="H231" s="5"/>
      <c r="I231" s="4"/>
      <c r="J231" s="6" t="str">
        <f t="shared" si="10"/>
        <v/>
      </c>
      <c r="K231" s="4" t="str">
        <f t="shared" ca="1" si="11"/>
        <v/>
      </c>
      <c r="L231" s="7" t="str">
        <f>IF($H231="","",$H231-'[2]Read Me'!$B$4)</f>
        <v/>
      </c>
      <c r="M231" s="4" t="str">
        <f>IF($I231="Complete","Green",IF($H231="","Amber",IF($H231&lt;'[2]Read Me'!$B$4,"Red",IF($H231-'[2]Read Me'!$B$4&lt;=21,"Amber","Green"))))</f>
        <v>Amber</v>
      </c>
      <c r="N231" s="3"/>
      <c r="O231" t="str">
        <f>IF($I231&lt;&gt;"Complete",IF(COUNTIFS($A$4:$A230,$A231,$B$4:$B230,$B231,$I$4:$I230,"&lt;&gt;Complete")=0,$A231&amp;"|"&amp;$B231,""),"")</f>
        <v>|</v>
      </c>
      <c r="P231" t="str">
        <f ca="1">IF($K231="Yes",COUNTIFS($K$4:$K231,"Yes"),"")</f>
        <v/>
      </c>
      <c r="Q231">
        <f t="shared" ca="1" si="12"/>
        <v>0</v>
      </c>
      <c r="R231" t="str">
        <f ca="1">IF($Q231=1,SUM($Q$4:$Q231),"")</f>
        <v/>
      </c>
    </row>
    <row r="232" spans="1:18" ht="22.5" customHeight="1" x14ac:dyDescent="0.3">
      <c r="A232" s="2"/>
      <c r="B232" s="2"/>
      <c r="C232" s="3"/>
      <c r="D232" s="3"/>
      <c r="E232" s="2"/>
      <c r="F232" s="2"/>
      <c r="G232" s="5"/>
      <c r="H232" s="5"/>
      <c r="I232" s="4"/>
      <c r="J232" s="6" t="str">
        <f t="shared" si="10"/>
        <v/>
      </c>
      <c r="K232" s="4" t="str">
        <f t="shared" ca="1" si="11"/>
        <v/>
      </c>
      <c r="L232" s="7" t="str">
        <f>IF($H232="","",$H232-'[2]Read Me'!$B$4)</f>
        <v/>
      </c>
      <c r="M232" s="4" t="str">
        <f>IF($I232="Complete","Green",IF($H232="","Amber",IF($H232&lt;'[2]Read Me'!$B$4,"Red",IF($H232-'[2]Read Me'!$B$4&lt;=21,"Amber","Green"))))</f>
        <v>Amber</v>
      </c>
      <c r="N232" s="3"/>
      <c r="O232" t="str">
        <f>IF($I232&lt;&gt;"Complete",IF(COUNTIFS($A$4:$A231,$A232,$B$4:$B231,$B232,$I$4:$I231,"&lt;&gt;Complete")=0,$A232&amp;"|"&amp;$B232,""),"")</f>
        <v>|</v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/>
      <c r="B233" s="2"/>
      <c r="C233" s="3"/>
      <c r="D233" s="3"/>
      <c r="E233" s="2"/>
      <c r="F233" s="2"/>
      <c r="G233" s="5"/>
      <c r="H233" s="5"/>
      <c r="I233" s="4"/>
      <c r="J233" s="6" t="str">
        <f t="shared" si="10"/>
        <v/>
      </c>
      <c r="K233" s="4" t="str">
        <f t="shared" ca="1" si="11"/>
        <v/>
      </c>
      <c r="L233" s="7" t="str">
        <f>IF($H233="","",$H233-'[2]Read Me'!$B$4)</f>
        <v/>
      </c>
      <c r="M233" s="4" t="str">
        <f>IF($I233="Complete","Green",IF($H233="","Amber",IF($H233&lt;'[2]Read Me'!$B$4,"Red",IF($H233-'[2]Read Me'!$B$4&lt;=21,"Amber","Green"))))</f>
        <v>Amber</v>
      </c>
      <c r="N233" s="3"/>
      <c r="O233" t="str">
        <f>IF($I233&lt;&gt;"Complete",IF(COUNTIFS($A$4:$A232,$A233,$B$4:$B232,$B233,$I$4:$I232,"&lt;&gt;Complete")=0,$A233&amp;"|"&amp;$B233,""),"")</f>
        <v>|</v>
      </c>
      <c r="P233" t="str">
        <f ca="1">IF($K233="Yes",COUNTIFS($K$4:$K233,"Yes"),"")</f>
        <v/>
      </c>
      <c r="Q233">
        <f t="shared" ca="1" si="12"/>
        <v>0</v>
      </c>
      <c r="R233" t="str">
        <f ca="1">IF($Q233=1,SUM($Q$4:$Q233),"")</f>
        <v/>
      </c>
    </row>
    <row r="234" spans="1:18" ht="22.5" customHeight="1" x14ac:dyDescent="0.3">
      <c r="A234" s="2"/>
      <c r="B234" s="2"/>
      <c r="C234" s="3"/>
      <c r="D234" s="3"/>
      <c r="E234" s="2"/>
      <c r="F234" s="2"/>
      <c r="G234" s="5"/>
      <c r="H234" s="5"/>
      <c r="I234" s="4"/>
      <c r="J234" s="6" t="str">
        <f t="shared" si="10"/>
        <v/>
      </c>
      <c r="K234" s="4" t="str">
        <f t="shared" ca="1" si="11"/>
        <v/>
      </c>
      <c r="L234" s="7" t="str">
        <f>IF($H234="","",$H234-'[2]Read Me'!$B$4)</f>
        <v/>
      </c>
      <c r="M234" s="4" t="str">
        <f>IF($I234="Complete","Green",IF($H234="","Amber",IF($H234&lt;'[2]Read Me'!$B$4,"Red",IF($H234-'[2]Read Me'!$B$4&lt;=21,"Amber","Green"))))</f>
        <v>Amber</v>
      </c>
      <c r="N234" s="3"/>
      <c r="O234" t="str">
        <f>IF($I234&lt;&gt;"Complete",IF(COUNTIFS($A$4:$A233,$A234,$B$4:$B233,$B234,$I$4:$I233,"&lt;&gt;Complete")=0,$A234&amp;"|"&amp;$B234,""),"")</f>
        <v>|</v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/>
      <c r="B235" s="2"/>
      <c r="C235" s="3"/>
      <c r="D235" s="3"/>
      <c r="E235" s="2"/>
      <c r="F235" s="2"/>
      <c r="G235" s="5"/>
      <c r="H235" s="5"/>
      <c r="I235" s="4"/>
      <c r="J235" s="6" t="str">
        <f t="shared" si="10"/>
        <v/>
      </c>
      <c r="K235" s="4" t="str">
        <f t="shared" ca="1" si="11"/>
        <v/>
      </c>
      <c r="L235" s="7" t="str">
        <f>IF($H235="","",$H235-'[2]Read Me'!$B$4)</f>
        <v/>
      </c>
      <c r="M235" s="4" t="str">
        <f>IF($I235="Complete","Green",IF($H235="","Amber",IF($H235&lt;'[2]Read Me'!$B$4,"Red",IF($H235-'[2]Read Me'!$B$4&lt;=21,"Amber","Green"))))</f>
        <v>Amber</v>
      </c>
      <c r="N235" s="3"/>
      <c r="O235" t="str">
        <f>IF($I235&lt;&gt;"Complete",IF(COUNTIFS($A$4:$A234,$A235,$B$4:$B234,$B235,$I$4:$I234,"&lt;&gt;Complete")=0,$A235&amp;"|"&amp;$B235,""),"")</f>
        <v>|</v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/>
      <c r="B236" s="2"/>
      <c r="C236" s="3"/>
      <c r="D236" s="3"/>
      <c r="E236" s="2"/>
      <c r="F236" s="2"/>
      <c r="G236" s="5"/>
      <c r="H236" s="5"/>
      <c r="I236" s="4"/>
      <c r="J236" s="6" t="str">
        <f t="shared" si="10"/>
        <v/>
      </c>
      <c r="K236" s="4" t="str">
        <f t="shared" ca="1" si="11"/>
        <v/>
      </c>
      <c r="L236" s="7" t="str">
        <f>IF($H236="","",$H236-'[2]Read Me'!$B$4)</f>
        <v/>
      </c>
      <c r="M236" s="4" t="str">
        <f>IF($I236="Complete","Green",IF($H236="","Amber",IF($H236&lt;'[2]Read Me'!$B$4,"Red",IF($H236-'[2]Read Me'!$B$4&lt;=21,"Amber","Green"))))</f>
        <v>Amber</v>
      </c>
      <c r="N236" s="3"/>
      <c r="O236" t="str">
        <f>IF($I236&lt;&gt;"Complete",IF(COUNTIFS($A$4:$A235,$A236,$B$4:$B235,$B236,$I$4:$I235,"&lt;&gt;Complete")=0,$A236&amp;"|"&amp;$B236,""),"")</f>
        <v>|</v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/>
      <c r="B237" s="2"/>
      <c r="C237" s="3"/>
      <c r="D237" s="3"/>
      <c r="E237" s="2"/>
      <c r="F237" s="2"/>
      <c r="G237" s="5"/>
      <c r="H237" s="5"/>
      <c r="I237" s="4"/>
      <c r="J237" s="6" t="str">
        <f t="shared" si="10"/>
        <v/>
      </c>
      <c r="K237" s="4" t="str">
        <f t="shared" ca="1" si="11"/>
        <v/>
      </c>
      <c r="L237" s="7" t="str">
        <f>IF($H237="","",$H237-'[2]Read Me'!$B$4)</f>
        <v/>
      </c>
      <c r="M237" s="4" t="str">
        <f>IF($I237="Complete","Green",IF($H237="","Amber",IF($H237&lt;'[2]Read Me'!$B$4,"Red",IF($H237-'[2]Read Me'!$B$4&lt;=21,"Amber","Green"))))</f>
        <v>Amber</v>
      </c>
      <c r="N237" s="3"/>
      <c r="O237" t="str">
        <f>IF($I237&lt;&gt;"Complete",IF(COUNTIFS($A$4:$A236,$A237,$B$4:$B236,$B237,$I$4:$I236,"&lt;&gt;Complete")=0,$A237&amp;"|"&amp;$B237,""),"")</f>
        <v>|</v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/>
      <c r="B238" s="2"/>
      <c r="C238" s="3"/>
      <c r="D238" s="3"/>
      <c r="E238" s="2"/>
      <c r="F238" s="2"/>
      <c r="G238" s="5"/>
      <c r="H238" s="5"/>
      <c r="I238" s="4"/>
      <c r="J238" s="6" t="str">
        <f t="shared" si="10"/>
        <v/>
      </c>
      <c r="K238" s="4" t="str">
        <f t="shared" ca="1" si="11"/>
        <v/>
      </c>
      <c r="L238" s="7" t="str">
        <f>IF($H238="","",$H238-'[2]Read Me'!$B$4)</f>
        <v/>
      </c>
      <c r="M238" s="4" t="str">
        <f>IF($I238="Complete","Green",IF($H238="","Amber",IF($H238&lt;'[2]Read Me'!$B$4,"Red",IF($H238-'[2]Read Me'!$B$4&lt;=21,"Amber","Green"))))</f>
        <v>Amber</v>
      </c>
      <c r="N238" s="3"/>
      <c r="O238" t="str">
        <f>IF($I238&lt;&gt;"Complete",IF(COUNTIFS($A$4:$A237,$A238,$B$4:$B237,$B238,$I$4:$I237,"&lt;&gt;Complete")=0,$A238&amp;"|"&amp;$B238,""),"")</f>
        <v>|</v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/>
      <c r="B239" s="2"/>
      <c r="C239" s="3"/>
      <c r="D239" s="3"/>
      <c r="E239" s="2"/>
      <c r="F239" s="2"/>
      <c r="G239" s="5"/>
      <c r="H239" s="5"/>
      <c r="I239" s="4"/>
      <c r="J239" s="6" t="str">
        <f t="shared" si="10"/>
        <v/>
      </c>
      <c r="K239" s="4" t="str">
        <f t="shared" ca="1" si="11"/>
        <v/>
      </c>
      <c r="L239" s="7" t="str">
        <f>IF($H239="","",$H239-'[2]Read Me'!$B$4)</f>
        <v/>
      </c>
      <c r="M239" s="4" t="str">
        <f>IF($I239="Complete","Green",IF($H239="","Amber",IF($H239&lt;'[2]Read Me'!$B$4,"Red",IF($H239-'[2]Read Me'!$B$4&lt;=21,"Amber","Green"))))</f>
        <v>Amber</v>
      </c>
      <c r="N239" s="3"/>
      <c r="O239" t="str">
        <f>IF($I239&lt;&gt;"Complete",IF(COUNTIFS($A$4:$A238,$A239,$B$4:$B238,$B239,$I$4:$I238,"&lt;&gt;Complete")=0,$A239&amp;"|"&amp;$B239,""),"")</f>
        <v>|</v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/>
      <c r="B240" s="2"/>
      <c r="C240" s="3"/>
      <c r="D240" s="3"/>
      <c r="E240" s="2"/>
      <c r="F240" s="2"/>
      <c r="G240" s="5"/>
      <c r="H240" s="5"/>
      <c r="I240" s="4"/>
      <c r="J240" s="6" t="str">
        <f t="shared" si="10"/>
        <v/>
      </c>
      <c r="K240" s="4" t="str">
        <f t="shared" ca="1" si="11"/>
        <v/>
      </c>
      <c r="L240" s="7" t="str">
        <f>IF($H240="","",$H240-'[2]Read Me'!$B$4)</f>
        <v/>
      </c>
      <c r="M240" s="4" t="str">
        <f>IF($I240="Complete","Green",IF($H240="","Amber",IF($H240&lt;'[2]Read Me'!$B$4,"Red",IF($H240-'[2]Read Me'!$B$4&lt;=21,"Amber","Green"))))</f>
        <v>Amber</v>
      </c>
      <c r="N240" s="3"/>
      <c r="O240" t="str">
        <f>IF($I240&lt;&gt;"Complete",IF(COUNTIFS($A$4:$A239,$A240,$B$4:$B239,$B240,$I$4:$I239,"&lt;&gt;Complete")=0,$A240&amp;"|"&amp;$B240,""),"")</f>
        <v>|</v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/>
      <c r="B241" s="2"/>
      <c r="C241" s="3"/>
      <c r="D241" s="3"/>
      <c r="E241" s="2"/>
      <c r="F241" s="2"/>
      <c r="G241" s="5"/>
      <c r="H241" s="5"/>
      <c r="I241" s="4"/>
      <c r="J241" s="6" t="str">
        <f t="shared" si="10"/>
        <v/>
      </c>
      <c r="K241" s="4" t="str">
        <f t="shared" ca="1" si="11"/>
        <v/>
      </c>
      <c r="L241" s="7" t="str">
        <f>IF($H241="","",$H241-'[2]Read Me'!$B$4)</f>
        <v/>
      </c>
      <c r="M241" s="4" t="str">
        <f>IF($I241="Complete","Green",IF($H241="","Amber",IF($H241&lt;'[2]Read Me'!$B$4,"Red",IF($H241-'[2]Read Me'!$B$4&lt;=21,"Amber","Green"))))</f>
        <v>Amber</v>
      </c>
      <c r="N241" s="3"/>
      <c r="O241" t="str">
        <f>IF($I241&lt;&gt;"Complete",IF(COUNTIFS($A$4:$A240,$A241,$B$4:$B240,$B241,$I$4:$I240,"&lt;&gt;Complete")=0,$A241&amp;"|"&amp;$B241,""),"")</f>
        <v>|</v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/>
      <c r="B242" s="2"/>
      <c r="C242" s="3"/>
      <c r="D242" s="3"/>
      <c r="E242" s="2"/>
      <c r="F242" s="2"/>
      <c r="G242" s="5"/>
      <c r="H242" s="5"/>
      <c r="I242" s="4"/>
      <c r="J242" s="6" t="str">
        <f t="shared" si="10"/>
        <v/>
      </c>
      <c r="K242" s="4" t="str">
        <f t="shared" ca="1" si="11"/>
        <v/>
      </c>
      <c r="L242" s="7" t="str">
        <f>IF($H242="","",$H242-'[2]Read Me'!$B$4)</f>
        <v/>
      </c>
      <c r="M242" s="4" t="str">
        <f>IF($I242="Complete","Green",IF($H242="","Amber",IF($H242&lt;'[2]Read Me'!$B$4,"Red",IF($H242-'[2]Read Me'!$B$4&lt;=21,"Amber","Green"))))</f>
        <v>Amber</v>
      </c>
      <c r="N242" s="3"/>
      <c r="O242" t="str">
        <f>IF($I242&lt;&gt;"Complete",IF(COUNTIFS($A$4:$A241,$A242,$B$4:$B241,$B242,$I$4:$I241,"&lt;&gt;Complete")=0,$A242&amp;"|"&amp;$B242,""),"")</f>
        <v>|</v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/>
      <c r="B243" s="2"/>
      <c r="C243" s="3"/>
      <c r="D243" s="3"/>
      <c r="E243" s="2"/>
      <c r="F243" s="2"/>
      <c r="G243" s="5"/>
      <c r="H243" s="5"/>
      <c r="I243" s="4"/>
      <c r="J243" s="6" t="str">
        <f t="shared" si="10"/>
        <v/>
      </c>
      <c r="K243" s="4" t="str">
        <f t="shared" ca="1" si="11"/>
        <v/>
      </c>
      <c r="L243" s="7" t="str">
        <f>IF($H243="","",$H243-'[2]Read Me'!$B$4)</f>
        <v/>
      </c>
      <c r="M243" s="4" t="str">
        <f>IF($I243="Complete","Green",IF($H243="","Amber",IF($H243&lt;'[2]Read Me'!$B$4,"Red",IF($H243-'[2]Read Me'!$B$4&lt;=21,"Amber","Green"))))</f>
        <v>Amber</v>
      </c>
      <c r="N243" s="3"/>
      <c r="O243" t="str">
        <f>IF($I243&lt;&gt;"Complete",IF(COUNTIFS($A$4:$A242,$A243,$B$4:$B242,$B243,$I$4:$I242,"&lt;&gt;Complete")=0,$A243&amp;"|"&amp;$B243,""),"")</f>
        <v>|</v>
      </c>
      <c r="P243" t="str">
        <f ca="1">IF($K243="Yes",COUNTIFS($K$4:$K243,"Yes"),"")</f>
        <v/>
      </c>
      <c r="Q243">
        <f t="shared" ca="1" si="12"/>
        <v>0</v>
      </c>
      <c r="R243" t="str">
        <f ca="1">IF($Q243=1,SUM($Q$4:$Q243),"")</f>
        <v/>
      </c>
    </row>
    <row r="244" spans="1:18" ht="22.5" customHeight="1" x14ac:dyDescent="0.3">
      <c r="A244" s="2"/>
      <c r="B244" s="2"/>
      <c r="C244" s="3"/>
      <c r="D244" s="3"/>
      <c r="E244" s="2"/>
      <c r="F244" s="2"/>
      <c r="G244" s="5"/>
      <c r="H244" s="5"/>
      <c r="I244" s="4"/>
      <c r="J244" s="6" t="str">
        <f t="shared" si="10"/>
        <v/>
      </c>
      <c r="K244" s="4" t="str">
        <f t="shared" ref="K244:K264" ca="1" si="13">IF($H244="","",IF($H244&gt;TODAY(),"No","Yes"))</f>
        <v/>
      </c>
      <c r="L244" s="7" t="str">
        <f>IF($H244="","",$H244-'[2]Read Me'!$B$4)</f>
        <v/>
      </c>
      <c r="M244" s="4" t="str">
        <f>IF($I244="Complete","Green",IF($H244="","Amber",IF($H244&lt;'[2]Read Me'!$B$4,"Red",IF($H244-'[2]Read Me'!$B$4&lt;=21,"Amber","Green"))))</f>
        <v>Amber</v>
      </c>
      <c r="N244" s="3"/>
      <c r="O244" t="str">
        <f>IF($I244&lt;&gt;"Complete",IF(COUNTIFS($A$4:$A243,$A244,$B$4:$B243,$B244,$I$4:$I243,"&lt;&gt;Complete")=0,$A244&amp;"|"&amp;$B244,""),"")</f>
        <v>|</v>
      </c>
      <c r="P244" t="str">
        <f ca="1">IF($K244="Yes",COUNTIFS($K$4:$K244,"Yes"),"")</f>
        <v/>
      </c>
      <c r="Q244">
        <f t="shared" ca="1" si="12"/>
        <v>0</v>
      </c>
      <c r="R244" t="str">
        <f ca="1">IF($Q244=1,SUM($Q$4:$Q244),"")</f>
        <v/>
      </c>
    </row>
    <row r="245" spans="1:18" ht="22.5" customHeight="1" x14ac:dyDescent="0.3">
      <c r="A245" s="2"/>
      <c r="B245" s="2"/>
      <c r="C245" s="3"/>
      <c r="D245" s="3"/>
      <c r="E245" s="2"/>
      <c r="F245" s="2"/>
      <c r="G245" s="5"/>
      <c r="H245" s="5"/>
      <c r="I245" s="4"/>
      <c r="J245" s="6" t="str">
        <f t="shared" si="10"/>
        <v/>
      </c>
      <c r="K245" s="4" t="str">
        <f t="shared" ca="1" si="13"/>
        <v/>
      </c>
      <c r="L245" s="7" t="str">
        <f>IF($H245="","",$H245-'[2]Read Me'!$B$4)</f>
        <v/>
      </c>
      <c r="M245" s="4" t="str">
        <f>IF($I245="Complete","Green",IF($H245="","Amber",IF($H245&lt;'[2]Read Me'!$B$4,"Red",IF($H245-'[2]Read Me'!$B$4&lt;=21,"Amber","Green"))))</f>
        <v>Amber</v>
      </c>
      <c r="N245" s="3"/>
      <c r="O245" t="str">
        <f>IF($I245&lt;&gt;"Complete",IF(COUNTIFS($A$4:$A244,$A245,$B$4:$B244,$B245,$I$4:$I244,"&lt;&gt;Complete")=0,$A245&amp;"|"&amp;$B245,""),"")</f>
        <v>|</v>
      </c>
      <c r="P245" t="str">
        <f ca="1">IF($K245="Yes",COUNTIFS($K$4:$K245,"Yes"),"")</f>
        <v/>
      </c>
      <c r="Q245">
        <f t="shared" ca="1" si="12"/>
        <v>0</v>
      </c>
      <c r="R245" t="str">
        <f ca="1">IF($Q245=1,SUM($Q$4:$Q245),"")</f>
        <v/>
      </c>
    </row>
    <row r="246" spans="1:18" ht="22.5" customHeight="1" x14ac:dyDescent="0.3">
      <c r="A246" s="2"/>
      <c r="B246" s="2"/>
      <c r="C246" s="3"/>
      <c r="D246" s="3"/>
      <c r="E246" s="2"/>
      <c r="F246" s="2"/>
      <c r="G246" s="5"/>
      <c r="H246" s="5"/>
      <c r="I246" s="4"/>
      <c r="J246" s="6" t="str">
        <f t="shared" si="10"/>
        <v/>
      </c>
      <c r="K246" s="4" t="str">
        <f t="shared" ca="1" si="13"/>
        <v/>
      </c>
      <c r="L246" s="7" t="str">
        <f>IF($H246="","",$H246-'[2]Read Me'!$B$4)</f>
        <v/>
      </c>
      <c r="M246" s="4" t="str">
        <f>IF($I246="Complete","Green",IF($H246="","Amber",IF($H246&lt;'[2]Read Me'!$B$4,"Red",IF($H246-'[2]Read Me'!$B$4&lt;=21,"Amber","Green"))))</f>
        <v>Amber</v>
      </c>
      <c r="N246" s="3"/>
      <c r="O246" t="str">
        <f>IF($I246&lt;&gt;"Complete",IF(COUNTIFS($A$4:$A245,$A246,$B$4:$B245,$B246,$I$4:$I245,"&lt;&gt;Complete")=0,$A246&amp;"|"&amp;$B246,""),"")</f>
        <v>|</v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/>
      <c r="B247" s="2"/>
      <c r="C247" s="3"/>
      <c r="D247" s="3"/>
      <c r="E247" s="2"/>
      <c r="F247" s="2"/>
      <c r="G247" s="5"/>
      <c r="H247" s="5"/>
      <c r="I247" s="4"/>
      <c r="J247" s="6" t="str">
        <f t="shared" si="10"/>
        <v/>
      </c>
      <c r="K247" s="4" t="str">
        <f t="shared" ca="1" si="13"/>
        <v/>
      </c>
      <c r="L247" s="7" t="str">
        <f>IF($H247="","",$H247-'[2]Read Me'!$B$4)</f>
        <v/>
      </c>
      <c r="M247" s="4" t="str">
        <f>IF($I247="Complete","Green",IF($H247="","Amber",IF($H247&lt;'[2]Read Me'!$B$4,"Red",IF($H247-'[2]Read Me'!$B$4&lt;=21,"Amber","Green"))))</f>
        <v>Amber</v>
      </c>
      <c r="N247" s="3"/>
      <c r="O247" t="str">
        <f>IF($I247&lt;&gt;"Complete",IF(COUNTIFS($A$4:$A246,$A247,$B$4:$B246,$B247,$I$4:$I246,"&lt;&gt;Complete")=0,$A247&amp;"|"&amp;$B247,""),"")</f>
        <v>|</v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/>
      <c r="B248" s="2"/>
      <c r="C248" s="3"/>
      <c r="D248" s="3"/>
      <c r="E248" s="2"/>
      <c r="F248" s="2"/>
      <c r="G248" s="5"/>
      <c r="H248" s="5"/>
      <c r="I248" s="4"/>
      <c r="J248" s="6" t="str">
        <f t="shared" si="10"/>
        <v/>
      </c>
      <c r="K248" s="4" t="str">
        <f t="shared" ca="1" si="13"/>
        <v/>
      </c>
      <c r="L248" s="7" t="str">
        <f>IF($H248="","",$H248-'[2]Read Me'!$B$4)</f>
        <v/>
      </c>
      <c r="M248" s="4" t="str">
        <f>IF($I248="Complete","Green",IF($H248="","Amber",IF($H248&lt;'[2]Read Me'!$B$4,"Red",IF($H248-'[2]Read Me'!$B$4&lt;=21,"Amber","Green"))))</f>
        <v>Amber</v>
      </c>
      <c r="N248" s="3"/>
      <c r="O248" t="str">
        <f>IF($I248&lt;&gt;"Complete",IF(COUNTIFS($A$4:$A247,$A248,$B$4:$B247,$B248,$I$4:$I247,"&lt;&gt;Complete")=0,$A248&amp;"|"&amp;$B248,""),"")</f>
        <v>|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/>
      <c r="B249" s="2"/>
      <c r="C249" s="3"/>
      <c r="D249" s="3"/>
      <c r="E249" s="2"/>
      <c r="F249" s="2"/>
      <c r="G249" s="5"/>
      <c r="H249" s="5"/>
      <c r="I249" s="4"/>
      <c r="J249" s="6" t="str">
        <f t="shared" si="10"/>
        <v/>
      </c>
      <c r="K249" s="4" t="str">
        <f t="shared" ca="1" si="13"/>
        <v/>
      </c>
      <c r="L249" s="7" t="str">
        <f>IF($H249="","",$H249-'[2]Read Me'!$B$4)</f>
        <v/>
      </c>
      <c r="M249" s="4" t="str">
        <f>IF($I249="Complete","Green",IF($H249="","Amber",IF($H249&lt;'[2]Read Me'!$B$4,"Red",IF($H249-'[2]Read Me'!$B$4&lt;=21,"Amber","Green"))))</f>
        <v>Amber</v>
      </c>
      <c r="N249" s="3"/>
      <c r="O249" t="str">
        <f>IF($I249&lt;&gt;"Complete",IF(COUNTIFS($A$4:$A248,$A249,$B$4:$B248,$B249,$I$4:$I248,"&lt;&gt;Complete")=0,$A249&amp;"|"&amp;$B249,""),"")</f>
        <v>|</v>
      </c>
      <c r="P249" t="str">
        <f ca="1">IF($K249="Yes",COUNTIFS($K$4:$K249,"Yes"),"")</f>
        <v/>
      </c>
      <c r="Q249">
        <f t="shared" ca="1" si="12"/>
        <v>0</v>
      </c>
      <c r="R249" t="str">
        <f ca="1">IF($Q249=1,SUM($Q$4:$Q249),"")</f>
        <v/>
      </c>
    </row>
    <row r="250" spans="1:18" ht="22.5" customHeight="1" x14ac:dyDescent="0.3">
      <c r="A250" s="2"/>
      <c r="B250" s="2"/>
      <c r="C250" s="3"/>
      <c r="D250" s="3"/>
      <c r="E250" s="2"/>
      <c r="F250" s="2"/>
      <c r="G250" s="5"/>
      <c r="H250" s="5"/>
      <c r="I250" s="4"/>
      <c r="J250" s="6" t="str">
        <f t="shared" si="10"/>
        <v/>
      </c>
      <c r="K250" s="4" t="str">
        <f t="shared" ca="1" si="13"/>
        <v/>
      </c>
      <c r="L250" s="7" t="str">
        <f>IF($H250="","",$H250-'[2]Read Me'!$B$4)</f>
        <v/>
      </c>
      <c r="M250" s="4" t="str">
        <f>IF($I250="Complete","Green",IF($H250="","Amber",IF($H250&lt;'[2]Read Me'!$B$4,"Red",IF($H250-'[2]Read Me'!$B$4&lt;=21,"Amber","Green"))))</f>
        <v>Amber</v>
      </c>
      <c r="N250" s="8"/>
      <c r="O250" t="str">
        <f>IF($I250&lt;&gt;"Complete",IF(COUNTIFS($A$4:$A249,$A250,$B$4:$B249,$B250,$I$4:$I249,"&lt;&gt;Complete")=0,$A250&amp;"|"&amp;$B250,""),"")</f>
        <v>|</v>
      </c>
      <c r="P250" t="str">
        <f ca="1">IF($K250="Yes",COUNTIFS($K$4:$K250,"Yes"),"")</f>
        <v/>
      </c>
      <c r="Q250">
        <f t="shared" ca="1" si="12"/>
        <v>0</v>
      </c>
      <c r="R250" t="str">
        <f ca="1">IF($Q250=1,SUM($Q$4:$Q250),"")</f>
        <v/>
      </c>
    </row>
    <row r="251" spans="1:18" ht="22.5" customHeight="1" x14ac:dyDescent="0.3">
      <c r="A251" s="2"/>
      <c r="B251" s="2"/>
      <c r="C251" s="3"/>
      <c r="D251" s="3"/>
      <c r="E251" s="2"/>
      <c r="F251" s="2"/>
      <c r="G251" s="5"/>
      <c r="H251" s="5"/>
      <c r="I251" s="4"/>
      <c r="J251" s="6" t="str">
        <f t="shared" si="10"/>
        <v/>
      </c>
      <c r="K251" s="4" t="str">
        <f t="shared" ca="1" si="13"/>
        <v/>
      </c>
      <c r="L251" s="7" t="str">
        <f>IF($H251="","",$H251-'[2]Read Me'!$B$4)</f>
        <v/>
      </c>
      <c r="M251" s="4" t="str">
        <f>IF($I251="Complete","Green",IF($H251="","Amber",IF($H251&lt;'[2]Read Me'!$B$4,"Red",IF($H251-'[2]Read Me'!$B$4&lt;=21,"Amber","Green"))))</f>
        <v>Amber</v>
      </c>
      <c r="N251" s="3"/>
      <c r="O251" t="str">
        <f>IF($I251&lt;&gt;"Complete",IF(COUNTIFS($A$4:$A250,$A251,$B$4:$B250,$B251,$I$4:$I250,"&lt;&gt;Complete")=0,$A251&amp;"|"&amp;$B251,""),"")</f>
        <v>|</v>
      </c>
      <c r="P251" t="str">
        <f ca="1">IF($K251="Yes",COUNTIFS($K$4:$K251,"Yes"),"")</f>
        <v/>
      </c>
      <c r="Q251">
        <f t="shared" ca="1" si="12"/>
        <v>0</v>
      </c>
      <c r="R251" t="str">
        <f ca="1">IF($Q251=1,SUM($Q$4:$Q251),"")</f>
        <v/>
      </c>
    </row>
    <row r="252" spans="1:18" ht="22.5" customHeight="1" x14ac:dyDescent="0.3">
      <c r="A252" s="2"/>
      <c r="B252" s="2"/>
      <c r="C252" s="3"/>
      <c r="D252" s="3"/>
      <c r="E252" s="2"/>
      <c r="F252" s="2"/>
      <c r="G252" s="5"/>
      <c r="H252" s="5"/>
      <c r="I252" s="4"/>
      <c r="J252" s="6" t="str">
        <f t="shared" si="10"/>
        <v/>
      </c>
      <c r="K252" s="4" t="str">
        <f t="shared" ca="1" si="13"/>
        <v/>
      </c>
      <c r="L252" s="7" t="str">
        <f>IF($H252="","",$H252-'[2]Read Me'!$B$4)</f>
        <v/>
      </c>
      <c r="M252" s="4" t="str">
        <f>IF($I252="Complete","Green",IF($H252="","Amber",IF($H252&lt;'[2]Read Me'!$B$4,"Red",IF($H252-'[2]Read Me'!$B$4&lt;=21,"Amber","Green"))))</f>
        <v>Amber</v>
      </c>
      <c r="N252" s="3"/>
      <c r="O252" t="str">
        <f>IF($I252&lt;&gt;"Complete",IF(COUNTIFS($A$4:$A251,$A252,$B$4:$B251,$B252,$I$4:$I251,"&lt;&gt;Complete")=0,$A252&amp;"|"&amp;$B252,""),"")</f>
        <v>|</v>
      </c>
      <c r="P252" t="str">
        <f ca="1">IF($K252="Yes",COUNTIFS($K$4:$K252,"Yes"),"")</f>
        <v/>
      </c>
      <c r="Q252">
        <f t="shared" ca="1" si="12"/>
        <v>0</v>
      </c>
      <c r="R252" t="str">
        <f ca="1">IF($Q252=1,SUM($Q$4:$Q252),"")</f>
        <v/>
      </c>
    </row>
    <row r="253" spans="1:18" ht="22.5" customHeight="1" x14ac:dyDescent="0.3">
      <c r="A253" s="2"/>
      <c r="B253" s="2"/>
      <c r="C253" s="3"/>
      <c r="D253" s="3"/>
      <c r="E253" s="2"/>
      <c r="F253" s="2"/>
      <c r="G253" s="5"/>
      <c r="H253" s="5"/>
      <c r="I253" s="4"/>
      <c r="J253" s="6" t="str">
        <f t="shared" si="10"/>
        <v/>
      </c>
      <c r="K253" s="4" t="str">
        <f t="shared" ca="1" si="13"/>
        <v/>
      </c>
      <c r="L253" s="7" t="str">
        <f>IF($H253="","",$H253-'[2]Read Me'!$B$4)</f>
        <v/>
      </c>
      <c r="M253" s="4" t="str">
        <f>IF($I253="Complete","Green",IF($H253="","Amber",IF($H253&lt;'[2]Read Me'!$B$4,"Red",IF($H253-'[2]Read Me'!$B$4&lt;=21,"Amber","Green"))))</f>
        <v>Amber</v>
      </c>
      <c r="N253" s="3"/>
      <c r="O253" t="str">
        <f>IF($I253&lt;&gt;"Complete",IF(COUNTIFS($A$4:$A252,$A253,$B$4:$B252,$B253,$I$4:$I252,"&lt;&gt;Complete")=0,$A253&amp;"|"&amp;$B253,""),"")</f>
        <v>|</v>
      </c>
      <c r="P253" t="str">
        <f ca="1">IF($K253="Yes",COUNTIFS($K$4:$K253,"Yes"),"")</f>
        <v/>
      </c>
      <c r="Q253">
        <f t="shared" ca="1" si="12"/>
        <v>0</v>
      </c>
      <c r="R253" t="str">
        <f ca="1">IF($Q253=1,SUM($Q$4:$Q253),"")</f>
        <v/>
      </c>
    </row>
    <row r="254" spans="1:18" ht="22.5" customHeight="1" x14ac:dyDescent="0.3">
      <c r="A254" s="2"/>
      <c r="B254" s="2"/>
      <c r="C254" s="3"/>
      <c r="D254" s="3"/>
      <c r="E254" s="2"/>
      <c r="F254" s="2"/>
      <c r="G254" s="5"/>
      <c r="H254" s="5"/>
      <c r="I254" s="4"/>
      <c r="J254" s="6" t="str">
        <f t="shared" si="10"/>
        <v/>
      </c>
      <c r="K254" s="4" t="str">
        <f t="shared" ca="1" si="13"/>
        <v/>
      </c>
      <c r="L254" s="7" t="str">
        <f>IF($H254="","",$H254-'[2]Read Me'!$B$4)</f>
        <v/>
      </c>
      <c r="M254" s="4" t="str">
        <f>IF($I254="Complete","Green",IF($H254="","Amber",IF($H254&lt;'[2]Read Me'!$B$4,"Red",IF($H254-'[2]Read Me'!$B$4&lt;=21,"Amber","Green"))))</f>
        <v>Amber</v>
      </c>
      <c r="N254" s="3"/>
      <c r="O254" t="str">
        <f>IF($I254&lt;&gt;"Complete",IF(COUNTIFS($A$4:$A253,$A254,$B$4:$B253,$B254,$I$4:$I253,"&lt;&gt;Complete")=0,$A254&amp;"|"&amp;$B254,""),"")</f>
        <v>|</v>
      </c>
      <c r="P254" t="str">
        <f ca="1">IF($K254="Yes",COUNTIFS($K$4:$K254,"Yes"),"")</f>
        <v/>
      </c>
      <c r="Q254">
        <f t="shared" ca="1" si="12"/>
        <v>0</v>
      </c>
      <c r="R254" t="str">
        <f ca="1">IF($Q254=1,SUM($Q$4:$Q254),"")</f>
        <v/>
      </c>
    </row>
    <row r="255" spans="1:18" ht="22.5" customHeight="1" x14ac:dyDescent="0.3">
      <c r="A255" s="2"/>
      <c r="B255" s="2"/>
      <c r="C255" s="3"/>
      <c r="D255" s="3"/>
      <c r="E255" s="2"/>
      <c r="F255" s="2"/>
      <c r="G255" s="5"/>
      <c r="H255" s="5"/>
      <c r="I255" s="4"/>
      <c r="J255" s="6" t="str">
        <f t="shared" si="10"/>
        <v/>
      </c>
      <c r="K255" s="4" t="str">
        <f t="shared" ca="1" si="13"/>
        <v/>
      </c>
      <c r="L255" s="7" t="str">
        <f>IF($H255="","",$H255-'[2]Read Me'!$B$4)</f>
        <v/>
      </c>
      <c r="M255" s="4" t="str">
        <f>IF($I255="Complete","Green",IF($H255="","Amber",IF($H255&lt;'[2]Read Me'!$B$4,"Red",IF($H255-'[2]Read Me'!$B$4&lt;=21,"Amber","Green"))))</f>
        <v>Amber</v>
      </c>
      <c r="N255" s="3"/>
      <c r="O255" t="str">
        <f>IF($I255&lt;&gt;"Complete",IF(COUNTIFS($A$4:$A254,$A255,$B$4:$B254,$B255,$I$4:$I254,"&lt;&gt;Complete")=0,$A255&amp;"|"&amp;$B255,""),"")</f>
        <v>|</v>
      </c>
      <c r="P255" t="str">
        <f ca="1">IF($K255="Yes",COUNTIFS($K$4:$K255,"Yes"),"")</f>
        <v/>
      </c>
      <c r="Q255">
        <f t="shared" ca="1" si="12"/>
        <v>0</v>
      </c>
      <c r="R255" t="str">
        <f ca="1">IF($Q255=1,SUM($Q$4:$Q255),"")</f>
        <v/>
      </c>
    </row>
    <row r="256" spans="1:18" ht="22.5" customHeight="1" x14ac:dyDescent="0.3">
      <c r="A256" s="2"/>
      <c r="B256" s="2"/>
      <c r="C256" s="3"/>
      <c r="D256" s="3"/>
      <c r="E256" s="2"/>
      <c r="F256" s="2"/>
      <c r="G256" s="5"/>
      <c r="H256" s="5"/>
      <c r="I256" s="4"/>
      <c r="J256" s="6" t="str">
        <f t="shared" si="10"/>
        <v/>
      </c>
      <c r="K256" s="4" t="str">
        <f t="shared" ca="1" si="13"/>
        <v/>
      </c>
      <c r="L256" s="7" t="str">
        <f>IF($H256="","",$H256-'[2]Read Me'!$B$4)</f>
        <v/>
      </c>
      <c r="M256" s="4" t="str">
        <f>IF($I256="Complete","Green",IF($H256="","Amber",IF($H256&lt;'[2]Read Me'!$B$4,"Red",IF($H256-'[2]Read Me'!$B$4&lt;=21,"Amber","Green"))))</f>
        <v>Amber</v>
      </c>
      <c r="N256" s="3"/>
      <c r="O256" t="str">
        <f>IF($I256&lt;&gt;"Complete",IF(COUNTIFS($A$4:$A255,$A256,$B$4:$B255,$B256,$I$4:$I255,"&lt;&gt;Complete")=0,$A256&amp;"|"&amp;$B256,""),"")</f>
        <v>|</v>
      </c>
      <c r="P256" t="str">
        <f ca="1">IF($K256="Yes",COUNTIFS($K$4:$K256,"Yes"),"")</f>
        <v/>
      </c>
      <c r="Q256">
        <f t="shared" ca="1" si="12"/>
        <v>0</v>
      </c>
      <c r="R256" t="str">
        <f ca="1">IF($Q256=1,SUM($Q$4:$Q256),"")</f>
        <v/>
      </c>
    </row>
    <row r="257" spans="1:18" ht="22.5" customHeight="1" x14ac:dyDescent="0.3">
      <c r="A257" s="2"/>
      <c r="B257" s="2"/>
      <c r="C257" s="3"/>
      <c r="D257" s="3"/>
      <c r="E257" s="2"/>
      <c r="F257" s="2"/>
      <c r="G257" s="5"/>
      <c r="H257" s="5"/>
      <c r="I257" s="4"/>
      <c r="J257" s="6" t="str">
        <f t="shared" si="10"/>
        <v/>
      </c>
      <c r="K257" s="4" t="str">
        <f t="shared" ca="1" si="13"/>
        <v/>
      </c>
      <c r="L257" s="7" t="str">
        <f>IF($H257="","",$H257-'[2]Read Me'!$B$4)</f>
        <v/>
      </c>
      <c r="M257" s="4" t="str">
        <f>IF($I257="Complete","Green",IF($H257="","Amber",IF($H257&lt;'[2]Read Me'!$B$4,"Red",IF($H257-'[2]Read Me'!$B$4&lt;=21,"Amber","Green"))))</f>
        <v>Amber</v>
      </c>
      <c r="N257" s="3"/>
      <c r="O257" t="str">
        <f>IF($I257&lt;&gt;"Complete",IF(COUNTIFS($A$4:$A256,$A257,$B$4:$B256,$B257,$I$4:$I256,"&lt;&gt;Complete")=0,$A257&amp;"|"&amp;$B257,""),"")</f>
        <v>|</v>
      </c>
      <c r="P257" t="str">
        <f ca="1">IF($K257="Yes",COUNTIFS($K$4:$K257,"Yes"),"")</f>
        <v/>
      </c>
      <c r="Q257">
        <f t="shared" ca="1" si="12"/>
        <v>0</v>
      </c>
      <c r="R257" t="str">
        <f ca="1">IF($Q257=1,SUM($Q$4:$Q257),"")</f>
        <v/>
      </c>
    </row>
    <row r="258" spans="1:18" ht="45" customHeight="1" x14ac:dyDescent="0.3">
      <c r="A258" s="2"/>
      <c r="B258" s="2"/>
      <c r="C258" s="3"/>
      <c r="D258" s="3"/>
      <c r="E258" s="2"/>
      <c r="F258" s="2"/>
      <c r="G258" s="5"/>
      <c r="H258" s="5"/>
      <c r="I258" s="4"/>
      <c r="J258" s="6" t="str">
        <f t="shared" si="10"/>
        <v/>
      </c>
      <c r="K258" s="4" t="str">
        <f t="shared" ca="1" si="13"/>
        <v/>
      </c>
      <c r="L258" s="7" t="str">
        <f>IF($H258="","",$H258-'[2]Read Me'!$B$4)</f>
        <v/>
      </c>
      <c r="M258" s="4" t="str">
        <f>IF($I258="Complete","Green",IF($H258="","Amber",IF($H258&lt;'[2]Read Me'!$B$4,"Red",IF($H258-'[2]Read Me'!$B$4&lt;=21,"Amber","Green"))))</f>
        <v>Amber</v>
      </c>
      <c r="N258" s="3"/>
      <c r="O258" t="str">
        <f>IF($I258&lt;&gt;"Complete",IF(COUNTIFS($A$4:$A257,$A258,$B$4:$B257,$B258,$I$4:$I257,"&lt;&gt;Complete")=0,$A258&amp;"|"&amp;$B258,""),"")</f>
        <v>|</v>
      </c>
      <c r="P258" t="str">
        <f ca="1">IF($K258="Yes",COUNTIFS($K$4:$K258,"Yes"),"")</f>
        <v/>
      </c>
      <c r="Q258">
        <f t="shared" ca="1" si="12"/>
        <v>0</v>
      </c>
      <c r="R258" t="str">
        <f ca="1">IF($Q258=1,SUM($Q$4:$Q258),"")</f>
        <v/>
      </c>
    </row>
    <row r="259" spans="1:18" ht="45" customHeight="1" x14ac:dyDescent="0.3">
      <c r="A259" s="2"/>
      <c r="B259" s="2"/>
      <c r="C259" s="3"/>
      <c r="D259" s="3"/>
      <c r="E259" s="2"/>
      <c r="F259" s="2"/>
      <c r="G259" s="5"/>
      <c r="H259" s="5"/>
      <c r="I259" s="4"/>
      <c r="J259" s="6" t="str">
        <f t="shared" si="10"/>
        <v/>
      </c>
      <c r="K259" s="4" t="str">
        <f t="shared" ca="1" si="13"/>
        <v/>
      </c>
      <c r="L259" s="7" t="str">
        <f>IF($H259="","",$H259-'[2]Read Me'!$B$4)</f>
        <v/>
      </c>
      <c r="M259" s="4" t="str">
        <f>IF($I259="Complete","Green",IF($H259="","Amber",IF($H259&lt;'[2]Read Me'!$B$4,"Red",IF($H259-'[2]Read Me'!$B$4&lt;=21,"Amber","Green"))))</f>
        <v>Amber</v>
      </c>
      <c r="N259" s="3"/>
      <c r="O259" t="str">
        <f>IF($I259&lt;&gt;"Complete",IF(COUNTIFS($A$4:$A258,$A259,$B$4:$B258,$B259,$I$4:$I258,"&lt;&gt;Complete")=0,$A259&amp;"|"&amp;$B259,""),"")</f>
        <v>|</v>
      </c>
      <c r="P259" t="str">
        <f ca="1">IF($K259="Yes",COUNTIFS($K$4:$K259,"Yes"),"")</f>
        <v/>
      </c>
      <c r="Q259">
        <f t="shared" ca="1" si="12"/>
        <v>0</v>
      </c>
      <c r="R259" t="str">
        <f ca="1">IF($Q259=1,SUM($Q$4:$Q259),"")</f>
        <v/>
      </c>
    </row>
    <row r="260" spans="1:18" ht="45" customHeight="1" x14ac:dyDescent="0.3">
      <c r="A260" s="2"/>
      <c r="B260" s="2"/>
      <c r="C260" s="3"/>
      <c r="D260" s="3"/>
      <c r="E260" s="2"/>
      <c r="F260" s="2"/>
      <c r="G260" s="5"/>
      <c r="H260" s="5"/>
      <c r="I260" s="4"/>
      <c r="J260" s="6" t="str">
        <f t="shared" ref="J260:J312" si="14">IF(OR($G260="",$H260=""),"",$H260-$G260)</f>
        <v/>
      </c>
      <c r="K260" s="4" t="str">
        <f t="shared" ca="1" si="13"/>
        <v/>
      </c>
      <c r="L260" s="7" t="str">
        <f>IF($H260="","",$H260-'[2]Read Me'!$B$4)</f>
        <v/>
      </c>
      <c r="M260" s="4" t="str">
        <f>IF($I260="Complete","Green",IF($H260="","Amber",IF($H260&lt;'[2]Read Me'!$B$4,"Red",IF($H260-'[2]Read Me'!$B$4&lt;=21,"Amber","Green"))))</f>
        <v>Amber</v>
      </c>
      <c r="N260" s="3"/>
      <c r="O260" t="str">
        <f>IF($I260&lt;&gt;"Complete",IF(COUNTIFS($A$4:$A259,$A260,$B$4:$B259,$B260,$I$4:$I259,"&lt;&gt;Complete")=0,$A260&amp;"|"&amp;$B260,""),"")</f>
        <v>|</v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/>
      <c r="B261" s="2"/>
      <c r="C261" s="3"/>
      <c r="D261" s="3"/>
      <c r="E261" s="2"/>
      <c r="F261" s="2"/>
      <c r="G261" s="5"/>
      <c r="H261" s="5"/>
      <c r="I261" s="4"/>
      <c r="J261" s="6" t="str">
        <f t="shared" si="14"/>
        <v/>
      </c>
      <c r="K261" s="4" t="str">
        <f t="shared" ca="1" si="13"/>
        <v/>
      </c>
      <c r="L261" s="7" t="str">
        <f>IF($H261="","",$H261-'[2]Read Me'!$B$4)</f>
        <v/>
      </c>
      <c r="M261" s="4" t="str">
        <f>IF($I261="Complete","Green",IF($H261="","Amber",IF($H261&lt;'[2]Read Me'!$B$4,"Red",IF($H261-'[2]Read Me'!$B$4&lt;=21,"Amber","Green"))))</f>
        <v>Amber</v>
      </c>
      <c r="N261" s="3"/>
      <c r="O261" t="str">
        <f>IF($I261&lt;&gt;"Complete",IF(COUNTIFS($A$4:$A260,$A261,$B$4:$B260,$B261,$I$4:$I260,"&lt;&gt;Complete")=0,$A261&amp;"|"&amp;$B261,""),"")</f>
        <v>|</v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/>
      <c r="B262" s="2"/>
      <c r="C262" s="3"/>
      <c r="D262" s="3"/>
      <c r="E262" s="2"/>
      <c r="F262" s="2"/>
      <c r="G262" s="5"/>
      <c r="H262" s="5"/>
      <c r="I262" s="4"/>
      <c r="J262" s="6" t="str">
        <f t="shared" si="14"/>
        <v/>
      </c>
      <c r="K262" s="4" t="str">
        <f t="shared" ca="1" si="13"/>
        <v/>
      </c>
      <c r="L262" s="7" t="str">
        <f>IF($H262="","",$H262-'[2]Read Me'!$B$4)</f>
        <v/>
      </c>
      <c r="M262" s="4" t="str">
        <f>IF($I262="Complete","Green",IF($H262="","Amber",IF($H262&lt;'[2]Read Me'!$B$4,"Red",IF($H262-'[2]Read Me'!$B$4&lt;=21,"Amber","Green"))))</f>
        <v>Amber</v>
      </c>
      <c r="N262" s="3"/>
      <c r="O262" t="str">
        <f>IF($I262&lt;&gt;"Complete",IF(COUNTIFS($A$4:$A261,$A262,$B$4:$B261,$B262,$I$4:$I261,"&lt;&gt;Complete")=0,$A262&amp;"|"&amp;$B262,""),"")</f>
        <v>|</v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/>
      <c r="B263" s="2"/>
      <c r="C263" s="3"/>
      <c r="D263" s="3"/>
      <c r="E263" s="2"/>
      <c r="F263" s="2"/>
      <c r="G263" s="5"/>
      <c r="H263" s="5"/>
      <c r="I263" s="4"/>
      <c r="J263" s="6" t="str">
        <f t="shared" si="14"/>
        <v/>
      </c>
      <c r="K263" s="4" t="str">
        <f t="shared" ca="1" si="13"/>
        <v/>
      </c>
      <c r="L263" s="7" t="str">
        <f>IF($H263="","",$H263-'[2]Read Me'!$B$4)</f>
        <v/>
      </c>
      <c r="M263" s="4" t="str">
        <f>IF($I263="Complete","Green",IF($H263="","Amber",IF($H263&lt;'[2]Read Me'!$B$4,"Red",IF($H263-'[2]Read Me'!$B$4&lt;=21,"Amber","Green"))))</f>
        <v>Amber</v>
      </c>
      <c r="N263" s="3"/>
      <c r="O263" t="str">
        <f>IF($I263&lt;&gt;"Complete",IF(COUNTIFS($A$4:$A262,$A263,$B$4:$B262,$B263,$I$4:$I262,"&lt;&gt;Complete")=0,$A263&amp;"|"&amp;$B263,""),"")</f>
        <v>|</v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/>
      <c r="B264" s="2"/>
      <c r="C264" s="3"/>
      <c r="D264" s="3"/>
      <c r="E264" s="2"/>
      <c r="F264" s="2"/>
      <c r="G264" s="5"/>
      <c r="H264" s="5"/>
      <c r="I264" s="4"/>
      <c r="J264" s="6" t="str">
        <f t="shared" si="14"/>
        <v/>
      </c>
      <c r="K264" s="4" t="str">
        <f t="shared" ca="1" si="13"/>
        <v/>
      </c>
      <c r="L264" s="7" t="str">
        <f>IF($H264="","",$H264-'[2]Read Me'!$B$4)</f>
        <v/>
      </c>
      <c r="M264" s="4" t="str">
        <f>IF($I264="Complete","Green",IF($H264="","Amber",IF($H264&lt;'[2]Read Me'!$B$4,"Red",IF($H264-'[2]Read Me'!$B$4&lt;=21,"Amber","Green"))))</f>
        <v>Amber</v>
      </c>
      <c r="N264" s="3"/>
      <c r="O264" t="str">
        <f>IF($I264&lt;&gt;"Complete",IF(COUNTIFS($A$4:$A263,$A264,$B$4:$B263,$B264,$I$4:$I263,"&lt;&gt;Complete")=0,$A264&amp;"|"&amp;$B264,""),"")</f>
        <v>|</v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/>
      <c r="B265" s="2"/>
      <c r="C265" s="3"/>
      <c r="D265" s="3"/>
      <c r="E265" s="2"/>
      <c r="F265" s="2"/>
      <c r="G265" s="5"/>
      <c r="H265" s="5"/>
      <c r="I265" s="4"/>
      <c r="J265" s="6" t="str">
        <f t="shared" si="14"/>
        <v/>
      </c>
      <c r="K265" s="4" t="str">
        <f t="shared" ref="K265:K312" ca="1" si="16">IF($H265="","",IF($H265&lt;TODAY(),"No","Yes"))</f>
        <v/>
      </c>
      <c r="L265" s="7" t="str">
        <f>IF($H265="","",$H265-'[2]Read Me'!$B$4)</f>
        <v/>
      </c>
      <c r="M265" s="4" t="str">
        <f>IF($I265="Complete","Green",IF($H265="","Amber",IF($H265&lt;'[2]Read Me'!$B$4,"Red",IF($H265-'[2]Read Me'!$B$4&lt;=21,"Amber","Green"))))</f>
        <v>Amber</v>
      </c>
      <c r="N265" s="3"/>
      <c r="O265" t="str">
        <f>IF($I265&lt;&gt;"Complete",IF(COUNTIFS($A$4:$A264,$A265,$B$4:$B264,$B265,$I$4:$I264,"&lt;&gt;Complete")=0,$A265&amp;"|"&amp;$B265,""),"")</f>
        <v>|</v>
      </c>
      <c r="P265" t="str">
        <f ca="1">IF($K265="Yes",COUNTIFS($K$4:$K265,"Yes"),"")</f>
        <v/>
      </c>
      <c r="Q265">
        <f t="shared" ca="1" si="15"/>
        <v>0</v>
      </c>
      <c r="R265" t="str">
        <f ca="1">IF($Q265=1,SUM($Q$4:$Q265),"")</f>
        <v/>
      </c>
    </row>
    <row r="266" spans="1:18" ht="45" customHeight="1" x14ac:dyDescent="0.3">
      <c r="A266" s="2"/>
      <c r="B266" s="2"/>
      <c r="C266" s="3"/>
      <c r="D266" s="3"/>
      <c r="E266" s="2"/>
      <c r="F266" s="2"/>
      <c r="G266" s="5"/>
      <c r="H266" s="5"/>
      <c r="I266" s="4"/>
      <c r="J266" s="6" t="str">
        <f t="shared" si="14"/>
        <v/>
      </c>
      <c r="K266" s="4" t="str">
        <f t="shared" ca="1" si="16"/>
        <v/>
      </c>
      <c r="L266" s="7" t="str">
        <f>IF($H266="","",$H266-'[2]Read Me'!$B$4)</f>
        <v/>
      </c>
      <c r="M266" s="4" t="str">
        <f>IF($I266="Complete","Green",IF($H266="","Amber",IF($H266&lt;'[2]Read Me'!$B$4,"Red",IF($H266-'[2]Read Me'!$B$4&lt;=21,"Amber","Green"))))</f>
        <v>Amber</v>
      </c>
      <c r="N266" s="3"/>
      <c r="O266" t="str">
        <f>IF($I266&lt;&gt;"Complete",IF(COUNTIFS($A$4:$A265,$A266,$B$4:$B265,$B266,$I$4:$I265,"&lt;&gt;Complete")=0,$A266&amp;"|"&amp;$B266,""),"")</f>
        <v>|</v>
      </c>
      <c r="P266" t="str">
        <f ca="1">IF($K266="Yes",COUNTIFS($K$4:$K266,"Yes"),"")</f>
        <v/>
      </c>
      <c r="Q266">
        <f t="shared" ca="1" si="15"/>
        <v>0</v>
      </c>
      <c r="R266" t="str">
        <f ca="1">IF($Q266=1,SUM($Q$4:$Q266),"")</f>
        <v/>
      </c>
    </row>
    <row r="267" spans="1:18" ht="45" customHeight="1" x14ac:dyDescent="0.3">
      <c r="A267" s="2"/>
      <c r="B267" s="2"/>
      <c r="C267" s="3"/>
      <c r="D267" s="3"/>
      <c r="E267" s="2"/>
      <c r="F267" s="2"/>
      <c r="G267" s="5"/>
      <c r="H267" s="5"/>
      <c r="I267" s="4"/>
      <c r="J267" s="6" t="str">
        <f t="shared" si="14"/>
        <v/>
      </c>
      <c r="K267" s="4" t="str">
        <f t="shared" ca="1" si="16"/>
        <v/>
      </c>
      <c r="L267" s="7" t="str">
        <f>IF($H267="","",$H267-'[2]Read Me'!$B$4)</f>
        <v/>
      </c>
      <c r="M267" s="4" t="str">
        <f>IF($I267="Complete","Green",IF($H267="","Amber",IF($H267&lt;'[2]Read Me'!$B$4,"Red",IF($H267-'[2]Read Me'!$B$4&lt;=21,"Amber","Green"))))</f>
        <v>Amber</v>
      </c>
      <c r="N267" s="3"/>
      <c r="O267" t="str">
        <f>IF($I267&lt;&gt;"Complete",IF(COUNTIFS($A$4:$A266,$A267,$B$4:$B266,$B267,$I$4:$I266,"&lt;&gt;Complete")=0,$A267&amp;"|"&amp;$B267,""),"")</f>
        <v>|</v>
      </c>
      <c r="P267" t="str">
        <f ca="1">IF($K267="Yes",COUNTIFS($K$4:$K267,"Yes"),"")</f>
        <v/>
      </c>
      <c r="Q267">
        <f t="shared" ca="1" si="15"/>
        <v>0</v>
      </c>
      <c r="R267" t="str">
        <f ca="1">IF($Q267=1,SUM($Q$4:$Q267),"")</f>
        <v/>
      </c>
    </row>
    <row r="268" spans="1:18" ht="14.25" customHeight="1" x14ac:dyDescent="0.3">
      <c r="A268" s="2"/>
      <c r="B268" s="2"/>
      <c r="C268" s="3"/>
      <c r="D268" s="3"/>
      <c r="E268" s="2"/>
      <c r="F268" s="2"/>
      <c r="G268" s="5"/>
      <c r="H268" s="5"/>
      <c r="I268" s="4"/>
      <c r="J268" s="6" t="str">
        <f t="shared" si="14"/>
        <v/>
      </c>
      <c r="K268" s="4" t="str">
        <f t="shared" ca="1" si="16"/>
        <v/>
      </c>
      <c r="L268" s="7" t="str">
        <f>IF($H268="","",$H268-'[2]Read Me'!$B$4)</f>
        <v/>
      </c>
      <c r="M268" s="4" t="str">
        <f>IF($I268="Complete","Green",IF($H268="","Amber",IF($H268&lt;'[2]Read Me'!$B$4,"Red",IF($H268-'[2]Read Me'!$B$4&lt;=21,"Amber","Green"))))</f>
        <v>Amber</v>
      </c>
      <c r="N268" s="3"/>
      <c r="O268" t="str">
        <f>IF($I268&lt;&gt;"Complete",IF(COUNTIFS($A$4:$A267,$A268,$B$4:$B267,$B268,$I$4:$I267,"&lt;&gt;Complete")=0,$A268&amp;"|"&amp;$B268,""),"")</f>
        <v>|</v>
      </c>
      <c r="P268" t="str">
        <f ca="1">IF($K268="Yes",COUNTIFS($K$4:$K268,"Yes"),"")</f>
        <v/>
      </c>
      <c r="Q268">
        <f t="shared" ca="1" si="15"/>
        <v>0</v>
      </c>
      <c r="R268" t="str">
        <f ca="1">IF($Q268=1,SUM($Q$4:$Q268),"")</f>
        <v/>
      </c>
    </row>
    <row r="269" spans="1:18" ht="14.25" customHeight="1" x14ac:dyDescent="0.3">
      <c r="A269" s="2"/>
      <c r="B269" s="2"/>
      <c r="C269" s="3"/>
      <c r="D269" s="3"/>
      <c r="E269" s="2"/>
      <c r="F269" s="2"/>
      <c r="G269" s="5"/>
      <c r="H269" s="5"/>
      <c r="I269" s="4"/>
      <c r="J269" s="6" t="str">
        <f t="shared" si="14"/>
        <v/>
      </c>
      <c r="K269" s="4" t="str">
        <f t="shared" ca="1" si="16"/>
        <v/>
      </c>
      <c r="L269" s="7" t="str">
        <f>IF($H269="","",$H269-'[2]Read Me'!$B$4)</f>
        <v/>
      </c>
      <c r="M269" s="4" t="str">
        <f>IF($I269="Complete","Green",IF($H269="","Amber",IF($H269&lt;'[2]Read Me'!$B$4,"Red",IF($H269-'[2]Read Me'!$B$4&lt;=21,"Amber","Green"))))</f>
        <v>Amber</v>
      </c>
      <c r="N269" s="3"/>
      <c r="O269" t="str">
        <f>IF($I269&lt;&gt;"Complete",IF(COUNTIFS($A$4:$A268,$A269,$B$4:$B268,$B269,$I$4:$I268,"&lt;&gt;Complete")=0,$A269&amp;"|"&amp;$B269,""),"")</f>
        <v>|</v>
      </c>
      <c r="P269" t="str">
        <f ca="1">IF($K269="Yes",COUNTIFS($K$4:$K269,"Yes"),"")</f>
        <v/>
      </c>
      <c r="Q269">
        <f t="shared" ca="1" si="15"/>
        <v>0</v>
      </c>
      <c r="R269" t="str">
        <f ca="1">IF($Q269=1,SUM($Q$4:$Q269),"")</f>
        <v/>
      </c>
    </row>
    <row r="270" spans="1:18" ht="14.25" customHeight="1" x14ac:dyDescent="0.3">
      <c r="A270" s="2"/>
      <c r="B270" s="2"/>
      <c r="C270" s="3"/>
      <c r="D270" s="3"/>
      <c r="E270" s="2"/>
      <c r="F270" s="2"/>
      <c r="G270" s="5"/>
      <c r="H270" s="5"/>
      <c r="I270" s="4"/>
      <c r="J270" s="6" t="str">
        <f t="shared" si="14"/>
        <v/>
      </c>
      <c r="K270" s="4" t="str">
        <f t="shared" ca="1" si="16"/>
        <v/>
      </c>
      <c r="L270" s="7" t="str">
        <f>IF($H270="","",$H270-'[2]Read Me'!$B$4)</f>
        <v/>
      </c>
      <c r="M270" s="4" t="str">
        <f>IF($I270="Complete","Green",IF($H270="","Amber",IF($H270&lt;'[2]Read Me'!$B$4,"Red",IF($H270-'[2]Read Me'!$B$4&lt;=21,"Amber","Green"))))</f>
        <v>Amber</v>
      </c>
      <c r="N270" s="3"/>
      <c r="O270" t="str">
        <f>IF($I270&lt;&gt;"Complete",IF(COUNTIFS($A$4:$A269,$A270,$B$4:$B269,$B270,$I$4:$I269,"&lt;&gt;Complete")=0,$A270&amp;"|"&amp;$B270,""),"")</f>
        <v>|</v>
      </c>
      <c r="P270" t="str">
        <f ca="1">IF($K270="Yes",COUNTIFS($K$4:$K270,"Yes"),"")</f>
        <v/>
      </c>
      <c r="Q270">
        <f t="shared" ca="1" si="15"/>
        <v>0</v>
      </c>
      <c r="R270" t="str">
        <f ca="1">IF($Q270=1,SUM($Q$4:$Q270),"")</f>
        <v/>
      </c>
    </row>
    <row r="271" spans="1:18" ht="14.25" customHeight="1" x14ac:dyDescent="0.3">
      <c r="A271" s="2"/>
      <c r="B271" s="2"/>
      <c r="C271" s="3"/>
      <c r="D271" s="3"/>
      <c r="E271" s="2"/>
      <c r="F271" s="2"/>
      <c r="G271" s="5"/>
      <c r="H271" s="5"/>
      <c r="I271" s="4"/>
      <c r="J271" s="6" t="str">
        <f t="shared" si="14"/>
        <v/>
      </c>
      <c r="K271" s="4" t="str">
        <f t="shared" ca="1" si="16"/>
        <v/>
      </c>
      <c r="L271" s="7" t="str">
        <f>IF($H271="","",$H271-'[2]Read Me'!$B$4)</f>
        <v/>
      </c>
      <c r="M271" s="4" t="str">
        <f>IF($I271="Complete","Green",IF($H271="","Amber",IF($H271&lt;'[2]Read Me'!$B$4,"Red",IF($H271-'[2]Read Me'!$B$4&lt;=21,"Amber","Green"))))</f>
        <v>Amber</v>
      </c>
      <c r="N271" s="3"/>
      <c r="O271" t="str">
        <f>IF($I271&lt;&gt;"Complete",IF(COUNTIFS($A$4:$A270,$A271,$B$4:$B270,$B271,$I$4:$I270,"&lt;&gt;Complete")=0,$A271&amp;"|"&amp;$B271,""),"")</f>
        <v>|</v>
      </c>
      <c r="P271" t="str">
        <f ca="1">IF($K271="Yes",COUNTIFS($K$4:$K271,"Yes"),"")</f>
        <v/>
      </c>
      <c r="Q271">
        <f t="shared" ca="1" si="15"/>
        <v>0</v>
      </c>
      <c r="R271" t="str">
        <f ca="1">IF($Q271=1,SUM($Q$4:$Q271),"")</f>
        <v/>
      </c>
    </row>
    <row r="272" spans="1:18" ht="14.25" customHeight="1" x14ac:dyDescent="0.3">
      <c r="A272" s="2"/>
      <c r="B272" s="2"/>
      <c r="C272" s="3"/>
      <c r="D272" s="3"/>
      <c r="E272" s="2"/>
      <c r="F272" s="2"/>
      <c r="G272" s="5"/>
      <c r="H272" s="5"/>
      <c r="I272" s="4"/>
      <c r="J272" s="6" t="str">
        <f t="shared" si="14"/>
        <v/>
      </c>
      <c r="K272" s="4" t="str">
        <f t="shared" ca="1" si="16"/>
        <v/>
      </c>
      <c r="L272" s="7" t="str">
        <f>IF($H272="","",$H272-'[2]Read Me'!$B$4)</f>
        <v/>
      </c>
      <c r="M272" s="4" t="str">
        <f>IF($I272="Complete","Green",IF($H272="","Amber",IF($H272&lt;'[2]Read Me'!$B$4,"Red",IF($H272-'[2]Read Me'!$B$4&lt;=21,"Amber","Green"))))</f>
        <v>Amber</v>
      </c>
      <c r="N272" s="3"/>
      <c r="O272" t="str">
        <f>IF($I272&lt;&gt;"Complete",IF(COUNTIFS($A$4:$A271,$A272,$B$4:$B271,$B272,$I$4:$I271,"&lt;&gt;Complete")=0,$A272&amp;"|"&amp;$B272,""),"")</f>
        <v>|</v>
      </c>
      <c r="P272" t="str">
        <f ca="1">IF($K272="Yes",COUNTIFS($K$4:$K272,"Yes"),"")</f>
        <v/>
      </c>
      <c r="Q272">
        <f t="shared" ca="1" si="15"/>
        <v>0</v>
      </c>
      <c r="R272" t="str">
        <f ca="1">IF($Q272=1,SUM($Q$4:$Q272),"")</f>
        <v/>
      </c>
    </row>
    <row r="273" spans="1:18" ht="14.25" customHeight="1" x14ac:dyDescent="0.3">
      <c r="A273" s="2"/>
      <c r="B273" s="2"/>
      <c r="C273" s="3"/>
      <c r="D273" s="3"/>
      <c r="E273" s="2"/>
      <c r="F273" s="2"/>
      <c r="G273" s="5"/>
      <c r="H273" s="5"/>
      <c r="I273" s="4"/>
      <c r="J273" s="6" t="str">
        <f t="shared" si="14"/>
        <v/>
      </c>
      <c r="K273" s="4" t="str">
        <f t="shared" ca="1" si="16"/>
        <v/>
      </c>
      <c r="L273" s="7" t="str">
        <f>IF($H273="","",$H273-'[2]Read Me'!$B$4)</f>
        <v/>
      </c>
      <c r="M273" s="4" t="str">
        <f>IF($I273="Complete","Green",IF($H273="","Amber",IF($H273&lt;'[2]Read Me'!$B$4,"Red",IF($H273-'[2]Read Me'!$B$4&lt;=21,"Amber","Green"))))</f>
        <v>Amber</v>
      </c>
      <c r="N273" s="3"/>
      <c r="O273" t="str">
        <f>IF($I273&lt;&gt;"Complete",IF(COUNTIFS($A$4:$A272,$A273,$B$4:$B272,$B273,$I$4:$I272,"&lt;&gt;Complete")=0,$A273&amp;"|"&amp;$B273,""),"")</f>
        <v>|</v>
      </c>
      <c r="P273" t="str">
        <f ca="1">IF($K273="Yes",COUNTIFS($K$4:$K273,"Yes"),"")</f>
        <v/>
      </c>
      <c r="Q273">
        <f t="shared" ca="1" si="15"/>
        <v>0</v>
      </c>
      <c r="R273" t="str">
        <f ca="1">IF($Q273=1,SUM($Q$4:$Q273),"")</f>
        <v/>
      </c>
    </row>
    <row r="274" spans="1:18" ht="14.25" customHeight="1" x14ac:dyDescent="0.3">
      <c r="A274" s="2"/>
      <c r="B274" s="2"/>
      <c r="C274" s="3"/>
      <c r="D274" s="3"/>
      <c r="E274" s="2"/>
      <c r="F274" s="2"/>
      <c r="G274" s="5"/>
      <c r="H274" s="5"/>
      <c r="I274" s="4"/>
      <c r="J274" s="6" t="str">
        <f t="shared" si="14"/>
        <v/>
      </c>
      <c r="K274" s="4" t="str">
        <f t="shared" ca="1" si="16"/>
        <v/>
      </c>
      <c r="L274" s="7" t="str">
        <f>IF($H274="","",$H274-'[2]Read Me'!$B$4)</f>
        <v/>
      </c>
      <c r="M274" s="4" t="str">
        <f>IF($I274="Complete","Green",IF($H274="","Amber",IF($H274&lt;'[2]Read Me'!$B$4,"Red",IF($H274-'[2]Read Me'!$B$4&lt;=21,"Amber","Green"))))</f>
        <v>Amber</v>
      </c>
      <c r="N274" s="3"/>
      <c r="O274" t="str">
        <f>IF($I274&lt;&gt;"Complete",IF(COUNTIFS($A$4:$A273,$A274,$B$4:$B273,$B274,$I$4:$I273,"&lt;&gt;Complete")=0,$A274&amp;"|"&amp;$B274,""),"")</f>
        <v>|</v>
      </c>
      <c r="P274" t="str">
        <f ca="1">IF($K274="Yes",COUNTIFS($K$4:$K274,"Yes"),"")</f>
        <v/>
      </c>
      <c r="Q274">
        <f t="shared" ca="1" si="15"/>
        <v>0</v>
      </c>
      <c r="R274" t="str">
        <f ca="1">IF($Q274=1,SUM($Q$4:$Q274),"")</f>
        <v/>
      </c>
    </row>
    <row r="275" spans="1:18" ht="14.25" customHeight="1" x14ac:dyDescent="0.3">
      <c r="A275" s="2"/>
      <c r="B275" s="2"/>
      <c r="C275" s="3"/>
      <c r="D275" s="3"/>
      <c r="E275" s="2"/>
      <c r="F275" s="2"/>
      <c r="G275" s="5"/>
      <c r="H275" s="5"/>
      <c r="I275" s="4"/>
      <c r="J275" s="6" t="str">
        <f t="shared" si="14"/>
        <v/>
      </c>
      <c r="K275" s="4" t="str">
        <f t="shared" ca="1" si="16"/>
        <v/>
      </c>
      <c r="L275" s="7" t="str">
        <f>IF($H275="","",$H275-'[2]Read Me'!$B$4)</f>
        <v/>
      </c>
      <c r="M275" s="4" t="str">
        <f>IF($I275="Complete","Green",IF($H275="","Amber",IF($H275&lt;'[2]Read Me'!$B$4,"Red",IF($H275-'[2]Read Me'!$B$4&lt;=21,"Amber","Green"))))</f>
        <v>Amber</v>
      </c>
      <c r="N275" s="3"/>
      <c r="O275" t="str">
        <f>IF($I275&lt;&gt;"Complete",IF(COUNTIFS($A$4:$A274,$A275,$B$4:$B274,$B275,$I$4:$I274,"&lt;&gt;Complete")=0,$A275&amp;"|"&amp;$B275,""),"")</f>
        <v>|</v>
      </c>
      <c r="P275" t="str">
        <f ca="1">IF($K275="Yes",COUNTIFS($K$4:$K275,"Yes"),"")</f>
        <v/>
      </c>
      <c r="Q275">
        <f t="shared" ca="1" si="15"/>
        <v>0</v>
      </c>
      <c r="R275" t="str">
        <f ca="1">IF($Q275=1,SUM($Q$4:$Q275),"")</f>
        <v/>
      </c>
    </row>
    <row r="276" spans="1:18" ht="14.25" customHeight="1" x14ac:dyDescent="0.3">
      <c r="A276" s="2"/>
      <c r="B276" s="2"/>
      <c r="C276" s="3"/>
      <c r="D276" s="3"/>
      <c r="E276" s="2"/>
      <c r="F276" s="2"/>
      <c r="G276" s="5"/>
      <c r="H276" s="5"/>
      <c r="I276" s="4"/>
      <c r="J276" s="6" t="str">
        <f t="shared" si="14"/>
        <v/>
      </c>
      <c r="K276" s="4" t="str">
        <f t="shared" ca="1" si="16"/>
        <v/>
      </c>
      <c r="L276" s="7" t="str">
        <f>IF($H276="","",$H276-'[2]Read Me'!$B$4)</f>
        <v/>
      </c>
      <c r="M276" s="4" t="str">
        <f>IF($I276="Complete","Green",IF($H276="","Amber",IF($H276&lt;'[2]Read Me'!$B$4,"Red",IF($H276-'[2]Read Me'!$B$4&lt;=21,"Amber","Green"))))</f>
        <v>Amber</v>
      </c>
      <c r="N276" s="3"/>
      <c r="O276" t="str">
        <f>IF($I276&lt;&gt;"Complete",IF(COUNTIFS($A$4:$A275,$A276,$B$4:$B275,$B276,$I$4:$I275,"&lt;&gt;Complete")=0,$A276&amp;"|"&amp;$B276,""),"")</f>
        <v>|</v>
      </c>
      <c r="P276" t="str">
        <f ca="1">IF($K276="Yes",COUNTIFS($K$4:$K276,"Yes"),"")</f>
        <v/>
      </c>
      <c r="Q276">
        <f t="shared" ca="1" si="15"/>
        <v>0</v>
      </c>
      <c r="R276" t="str">
        <f ca="1">IF($Q276=1,SUM($Q$4:$Q276),"")</f>
        <v/>
      </c>
    </row>
    <row r="277" spans="1:18" ht="14.25" customHeight="1" x14ac:dyDescent="0.3">
      <c r="A277" s="2"/>
      <c r="B277" s="2"/>
      <c r="C277" s="3"/>
      <c r="D277" s="3"/>
      <c r="E277" s="2"/>
      <c r="F277" s="2"/>
      <c r="G277" s="5"/>
      <c r="H277" s="5"/>
      <c r="I277" s="4"/>
      <c r="J277" s="6" t="str">
        <f t="shared" si="14"/>
        <v/>
      </c>
      <c r="K277" s="4" t="str">
        <f t="shared" ca="1" si="16"/>
        <v/>
      </c>
      <c r="L277" s="7" t="str">
        <f>IF($H277="","",$H277-'[2]Read Me'!$B$4)</f>
        <v/>
      </c>
      <c r="M277" s="4" t="str">
        <f>IF($I277="Complete","Green",IF($H277="","Amber",IF($H277&lt;'[2]Read Me'!$B$4,"Red",IF($H277-'[2]Read Me'!$B$4&lt;=21,"Amber","Green"))))</f>
        <v>Amber</v>
      </c>
      <c r="N277" s="3"/>
      <c r="O277" t="str">
        <f>IF($I277&lt;&gt;"Complete",IF(COUNTIFS($A$4:$A276,$A277,$B$4:$B276,$B277,$I$4:$I276,"&lt;&gt;Complete")=0,$A277&amp;"|"&amp;$B277,""),"")</f>
        <v>|</v>
      </c>
      <c r="P277" t="str">
        <f ca="1">IF($K277="Yes",COUNTIFS($K$4:$K277,"Yes"),"")</f>
        <v/>
      </c>
      <c r="Q277">
        <f t="shared" ca="1" si="15"/>
        <v>0</v>
      </c>
      <c r="R277" t="str">
        <f ca="1">IF($Q277=1,SUM($Q$4:$Q277),"")</f>
        <v/>
      </c>
    </row>
    <row r="278" spans="1:18" ht="14.25" customHeight="1" x14ac:dyDescent="0.3">
      <c r="A278" s="2"/>
      <c r="B278" s="2"/>
      <c r="C278" s="3"/>
      <c r="D278" s="3"/>
      <c r="E278" s="2"/>
      <c r="F278" s="2"/>
      <c r="G278" s="5"/>
      <c r="H278" s="5"/>
      <c r="I278" s="4"/>
      <c r="J278" s="6" t="str">
        <f t="shared" si="14"/>
        <v/>
      </c>
      <c r="K278" s="4" t="str">
        <f t="shared" ca="1" si="16"/>
        <v/>
      </c>
      <c r="L278" s="7" t="str">
        <f>IF($H278="","",$H278-'[2]Read Me'!$B$4)</f>
        <v/>
      </c>
      <c r="M278" s="4" t="str">
        <f>IF($I278="Complete","Green",IF($H278="","Amber",IF($H278&lt;'[2]Read Me'!$B$4,"Red",IF($H278-'[2]Read Me'!$B$4&lt;=21,"Amber","Green"))))</f>
        <v>Amber</v>
      </c>
      <c r="N278" s="3"/>
      <c r="O278" t="str">
        <f>IF($I278&lt;&gt;"Complete",IF(COUNTIFS($A$4:$A277,$A278,$B$4:$B277,$B278,$I$4:$I277,"&lt;&gt;Complete")=0,$A278&amp;"|"&amp;$B278,""),"")</f>
        <v>|</v>
      </c>
      <c r="P278" t="str">
        <f ca="1">IF($K278="Yes",COUNTIFS($K$4:$K278,"Yes"),"")</f>
        <v/>
      </c>
      <c r="Q278">
        <f t="shared" ca="1" si="15"/>
        <v>0</v>
      </c>
      <c r="R278" t="str">
        <f ca="1">IF($Q278=1,SUM($Q$4:$Q278),"")</f>
        <v/>
      </c>
    </row>
    <row r="279" spans="1:18" ht="14.25" customHeight="1" x14ac:dyDescent="0.3">
      <c r="A279" s="2"/>
      <c r="B279" s="2"/>
      <c r="C279" s="3"/>
      <c r="D279" s="3"/>
      <c r="E279" s="2"/>
      <c r="F279" s="2"/>
      <c r="G279" s="5"/>
      <c r="H279" s="5"/>
      <c r="I279" s="4"/>
      <c r="J279" s="6" t="str">
        <f t="shared" si="14"/>
        <v/>
      </c>
      <c r="K279" s="4" t="str">
        <f t="shared" ca="1" si="16"/>
        <v/>
      </c>
      <c r="L279" s="7" t="str">
        <f>IF($H279="","",$H279-'[2]Read Me'!$B$4)</f>
        <v/>
      </c>
      <c r="M279" s="4" t="str">
        <f>IF($I279="Complete","Green",IF($H279="","Amber",IF($H279&lt;'[2]Read Me'!$B$4,"Red",IF($H279-'[2]Read Me'!$B$4&lt;=21,"Amber","Green"))))</f>
        <v>Amber</v>
      </c>
      <c r="N279" s="3"/>
      <c r="O279" t="str">
        <f>IF($I279&lt;&gt;"Complete",IF(COUNTIFS($A$4:$A278,$A279,$B$4:$B278,$B279,$I$4:$I278,"&lt;&gt;Complete")=0,$A279&amp;"|"&amp;$B279,""),"")</f>
        <v>|</v>
      </c>
      <c r="P279" t="str">
        <f ca="1">IF($K279="Yes",COUNTIFS($K$4:$K279,"Yes"),"")</f>
        <v/>
      </c>
      <c r="Q279">
        <f t="shared" ca="1" si="15"/>
        <v>0</v>
      </c>
      <c r="R279" t="str">
        <f ca="1">IF($Q279=1,SUM($Q$4:$Q279),"")</f>
        <v/>
      </c>
    </row>
    <row r="280" spans="1:18" ht="14.25" customHeight="1" x14ac:dyDescent="0.3">
      <c r="A280" s="2"/>
      <c r="B280" s="2"/>
      <c r="C280" s="3"/>
      <c r="D280" s="3"/>
      <c r="E280" s="2"/>
      <c r="F280" s="2"/>
      <c r="G280" s="5"/>
      <c r="H280" s="5"/>
      <c r="I280" s="4"/>
      <c r="J280" s="6" t="str">
        <f t="shared" si="14"/>
        <v/>
      </c>
      <c r="K280" s="4" t="str">
        <f t="shared" ca="1" si="16"/>
        <v/>
      </c>
      <c r="L280" s="7" t="str">
        <f>IF($H280="","",$H280-'[2]Read Me'!$B$4)</f>
        <v/>
      </c>
      <c r="M280" s="4" t="str">
        <f>IF($I280="Complete","Green",IF($H280="","Amber",IF($H280&lt;'[2]Read Me'!$B$4,"Red",IF($H280-'[2]Read Me'!$B$4&lt;=21,"Amber","Green"))))</f>
        <v>Amber</v>
      </c>
      <c r="N280" s="3"/>
      <c r="O280" t="str">
        <f>IF($I280&lt;&gt;"Complete",IF(COUNTIFS($A$4:$A279,$A280,$B$4:$B279,$B280,$I$4:$I279,"&lt;&gt;Complete")=0,$A280&amp;"|"&amp;$B280,""),"")</f>
        <v>|</v>
      </c>
      <c r="P280" t="str">
        <f ca="1">IF($K280="Yes",COUNTIFS($K$4:$K280,"Yes"),"")</f>
        <v/>
      </c>
      <c r="Q280">
        <f t="shared" ca="1" si="15"/>
        <v>0</v>
      </c>
      <c r="R280" t="str">
        <f ca="1">IF($Q280=1,SUM($Q$4:$Q280),"")</f>
        <v/>
      </c>
    </row>
    <row r="281" spans="1:18" ht="14.25" customHeight="1" x14ac:dyDescent="0.3">
      <c r="A281" s="2"/>
      <c r="B281" s="2"/>
      <c r="C281" s="3"/>
      <c r="D281" s="3"/>
      <c r="E281" s="2"/>
      <c r="F281" s="2"/>
      <c r="G281" s="5"/>
      <c r="H281" s="5"/>
      <c r="I281" s="4"/>
      <c r="J281" s="6" t="str">
        <f t="shared" si="14"/>
        <v/>
      </c>
      <c r="K281" s="4" t="str">
        <f t="shared" ca="1" si="16"/>
        <v/>
      </c>
      <c r="L281" s="7" t="str">
        <f>IF($H281="","",$H281-'[2]Read Me'!$B$4)</f>
        <v/>
      </c>
      <c r="M281" s="4" t="str">
        <f>IF($I281="Complete","Green",IF($H281="","Amber",IF($H281&lt;'[2]Read Me'!$B$4,"Red",IF($H281-'[2]Read Me'!$B$4&lt;=21,"Amber","Green"))))</f>
        <v>Amber</v>
      </c>
      <c r="N281" s="3"/>
      <c r="O281" t="str">
        <f>IF($I281&lt;&gt;"Complete",IF(COUNTIFS($A$4:$A280,$A281,$B$4:$B280,$B281,$I$4:$I280,"&lt;&gt;Complete")=0,$A281&amp;"|"&amp;$B281,""),"")</f>
        <v>|</v>
      </c>
      <c r="P281" t="str">
        <f ca="1">IF($K281="Yes",COUNTIFS($K$4:$K281,"Yes"),"")</f>
        <v/>
      </c>
      <c r="Q281">
        <f t="shared" ca="1" si="15"/>
        <v>0</v>
      </c>
      <c r="R281" t="str">
        <f ca="1">IF($Q281=1,SUM($Q$4:$Q281),"")</f>
        <v/>
      </c>
    </row>
    <row r="282" spans="1:18" ht="14.25" customHeight="1" x14ac:dyDescent="0.3">
      <c r="A282" s="2"/>
      <c r="B282" s="2"/>
      <c r="C282" s="3"/>
      <c r="D282" s="3"/>
      <c r="E282" s="2"/>
      <c r="F282" s="2"/>
      <c r="G282" s="5"/>
      <c r="H282" s="5"/>
      <c r="I282" s="4"/>
      <c r="J282" s="6" t="str">
        <f t="shared" si="14"/>
        <v/>
      </c>
      <c r="K282" s="4" t="str">
        <f t="shared" ca="1" si="16"/>
        <v/>
      </c>
      <c r="L282" s="7" t="str">
        <f>IF($H282="","",$H282-'[2]Read Me'!$B$4)</f>
        <v/>
      </c>
      <c r="M282" s="4" t="str">
        <f>IF($I282="Complete","Green",IF($H282="","Amber",IF($H282&lt;'[2]Read Me'!$B$4,"Red",IF($H282-'[2]Read Me'!$B$4&lt;=21,"Amber","Green"))))</f>
        <v>Amber</v>
      </c>
      <c r="N282" s="3"/>
      <c r="O282" t="str">
        <f>IF($I282&lt;&gt;"Complete",IF(COUNTIFS($A$4:$A281,$A282,$B$4:$B281,$B282,$I$4:$I281,"&lt;&gt;Complete")=0,$A282&amp;"|"&amp;$B282,""),"")</f>
        <v>|</v>
      </c>
      <c r="P282" t="str">
        <f ca="1">IF($K282="Yes",COUNTIFS($K$4:$K282,"Yes"),"")</f>
        <v/>
      </c>
      <c r="Q282">
        <f t="shared" ca="1" si="15"/>
        <v>0</v>
      </c>
      <c r="R282" t="str">
        <f ca="1">IF($Q282=1,SUM($Q$4:$Q282),"")</f>
        <v/>
      </c>
    </row>
    <row r="283" spans="1:18" ht="14.25" customHeight="1" x14ac:dyDescent="0.3">
      <c r="A283" s="2"/>
      <c r="B283" s="2"/>
      <c r="C283" s="3"/>
      <c r="D283" s="3"/>
      <c r="E283" s="2"/>
      <c r="F283" s="2"/>
      <c r="G283" s="5"/>
      <c r="H283" s="5"/>
      <c r="I283" s="4"/>
      <c r="J283" s="6" t="str">
        <f t="shared" si="14"/>
        <v/>
      </c>
      <c r="K283" s="4" t="str">
        <f t="shared" ca="1" si="16"/>
        <v/>
      </c>
      <c r="L283" s="7" t="str">
        <f>IF($H283="","",$H283-'[2]Read Me'!$B$4)</f>
        <v/>
      </c>
      <c r="M283" s="4" t="str">
        <f>IF($I283="Complete","Green",IF($H283="","Amber",IF($H283&lt;'[2]Read Me'!$B$4,"Red",IF($H283-'[2]Read Me'!$B$4&lt;=21,"Amber","Green"))))</f>
        <v>Amber</v>
      </c>
      <c r="N283" s="3"/>
      <c r="O283" t="str">
        <f>IF($I283&lt;&gt;"Complete",IF(COUNTIFS($A$4:$A282,$A283,$B$4:$B282,$B283,$I$4:$I282,"&lt;&gt;Complete")=0,$A283&amp;"|"&amp;$B283,""),"")</f>
        <v>|</v>
      </c>
      <c r="P283" t="str">
        <f ca="1">IF($K283="Yes",COUNTIFS($K$4:$K283,"Yes"),"")</f>
        <v/>
      </c>
      <c r="Q283">
        <f t="shared" ca="1" si="15"/>
        <v>0</v>
      </c>
      <c r="R283" t="str">
        <f ca="1">IF($Q283=1,SUM($Q$4:$Q283),"")</f>
        <v/>
      </c>
    </row>
    <row r="284" spans="1:18" ht="14.25" customHeight="1" x14ac:dyDescent="0.3">
      <c r="A284" s="2"/>
      <c r="B284" s="2"/>
      <c r="C284" s="3"/>
      <c r="D284" s="3"/>
      <c r="E284" s="2"/>
      <c r="F284" s="2"/>
      <c r="G284" s="5"/>
      <c r="H284" s="5"/>
      <c r="I284" s="4"/>
      <c r="J284" s="6" t="str">
        <f t="shared" si="14"/>
        <v/>
      </c>
      <c r="K284" s="4" t="str">
        <f t="shared" ca="1" si="16"/>
        <v/>
      </c>
      <c r="L284" s="7" t="str">
        <f>IF($H284="","",$H284-'[2]Read Me'!$B$4)</f>
        <v/>
      </c>
      <c r="M284" s="4" t="str">
        <f>IF($I284="Complete","Green",IF($H284="","Amber",IF($H284&lt;'[2]Read Me'!$B$4,"Red",IF($H284-'[2]Read Me'!$B$4&lt;=21,"Amber","Green"))))</f>
        <v>Amber</v>
      </c>
      <c r="N284" s="3"/>
      <c r="O284" t="str">
        <f>IF($I284&lt;&gt;"Complete",IF(COUNTIFS($A$4:$A283,$A284,$B$4:$B283,$B284,$I$4:$I283,"&lt;&gt;Complete")=0,$A284&amp;"|"&amp;$B284,""),"")</f>
        <v>|</v>
      </c>
      <c r="P284" t="str">
        <f ca="1">IF($K284="Yes",COUNTIFS($K$4:$K284,"Yes"),"")</f>
        <v/>
      </c>
      <c r="Q284">
        <f t="shared" ca="1" si="15"/>
        <v>0</v>
      </c>
      <c r="R284" t="str">
        <f ca="1">IF($Q284=1,SUM($Q$4:$Q284),"")</f>
        <v/>
      </c>
    </row>
    <row r="285" spans="1:18" ht="14.25" customHeight="1" x14ac:dyDescent="0.3">
      <c r="A285" s="2"/>
      <c r="B285" s="2"/>
      <c r="C285" s="3"/>
      <c r="D285" s="3"/>
      <c r="E285" s="2"/>
      <c r="F285" s="2"/>
      <c r="G285" s="5"/>
      <c r="H285" s="5"/>
      <c r="I285" s="4"/>
      <c r="J285" s="6" t="str">
        <f t="shared" si="14"/>
        <v/>
      </c>
      <c r="K285" s="4" t="str">
        <f t="shared" ca="1" si="16"/>
        <v/>
      </c>
      <c r="L285" s="7" t="str">
        <f>IF($H285="","",$H285-'[2]Read Me'!$B$4)</f>
        <v/>
      </c>
      <c r="M285" s="4" t="str">
        <f>IF($I285="Complete","Green",IF($H285="","Amber",IF($H285&lt;'[2]Read Me'!$B$4,"Red",IF($H285-'[2]Read Me'!$B$4&lt;=21,"Amber","Green"))))</f>
        <v>Amber</v>
      </c>
      <c r="N285" s="3"/>
      <c r="O285" t="str">
        <f>IF($I285&lt;&gt;"Complete",IF(COUNTIFS($A$4:$A284,$A285,$B$4:$B284,$B285,$I$4:$I284,"&lt;&gt;Complete")=0,$A285&amp;"|"&amp;$B285,""),"")</f>
        <v>|</v>
      </c>
      <c r="P285" t="str">
        <f ca="1">IF($K285="Yes",COUNTIFS($K$4:$K285,"Yes"),"")</f>
        <v/>
      </c>
      <c r="Q285">
        <f t="shared" ca="1" si="15"/>
        <v>0</v>
      </c>
      <c r="R285" t="str">
        <f ca="1">IF($Q285=1,SUM($Q$4:$Q285),"")</f>
        <v/>
      </c>
    </row>
    <row r="286" spans="1:18" ht="14.25" customHeight="1" x14ac:dyDescent="0.3">
      <c r="A286" s="2"/>
      <c r="B286" s="2"/>
      <c r="C286" s="3"/>
      <c r="D286" s="3"/>
      <c r="E286" s="2"/>
      <c r="F286" s="2"/>
      <c r="G286" s="5"/>
      <c r="H286" s="5"/>
      <c r="I286" s="4"/>
      <c r="J286" s="6" t="str">
        <f t="shared" si="14"/>
        <v/>
      </c>
      <c r="K286" s="4" t="str">
        <f t="shared" ca="1" si="16"/>
        <v/>
      </c>
      <c r="L286" s="7" t="str">
        <f>IF($H286="","",$H286-'[2]Read Me'!$B$4)</f>
        <v/>
      </c>
      <c r="M286" s="4" t="str">
        <f>IF($I286="Complete","Green",IF($H286="","Amber",IF($H286&lt;'[2]Read Me'!$B$4,"Red",IF($H286-'[2]Read Me'!$B$4&lt;=21,"Amber","Green"))))</f>
        <v>Amber</v>
      </c>
      <c r="N286" s="3"/>
      <c r="O286" t="str">
        <f>IF($I286&lt;&gt;"Complete",IF(COUNTIFS($A$4:$A285,$A286,$B$4:$B285,$B286,$I$4:$I285,"&lt;&gt;Complete")=0,$A286&amp;"|"&amp;$B286,""),"")</f>
        <v>|</v>
      </c>
      <c r="P286" t="str">
        <f ca="1">IF($K286="Yes",COUNTIFS($K$4:$K286,"Yes"),"")</f>
        <v/>
      </c>
      <c r="Q286">
        <f t="shared" ca="1" si="15"/>
        <v>0</v>
      </c>
      <c r="R286" t="str">
        <f ca="1">IF($Q286=1,SUM($Q$4:$Q286),"")</f>
        <v/>
      </c>
    </row>
    <row r="287" spans="1:18" ht="14.25" customHeight="1" x14ac:dyDescent="0.3">
      <c r="A287" s="2"/>
      <c r="B287" s="2"/>
      <c r="C287" s="3"/>
      <c r="D287" s="3"/>
      <c r="E287" s="2"/>
      <c r="F287" s="2"/>
      <c r="G287" s="5"/>
      <c r="H287" s="5"/>
      <c r="I287" s="4"/>
      <c r="J287" s="6" t="str">
        <f t="shared" si="14"/>
        <v/>
      </c>
      <c r="K287" s="4" t="str">
        <f t="shared" ca="1" si="16"/>
        <v/>
      </c>
      <c r="L287" s="7" t="str">
        <f>IF($H287="","",$H287-'[2]Read Me'!$B$4)</f>
        <v/>
      </c>
      <c r="M287" s="4" t="str">
        <f>IF($I287="Complete","Green",IF($H287="","Amber",IF($H287&lt;'[2]Read Me'!$B$4,"Red",IF($H287-'[2]Read Me'!$B$4&lt;=21,"Amber","Green"))))</f>
        <v>Amber</v>
      </c>
      <c r="N287" s="3"/>
      <c r="O287" t="str">
        <f>IF($I287&lt;&gt;"Complete",IF(COUNTIFS($A$4:$A286,$A287,$B$4:$B286,$B287,$I$4:$I286,"&lt;&gt;Complete")=0,$A287&amp;"|"&amp;$B287,""),"")</f>
        <v>|</v>
      </c>
      <c r="P287" t="str">
        <f ca="1">IF($K287="Yes",COUNTIFS($K$4:$K287,"Yes"),"")</f>
        <v/>
      </c>
      <c r="Q287">
        <f t="shared" ca="1" si="15"/>
        <v>0</v>
      </c>
      <c r="R287" t="str">
        <f ca="1">IF($Q287=1,SUM($Q$4:$Q287),"")</f>
        <v/>
      </c>
    </row>
    <row r="288" spans="1:18" ht="14.25" customHeight="1" x14ac:dyDescent="0.3">
      <c r="A288" s="2"/>
      <c r="B288" s="2"/>
      <c r="C288" s="3"/>
      <c r="D288" s="3"/>
      <c r="E288" s="2"/>
      <c r="F288" s="2"/>
      <c r="G288" s="5"/>
      <c r="H288" s="5"/>
      <c r="I288" s="4"/>
      <c r="J288" s="6" t="str">
        <f t="shared" si="14"/>
        <v/>
      </c>
      <c r="K288" s="4" t="str">
        <f t="shared" ca="1" si="16"/>
        <v/>
      </c>
      <c r="L288" s="7" t="str">
        <f>IF($H288="","",$H288-'[2]Read Me'!$B$4)</f>
        <v/>
      </c>
      <c r="M288" s="4" t="str">
        <f>IF($I288="Complete","Green",IF($H288="","Amber",IF($H288&lt;'[2]Read Me'!$B$4,"Red",IF($H288-'[2]Read Me'!$B$4&lt;=21,"Amber","Green"))))</f>
        <v>Amber</v>
      </c>
      <c r="N288" s="3"/>
      <c r="O288" t="str">
        <f>IF($I288&lt;&gt;"Complete",IF(COUNTIFS($A$4:$A287,$A288,$B$4:$B287,$B288,$I$4:$I287,"&lt;&gt;Complete")=0,$A288&amp;"|"&amp;$B288,""),"")</f>
        <v>|</v>
      </c>
      <c r="P288" t="str">
        <f ca="1">IF($K288="Yes",COUNTIFS($K$4:$K288,"Yes"),"")</f>
        <v/>
      </c>
      <c r="Q288">
        <f t="shared" ca="1" si="15"/>
        <v>0</v>
      </c>
      <c r="R288" t="str">
        <f ca="1">IF($Q288=1,SUM($Q$4:$Q288),"")</f>
        <v/>
      </c>
    </row>
    <row r="289" spans="1:18" ht="14.25" customHeight="1" x14ac:dyDescent="0.3">
      <c r="A289" s="2"/>
      <c r="B289" s="2"/>
      <c r="C289" s="3"/>
      <c r="D289" s="3"/>
      <c r="E289" s="2"/>
      <c r="F289" s="2"/>
      <c r="G289" s="5"/>
      <c r="H289" s="5"/>
      <c r="I289" s="4"/>
      <c r="J289" s="6" t="str">
        <f t="shared" si="14"/>
        <v/>
      </c>
      <c r="K289" s="4" t="str">
        <f t="shared" ca="1" si="16"/>
        <v/>
      </c>
      <c r="L289" s="7" t="str">
        <f>IF($H289="","",$H289-'[2]Read Me'!$B$4)</f>
        <v/>
      </c>
      <c r="M289" s="4" t="str">
        <f>IF($I289="Complete","Green",IF($H289="","Amber",IF($H289&lt;'[2]Read Me'!$B$4,"Red",IF($H289-'[2]Read Me'!$B$4&lt;=21,"Amber","Green"))))</f>
        <v>Amber</v>
      </c>
      <c r="N289" s="3"/>
      <c r="O289" t="str">
        <f>IF($I289&lt;&gt;"Complete",IF(COUNTIFS($A$4:$A288,$A289,$B$4:$B288,$B289,$I$4:$I288,"&lt;&gt;Complete")=0,$A289&amp;"|"&amp;$B289,""),"")</f>
        <v>|</v>
      </c>
      <c r="P289" t="str">
        <f ca="1">IF($K289="Yes",COUNTIFS($K$4:$K289,"Yes"),"")</f>
        <v/>
      </c>
      <c r="Q289">
        <f t="shared" ca="1" si="15"/>
        <v>0</v>
      </c>
      <c r="R289" t="str">
        <f ca="1">IF($Q289=1,SUM($Q$4:$Q289),"")</f>
        <v/>
      </c>
    </row>
    <row r="290" spans="1:18" ht="14.25" customHeight="1" x14ac:dyDescent="0.3">
      <c r="A290" s="2"/>
      <c r="B290" s="2"/>
      <c r="C290" s="3"/>
      <c r="D290" s="3"/>
      <c r="E290" s="2"/>
      <c r="F290" s="2"/>
      <c r="G290" s="5"/>
      <c r="H290" s="5"/>
      <c r="I290" s="4"/>
      <c r="J290" s="6" t="str">
        <f t="shared" si="14"/>
        <v/>
      </c>
      <c r="K290" s="4" t="str">
        <f t="shared" ca="1" si="16"/>
        <v/>
      </c>
      <c r="L290" s="7" t="str">
        <f>IF($H290="","",$H290-'[2]Read Me'!$B$4)</f>
        <v/>
      </c>
      <c r="M290" s="4" t="str">
        <f>IF($I290="Complete","Green",IF($H290="","Amber",IF($H290&lt;'[2]Read Me'!$B$4,"Red",IF($H290-'[2]Read Me'!$B$4&lt;=21,"Amber","Green"))))</f>
        <v>Amber</v>
      </c>
      <c r="N290" s="3"/>
      <c r="O290" t="str">
        <f>IF($I290&lt;&gt;"Complete",IF(COUNTIFS($A$4:$A289,$A290,$B$4:$B289,$B290,$I$4:$I289,"&lt;&gt;Complete")=0,$A290&amp;"|"&amp;$B290,""),"")</f>
        <v>|</v>
      </c>
      <c r="P290" t="str">
        <f ca="1">IF($K290="Yes",COUNTIFS($K$4:$K290,"Yes"),"")</f>
        <v/>
      </c>
      <c r="Q290">
        <f t="shared" ca="1" si="15"/>
        <v>0</v>
      </c>
      <c r="R290" t="str">
        <f ca="1">IF($Q290=1,SUM($Q$4:$Q290),"")</f>
        <v/>
      </c>
    </row>
    <row r="291" spans="1:18" ht="14.25" customHeight="1" x14ac:dyDescent="0.3">
      <c r="A291" s="2"/>
      <c r="B291" s="2"/>
      <c r="C291" s="3"/>
      <c r="D291" s="3"/>
      <c r="E291" s="2"/>
      <c r="F291" s="2"/>
      <c r="G291" s="5"/>
      <c r="H291" s="5"/>
      <c r="I291" s="4"/>
      <c r="J291" s="6" t="str">
        <f t="shared" si="14"/>
        <v/>
      </c>
      <c r="K291" s="4" t="str">
        <f t="shared" ca="1" si="16"/>
        <v/>
      </c>
      <c r="L291" s="7" t="str">
        <f>IF($H291="","",$H291-'[2]Read Me'!$B$4)</f>
        <v/>
      </c>
      <c r="M291" s="4" t="str">
        <f>IF($I291="Complete","Green",IF($H291="","Amber",IF($H291&lt;'[2]Read Me'!$B$4,"Red",IF($H291-'[2]Read Me'!$B$4&lt;=21,"Amber","Green"))))</f>
        <v>Amber</v>
      </c>
      <c r="N291" s="3"/>
      <c r="O291" t="str">
        <f>IF($I291&lt;&gt;"Complete",IF(COUNTIFS($A$4:$A290,$A291,$B$4:$B290,$B291,$I$4:$I290,"&lt;&gt;Complete")=0,$A291&amp;"|"&amp;$B291,""),"")</f>
        <v>|</v>
      </c>
      <c r="P291" t="str">
        <f ca="1">IF($K291="Yes",COUNTIFS($K$4:$K291,"Yes"),"")</f>
        <v/>
      </c>
      <c r="Q291">
        <f t="shared" ca="1" si="15"/>
        <v>0</v>
      </c>
      <c r="R291" t="str">
        <f ca="1">IF($Q291=1,SUM($Q$4:$Q291),"")</f>
        <v/>
      </c>
    </row>
    <row r="292" spans="1:18" ht="14.25" customHeight="1" x14ac:dyDescent="0.3">
      <c r="A292" s="2"/>
      <c r="B292" s="2"/>
      <c r="C292" s="3"/>
      <c r="D292" s="3"/>
      <c r="E292" s="2"/>
      <c r="F292" s="2"/>
      <c r="G292" s="5"/>
      <c r="H292" s="5"/>
      <c r="I292" s="4"/>
      <c r="J292" s="6" t="str">
        <f t="shared" si="14"/>
        <v/>
      </c>
      <c r="K292" s="4" t="str">
        <f t="shared" ca="1" si="16"/>
        <v/>
      </c>
      <c r="L292" s="7" t="str">
        <f>IF($H292="","",$H292-'[2]Read Me'!$B$4)</f>
        <v/>
      </c>
      <c r="M292" s="4" t="str">
        <f>IF($I292="Complete","Green",IF($H292="","Amber",IF($H292&lt;'[2]Read Me'!$B$4,"Red",IF($H292-'[2]Read Me'!$B$4&lt;=21,"Amber","Green"))))</f>
        <v>Amber</v>
      </c>
      <c r="N292" s="3"/>
      <c r="O292" t="str">
        <f>IF($I292&lt;&gt;"Complete",IF(COUNTIFS($A$4:$A291,$A292,$B$4:$B291,$B292,$I$4:$I291,"&lt;&gt;Complete")=0,$A292&amp;"|"&amp;$B292,""),"")</f>
        <v>|</v>
      </c>
      <c r="P292" t="str">
        <f ca="1">IF($K292="Yes",COUNTIFS($K$4:$K292,"Yes"),"")</f>
        <v/>
      </c>
      <c r="Q292">
        <f t="shared" ca="1" si="15"/>
        <v>0</v>
      </c>
      <c r="R292" t="str">
        <f ca="1">IF($Q292=1,SUM($Q$4:$Q292),"")</f>
        <v/>
      </c>
    </row>
    <row r="293" spans="1:18" ht="22.5" customHeight="1" x14ac:dyDescent="0.3">
      <c r="A293" s="2"/>
      <c r="B293" s="2"/>
      <c r="C293" s="3"/>
      <c r="D293" s="3"/>
      <c r="E293" s="2"/>
      <c r="F293" s="2"/>
      <c r="G293" s="5"/>
      <c r="H293" s="5"/>
      <c r="I293" s="4"/>
      <c r="J293" s="6" t="str">
        <f t="shared" si="14"/>
        <v/>
      </c>
      <c r="K293" s="4" t="str">
        <f t="shared" ca="1" si="16"/>
        <v/>
      </c>
      <c r="L293" s="7" t="str">
        <f>IF($H293="","",$H293-'[2]Read Me'!$B$4)</f>
        <v/>
      </c>
      <c r="M293" s="4" t="str">
        <f>IF($I293="Complete","Green",IF($H293="","Amber",IF($H293&lt;'[2]Read Me'!$B$4,"Red",IF($H293-'[2]Read Me'!$B$4&lt;=21,"Amber","Green"))))</f>
        <v>Amber</v>
      </c>
      <c r="N293" s="3"/>
      <c r="O293" t="str">
        <f>IF($I293&lt;&gt;"Complete",IF(COUNTIFS($A$4:$A292,$A293,$B$4:$B292,$B293,$I$4:$I292,"&lt;&gt;Complete")=0,$A293&amp;"|"&amp;$B293,""),"")</f>
        <v>|</v>
      </c>
      <c r="P293" t="str">
        <f ca="1">IF($K293="Yes",COUNTIFS($K$4:$K293,"Yes"),"")</f>
        <v/>
      </c>
      <c r="Q293">
        <f t="shared" ca="1" si="15"/>
        <v>0</v>
      </c>
      <c r="R293" t="str">
        <f ca="1">IF($Q293=1,SUM($Q$4:$Q293),"")</f>
        <v/>
      </c>
    </row>
    <row r="294" spans="1:18" ht="22.5" customHeight="1" x14ac:dyDescent="0.3">
      <c r="A294" s="2"/>
      <c r="B294" s="2"/>
      <c r="C294" s="3"/>
      <c r="D294" s="3"/>
      <c r="E294" s="2"/>
      <c r="F294" s="2"/>
      <c r="G294" s="5"/>
      <c r="H294" s="5"/>
      <c r="I294" s="4"/>
      <c r="J294" s="6" t="str">
        <f t="shared" si="14"/>
        <v/>
      </c>
      <c r="K294" s="4" t="str">
        <f t="shared" ca="1" si="16"/>
        <v/>
      </c>
      <c r="L294" s="7" t="str">
        <f>IF($H294="","",$H294-'[2]Read Me'!$B$4)</f>
        <v/>
      </c>
      <c r="M294" s="4" t="str">
        <f>IF($I294="Complete","Green",IF($H294="","Amber",IF($H294&lt;'[2]Read Me'!$B$4,"Red",IF($H294-'[2]Read Me'!$B$4&lt;=21,"Amber","Green"))))</f>
        <v>Amber</v>
      </c>
      <c r="N294" s="3"/>
      <c r="O294" t="str">
        <f>IF($I294&lt;&gt;"Complete",IF(COUNTIFS($A$4:$A293,$A294,$B$4:$B293,$B294,$I$4:$I293,"&lt;&gt;Complete")=0,$A294&amp;"|"&amp;$B294,""),"")</f>
        <v>|</v>
      </c>
      <c r="P294" t="str">
        <f ca="1">IF($K294="Yes",COUNTIFS($K$4:$K294,"Yes"),"")</f>
        <v/>
      </c>
      <c r="Q294">
        <f t="shared" ca="1" si="15"/>
        <v>0</v>
      </c>
      <c r="R294" t="str">
        <f ca="1">IF($Q294=1,SUM($Q$4:$Q294),"")</f>
        <v/>
      </c>
    </row>
    <row r="295" spans="1:18" ht="22.5" customHeight="1" x14ac:dyDescent="0.3">
      <c r="A295" s="2"/>
      <c r="B295" s="2"/>
      <c r="C295" s="3"/>
      <c r="D295" s="3"/>
      <c r="E295" s="2"/>
      <c r="F295" s="2"/>
      <c r="G295" s="5"/>
      <c r="H295" s="5"/>
      <c r="I295" s="4"/>
      <c r="J295" s="6" t="str">
        <f t="shared" si="14"/>
        <v/>
      </c>
      <c r="K295" s="4" t="str">
        <f t="shared" ca="1" si="16"/>
        <v/>
      </c>
      <c r="L295" s="7" t="str">
        <f>IF($H295="","",$H295-'[2]Read Me'!$B$4)</f>
        <v/>
      </c>
      <c r="M295" s="4" t="str">
        <f>IF($I295="Complete","Green",IF($H295="","Amber",IF($H295&lt;'[2]Read Me'!$B$4,"Red",IF($H295-'[2]Read Me'!$B$4&lt;=21,"Amber","Green"))))</f>
        <v>Amber</v>
      </c>
      <c r="N295" s="3"/>
      <c r="O295" t="str">
        <f>IF($I295&lt;&gt;"Complete",IF(COUNTIFS($A$4:$A294,$A295,$B$4:$B294,$B295,$I$4:$I294,"&lt;&gt;Complete")=0,$A295&amp;"|"&amp;$B295,""),"")</f>
        <v>|</v>
      </c>
      <c r="P295" t="str">
        <f ca="1">IF($K295="Yes",COUNTIFS($K$4:$K295,"Yes"),"")</f>
        <v/>
      </c>
      <c r="Q295">
        <f t="shared" ca="1" si="15"/>
        <v>0</v>
      </c>
      <c r="R295" t="str">
        <f ca="1">IF($Q295=1,SUM($Q$4:$Q295),"")</f>
        <v/>
      </c>
    </row>
    <row r="296" spans="1:18" ht="22.5" customHeight="1" x14ac:dyDescent="0.3">
      <c r="A296" s="2"/>
      <c r="B296" s="2"/>
      <c r="C296" s="3"/>
      <c r="D296" s="3"/>
      <c r="E296" s="2"/>
      <c r="F296" s="2"/>
      <c r="G296" s="5"/>
      <c r="H296" s="5"/>
      <c r="I296" s="4"/>
      <c r="J296" s="6" t="str">
        <f t="shared" si="14"/>
        <v/>
      </c>
      <c r="K296" s="4" t="str">
        <f t="shared" ca="1" si="16"/>
        <v/>
      </c>
      <c r="L296" s="7" t="str">
        <f>IF($H296="","",$H296-'[2]Read Me'!$B$4)</f>
        <v/>
      </c>
      <c r="M296" s="4" t="str">
        <f>IF($I296="Complete","Green",IF($H296="","Amber",IF($H296&lt;'[2]Read Me'!$B$4,"Red",IF($H296-'[2]Read Me'!$B$4&lt;=21,"Amber","Green"))))</f>
        <v>Amber</v>
      </c>
      <c r="N296" s="3"/>
      <c r="O296" t="str">
        <f>IF($I296&lt;&gt;"Complete",IF(COUNTIFS($A$4:$A295,$A296,$B$4:$B295,$B296,$I$4:$I295,"&lt;&gt;Complete")=0,$A296&amp;"|"&amp;$B296,""),"")</f>
        <v>|</v>
      </c>
      <c r="P296" t="str">
        <f ca="1">IF($K296="Yes",COUNTIFS($K$4:$K296,"Yes"),"")</f>
        <v/>
      </c>
      <c r="Q296">
        <f t="shared" ca="1" si="15"/>
        <v>0</v>
      </c>
      <c r="R296" t="str">
        <f ca="1">IF($Q296=1,SUM($Q$4:$Q296),"")</f>
        <v/>
      </c>
    </row>
    <row r="297" spans="1:18" ht="22.5" customHeight="1" x14ac:dyDescent="0.3">
      <c r="A297" s="2"/>
      <c r="B297" s="2"/>
      <c r="C297" s="3"/>
      <c r="D297" s="3"/>
      <c r="E297" s="2"/>
      <c r="F297" s="2"/>
      <c r="G297" s="5"/>
      <c r="H297" s="5"/>
      <c r="I297" s="4"/>
      <c r="J297" s="6" t="str">
        <f t="shared" si="14"/>
        <v/>
      </c>
      <c r="K297" s="4" t="str">
        <f t="shared" ca="1" si="16"/>
        <v/>
      </c>
      <c r="L297" s="7" t="str">
        <f>IF($H297="","",$H297-'[2]Read Me'!$B$4)</f>
        <v/>
      </c>
      <c r="M297" s="4" t="str">
        <f>IF($I297="Complete","Green",IF($H297="","Amber",IF($H297&lt;'[2]Read Me'!$B$4,"Red",IF($H297-'[2]Read Me'!$B$4&lt;=21,"Amber","Green"))))</f>
        <v>Amber</v>
      </c>
      <c r="N297" s="3"/>
      <c r="O297" t="str">
        <f>IF($I297&lt;&gt;"Complete",IF(COUNTIFS($A$4:$A296,$A297,$B$4:$B296,$B297,$I$4:$I296,"&lt;&gt;Complete")=0,$A297&amp;"|"&amp;$B297,""),"")</f>
        <v>|</v>
      </c>
      <c r="P297" t="str">
        <f ca="1">IF($K297="Yes",COUNTIFS($K$4:$K297,"Yes"),"")</f>
        <v/>
      </c>
      <c r="Q297">
        <f t="shared" ca="1" si="15"/>
        <v>0</v>
      </c>
      <c r="R297" t="str">
        <f ca="1">IF($Q297=1,SUM($Q$4:$Q297),"")</f>
        <v/>
      </c>
    </row>
    <row r="298" spans="1:18" ht="22.5" customHeight="1" x14ac:dyDescent="0.3">
      <c r="A298" s="2"/>
      <c r="B298" s="2"/>
      <c r="C298" s="3"/>
      <c r="D298" s="3"/>
      <c r="E298" s="2"/>
      <c r="F298" s="2"/>
      <c r="G298" s="5"/>
      <c r="H298" s="5"/>
      <c r="I298" s="4"/>
      <c r="J298" s="6" t="str">
        <f t="shared" si="14"/>
        <v/>
      </c>
      <c r="K298" s="4" t="str">
        <f t="shared" ca="1" si="16"/>
        <v/>
      </c>
      <c r="L298" s="7" t="str">
        <f>IF($H298="","",$H298-'[2]Read Me'!$B$4)</f>
        <v/>
      </c>
      <c r="M298" s="4" t="str">
        <f>IF($I298="Complete","Green",IF($H298="","Amber",IF($H298&lt;'[2]Read Me'!$B$4,"Red",IF($H298-'[2]Read Me'!$B$4&lt;=21,"Amber","Green"))))</f>
        <v>Amber</v>
      </c>
      <c r="N298" s="3"/>
      <c r="O298" t="str">
        <f>IF($I298&lt;&gt;"Complete",IF(COUNTIFS($A$4:$A297,$A298,$B$4:$B297,$B298,$I$4:$I297,"&lt;&gt;Complete")=0,$A298&amp;"|"&amp;$B298,""),"")</f>
        <v>|</v>
      </c>
      <c r="P298" t="str">
        <f ca="1">IF($K298="Yes",COUNTIFS($K$4:$K298,"Yes"),"")</f>
        <v/>
      </c>
      <c r="Q298">
        <f t="shared" ca="1" si="15"/>
        <v>0</v>
      </c>
      <c r="R298" t="str">
        <f ca="1">IF($Q298=1,SUM($Q$4:$Q298),"")</f>
        <v/>
      </c>
    </row>
    <row r="299" spans="1:18" ht="22.5" customHeight="1" x14ac:dyDescent="0.3">
      <c r="A299" s="2"/>
      <c r="B299" s="2"/>
      <c r="C299" s="3"/>
      <c r="D299" s="3"/>
      <c r="E299" s="2"/>
      <c r="F299" s="2"/>
      <c r="G299" s="5"/>
      <c r="H299" s="5"/>
      <c r="I299" s="4"/>
      <c r="J299" s="6" t="str">
        <f t="shared" si="14"/>
        <v/>
      </c>
      <c r="K299" s="4" t="str">
        <f t="shared" ca="1" si="16"/>
        <v/>
      </c>
      <c r="L299" s="7" t="str">
        <f>IF($H299="","",$H299-'[2]Read Me'!$B$4)</f>
        <v/>
      </c>
      <c r="M299" s="4" t="str">
        <f>IF($I299="Complete","Green",IF($H299="","Amber",IF($H299&lt;'[2]Read Me'!$B$4,"Red",IF($H299-'[2]Read Me'!$B$4&lt;=21,"Amber","Green"))))</f>
        <v>Amber</v>
      </c>
      <c r="N299" s="3"/>
      <c r="O299" t="str">
        <f>IF($I299&lt;&gt;"Complete",IF(COUNTIFS($A$4:$A298,$A299,$B$4:$B298,$B299,$I$4:$I298,"&lt;&gt;Complete")=0,$A299&amp;"|"&amp;$B299,""),"")</f>
        <v>|</v>
      </c>
      <c r="P299" t="str">
        <f ca="1">IF($K299="Yes",COUNTIFS($K$4:$K299,"Yes"),"")</f>
        <v/>
      </c>
      <c r="Q299">
        <f t="shared" ca="1" si="15"/>
        <v>0</v>
      </c>
      <c r="R299" t="str">
        <f ca="1">IF($Q299=1,SUM($Q$4:$Q299),"")</f>
        <v/>
      </c>
    </row>
    <row r="300" spans="1:18" ht="22.5" customHeight="1" x14ac:dyDescent="0.3">
      <c r="A300" s="2"/>
      <c r="B300" s="2"/>
      <c r="C300" s="3"/>
      <c r="D300" s="3"/>
      <c r="E300" s="2"/>
      <c r="F300" s="2"/>
      <c r="G300" s="5"/>
      <c r="H300" s="5"/>
      <c r="I300" s="4"/>
      <c r="J300" s="6" t="str">
        <f t="shared" si="14"/>
        <v/>
      </c>
      <c r="K300" s="4" t="str">
        <f t="shared" ca="1" si="16"/>
        <v/>
      </c>
      <c r="L300" s="7" t="str">
        <f>IF($H300="","",$H300-'[2]Read Me'!$B$4)</f>
        <v/>
      </c>
      <c r="M300" s="4" t="str">
        <f>IF($I300="Complete","Green",IF($H300="","Amber",IF($H300&lt;'[2]Read Me'!$B$4,"Red",IF($H300-'[2]Read Me'!$B$4&lt;=21,"Amber","Green"))))</f>
        <v>Amber</v>
      </c>
      <c r="N300" s="3"/>
      <c r="O300" t="str">
        <f>IF($I300&lt;&gt;"Complete",IF(COUNTIFS($A$4:$A299,$A300,$B$4:$B299,$B300,$I$4:$I299,"&lt;&gt;Complete")=0,$A300&amp;"|"&amp;$B300,""),"")</f>
        <v>|</v>
      </c>
      <c r="P300" t="str">
        <f ca="1">IF($K300="Yes",COUNTIFS($K$4:$K300,"Yes"),"")</f>
        <v/>
      </c>
      <c r="Q300">
        <f t="shared" ca="1" si="15"/>
        <v>0</v>
      </c>
      <c r="R300" t="str">
        <f ca="1">IF($Q300=1,SUM($Q$4:$Q300),"")</f>
        <v/>
      </c>
    </row>
    <row r="301" spans="1:18" ht="22.5" customHeight="1" x14ac:dyDescent="0.3">
      <c r="A301" s="2"/>
      <c r="B301" s="2"/>
      <c r="C301" s="3"/>
      <c r="D301" s="3"/>
      <c r="E301" s="2"/>
      <c r="F301" s="2"/>
      <c r="G301" s="5"/>
      <c r="H301" s="5"/>
      <c r="I301" s="4"/>
      <c r="J301" s="6" t="str">
        <f t="shared" si="14"/>
        <v/>
      </c>
      <c r="K301" s="4" t="str">
        <f t="shared" ca="1" si="16"/>
        <v/>
      </c>
      <c r="L301" s="7" t="str">
        <f>IF($H301="","",$H301-'[2]Read Me'!$B$4)</f>
        <v/>
      </c>
      <c r="M301" s="4" t="str">
        <f>IF($I301="Complete","Green",IF($H301="","Amber",IF($H301&lt;'[2]Read Me'!$B$4,"Red",IF($H301-'[2]Read Me'!$B$4&lt;=21,"Amber","Green"))))</f>
        <v>Amber</v>
      </c>
      <c r="N301" s="3"/>
      <c r="O301" t="str">
        <f>IF($I301&lt;&gt;"Complete",IF(COUNTIFS($A$4:$A300,$A301,$B$4:$B300,$B301,$I$4:$I300,"&lt;&gt;Complete")=0,$A301&amp;"|"&amp;$B301,""),"")</f>
        <v>|</v>
      </c>
      <c r="P301" t="str">
        <f ca="1">IF($K301="Yes",COUNTIFS($K$4:$K301,"Yes"),"")</f>
        <v/>
      </c>
      <c r="Q301">
        <f t="shared" ca="1" si="15"/>
        <v>0</v>
      </c>
      <c r="R301" t="str">
        <f ca="1">IF($Q301=1,SUM($Q$4:$Q301),"")</f>
        <v/>
      </c>
    </row>
    <row r="302" spans="1:18" ht="22.5" customHeight="1" x14ac:dyDescent="0.3">
      <c r="A302" s="2"/>
      <c r="B302" s="2"/>
      <c r="C302" s="3"/>
      <c r="D302" s="3"/>
      <c r="E302" s="2"/>
      <c r="F302" s="2"/>
      <c r="G302" s="5"/>
      <c r="H302" s="5"/>
      <c r="I302" s="4"/>
      <c r="J302" s="6" t="str">
        <f t="shared" si="14"/>
        <v/>
      </c>
      <c r="K302" s="4" t="str">
        <f t="shared" ca="1" si="16"/>
        <v/>
      </c>
      <c r="L302" s="7" t="str">
        <f>IF($H302="","",$H302-'[2]Read Me'!$B$4)</f>
        <v/>
      </c>
      <c r="M302" s="4" t="str">
        <f>IF($I302="Complete","Green",IF($H302="","Amber",IF($H302&lt;'[2]Read Me'!$B$4,"Red",IF($H302-'[2]Read Me'!$B$4&lt;=21,"Amber","Green"))))</f>
        <v>Amber</v>
      </c>
      <c r="N302" s="3"/>
      <c r="O302" t="str">
        <f>IF($I302&lt;&gt;"Complete",IF(COUNTIFS($A$4:$A301,$A302,$B$4:$B301,$B302,$I$4:$I301,"&lt;&gt;Complete")=0,$A302&amp;"|"&amp;$B302,""),"")</f>
        <v>|</v>
      </c>
      <c r="P302" t="str">
        <f ca="1">IF($K302="Yes",COUNTIFS($K$4:$K302,"Yes"),"")</f>
        <v/>
      </c>
      <c r="Q302">
        <f t="shared" ca="1" si="15"/>
        <v>0</v>
      </c>
      <c r="R302" t="str">
        <f ca="1">IF($Q302=1,SUM($Q$4:$Q302),"")</f>
        <v/>
      </c>
    </row>
    <row r="303" spans="1:18" ht="22.5" customHeight="1" x14ac:dyDescent="0.3">
      <c r="A303" s="2"/>
      <c r="B303" s="2"/>
      <c r="C303" s="3"/>
      <c r="D303" s="3"/>
      <c r="E303" s="2"/>
      <c r="F303" s="2"/>
      <c r="G303" s="5"/>
      <c r="H303" s="5"/>
      <c r="I303" s="4"/>
      <c r="J303" s="6" t="str">
        <f t="shared" si="14"/>
        <v/>
      </c>
      <c r="K303" s="4" t="str">
        <f t="shared" ca="1" si="16"/>
        <v/>
      </c>
      <c r="L303" s="7" t="str">
        <f>IF($H303="","",$H303-'[2]Read Me'!$B$4)</f>
        <v/>
      </c>
      <c r="M303" s="4" t="str">
        <f>IF($I303="Complete","Green",IF($H303="","Amber",IF($H303&lt;'[2]Read Me'!$B$4,"Red",IF($H303-'[2]Read Me'!$B$4&lt;=21,"Amber","Green"))))</f>
        <v>Amber</v>
      </c>
      <c r="N303" s="3"/>
      <c r="O303" t="str">
        <f>IF($I303&lt;&gt;"Complete",IF(COUNTIFS($A$4:$A302,$A303,$B$4:$B302,$B303,$I$4:$I302,"&lt;&gt;Complete")=0,$A303&amp;"|"&amp;$B303,""),"")</f>
        <v>|</v>
      </c>
      <c r="P303" t="str">
        <f ca="1">IF($K303="Yes",COUNTIFS($K$4:$K303,"Yes"),"")</f>
        <v/>
      </c>
      <c r="Q303">
        <f t="shared" ca="1" si="15"/>
        <v>0</v>
      </c>
      <c r="R303" t="str">
        <f ca="1">IF($Q303=1,SUM($Q$4:$Q303),"")</f>
        <v/>
      </c>
    </row>
    <row r="304" spans="1:18" ht="22.5" customHeight="1" x14ac:dyDescent="0.3">
      <c r="A304" s="2"/>
      <c r="B304" s="2"/>
      <c r="C304" s="3"/>
      <c r="D304" s="3"/>
      <c r="E304" s="2"/>
      <c r="F304" s="2"/>
      <c r="G304" s="5"/>
      <c r="H304" s="5"/>
      <c r="I304" s="4"/>
      <c r="J304" s="6" t="str">
        <f t="shared" si="14"/>
        <v/>
      </c>
      <c r="K304" s="4" t="str">
        <f t="shared" ca="1" si="16"/>
        <v/>
      </c>
      <c r="L304" s="7" t="str">
        <f>IF($H304="","",$H304-'[2]Read Me'!$B$4)</f>
        <v/>
      </c>
      <c r="M304" s="4" t="str">
        <f>IF($I304="Complete","Green",IF($H304="","Amber",IF($H304&lt;'[2]Read Me'!$B$4,"Red",IF($H304-'[2]Read Me'!$B$4&lt;=21,"Amber","Green"))))</f>
        <v>Amber</v>
      </c>
      <c r="N304" s="3"/>
      <c r="O304" t="str">
        <f>IF($I304&lt;&gt;"Complete",IF(COUNTIFS($A$4:$A303,$A304,$B$4:$B303,$B304,$I$4:$I303,"&lt;&gt;Complete")=0,$A304&amp;"|"&amp;$B304,""),"")</f>
        <v>|</v>
      </c>
      <c r="P304" t="str">
        <f ca="1">IF($K304="Yes",COUNTIFS($K$4:$K304,"Yes"),"")</f>
        <v/>
      </c>
      <c r="Q304">
        <f t="shared" ca="1" si="15"/>
        <v>0</v>
      </c>
      <c r="R304" t="str">
        <f ca="1">IF($Q304=1,SUM($Q$4:$Q304),"")</f>
        <v/>
      </c>
    </row>
    <row r="305" spans="1:18" ht="22.5" customHeight="1" x14ac:dyDescent="0.3">
      <c r="A305" s="2"/>
      <c r="B305" s="2"/>
      <c r="C305" s="3"/>
      <c r="D305" s="3"/>
      <c r="E305" s="2"/>
      <c r="F305" s="2"/>
      <c r="G305" s="5"/>
      <c r="H305" s="5"/>
      <c r="I305" s="4"/>
      <c r="J305" s="6" t="str">
        <f t="shared" si="14"/>
        <v/>
      </c>
      <c r="K305" s="4" t="str">
        <f t="shared" ca="1" si="16"/>
        <v/>
      </c>
      <c r="L305" s="7" t="str">
        <f>IF($H305="","",$H305-'[2]Read Me'!$B$4)</f>
        <v/>
      </c>
      <c r="M305" s="4" t="str">
        <f>IF($I305="Complete","Green",IF($H305="","Amber",IF($H305&lt;'[2]Read Me'!$B$4,"Red",IF($H305-'[2]Read Me'!$B$4&lt;=21,"Amber","Green"))))</f>
        <v>Amber</v>
      </c>
      <c r="N305" s="3"/>
      <c r="O305" t="str">
        <f>IF($I305&lt;&gt;"Complete",IF(COUNTIFS($A$4:$A304,$A305,$B$4:$B304,$B305,$I$4:$I304,"&lt;&gt;Complete")=0,$A305&amp;"|"&amp;$B305,""),"")</f>
        <v>|</v>
      </c>
      <c r="P305" t="str">
        <f ca="1">IF($K305="Yes",COUNTIFS($K$4:$K305,"Yes"),"")</f>
        <v/>
      </c>
      <c r="Q305">
        <f t="shared" ca="1" si="15"/>
        <v>0</v>
      </c>
      <c r="R305" t="str">
        <f ca="1">IF($Q305=1,SUM($Q$4:$Q305),"")</f>
        <v/>
      </c>
    </row>
    <row r="306" spans="1:18" ht="22.5" customHeight="1" x14ac:dyDescent="0.3">
      <c r="A306" s="2"/>
      <c r="B306" s="2"/>
      <c r="C306" s="3"/>
      <c r="D306" s="3"/>
      <c r="E306" s="2"/>
      <c r="F306" s="2"/>
      <c r="G306" s="5"/>
      <c r="H306" s="5"/>
      <c r="I306" s="4"/>
      <c r="J306" s="6" t="str">
        <f t="shared" si="14"/>
        <v/>
      </c>
      <c r="K306" s="4" t="str">
        <f t="shared" ca="1" si="16"/>
        <v/>
      </c>
      <c r="L306" s="7" t="str">
        <f>IF($H306="","",$H306-'[2]Read Me'!$B$4)</f>
        <v/>
      </c>
      <c r="M306" s="4" t="str">
        <f>IF($I306="Complete","Green",IF($H306="","Amber",IF($H306&lt;'[2]Read Me'!$B$4,"Red",IF($H306-'[2]Read Me'!$B$4&lt;=21,"Amber","Green"))))</f>
        <v>Amber</v>
      </c>
      <c r="N306" s="3"/>
      <c r="O306" t="str">
        <f>IF($I306&lt;&gt;"Complete",IF(COUNTIFS($A$4:$A305,$A306,$B$4:$B305,$B306,$I$4:$I305,"&lt;&gt;Complete")=0,$A306&amp;"|"&amp;$B306,""),"")</f>
        <v>|</v>
      </c>
      <c r="P306" t="str">
        <f ca="1">IF($K306="Yes",COUNTIFS($K$4:$K306,"Yes"),"")</f>
        <v/>
      </c>
      <c r="Q306">
        <f t="shared" ca="1" si="15"/>
        <v>0</v>
      </c>
      <c r="R306" t="str">
        <f ca="1">IF($Q306=1,SUM($Q$4:$Q306),"")</f>
        <v/>
      </c>
    </row>
    <row r="307" spans="1:18" ht="22.5" customHeight="1" x14ac:dyDescent="0.3">
      <c r="A307" s="2"/>
      <c r="B307" s="2"/>
      <c r="C307" s="3"/>
      <c r="D307" s="3"/>
      <c r="E307" s="2"/>
      <c r="F307" s="2"/>
      <c r="G307" s="5"/>
      <c r="H307" s="5"/>
      <c r="I307" s="4"/>
      <c r="J307" s="6" t="str">
        <f t="shared" si="14"/>
        <v/>
      </c>
      <c r="K307" s="4" t="str">
        <f t="shared" ca="1" si="16"/>
        <v/>
      </c>
      <c r="L307" s="7" t="str">
        <f>IF($H307="","",$H307-'[2]Read Me'!$B$4)</f>
        <v/>
      </c>
      <c r="M307" s="4" t="str">
        <f>IF($I307="Complete","Green",IF($H307="","Amber",IF($H307&lt;'[2]Read Me'!$B$4,"Red",IF($H307-'[2]Read Me'!$B$4&lt;=21,"Amber","Green"))))</f>
        <v>Amber</v>
      </c>
      <c r="N307" s="3"/>
      <c r="O307" t="str">
        <f>IF($I307&lt;&gt;"Complete",IF(COUNTIFS($A$4:$A306,$A307,$B$4:$B306,$B307,$I$4:$I306,"&lt;&gt;Complete")=0,$A307&amp;"|"&amp;$B307,""),"")</f>
        <v>|</v>
      </c>
      <c r="P307" t="str">
        <f ca="1">IF($K307="Yes",COUNTIFS($K$4:$K307,"Yes"),"")</f>
        <v/>
      </c>
      <c r="Q307">
        <f t="shared" ca="1" si="15"/>
        <v>0</v>
      </c>
      <c r="R307" t="str">
        <f ca="1">IF($Q307=1,SUM($Q$4:$Q307),"")</f>
        <v/>
      </c>
    </row>
    <row r="308" spans="1:18" ht="22.5" customHeight="1" x14ac:dyDescent="0.3">
      <c r="A308" s="2"/>
      <c r="B308" s="2"/>
      <c r="C308" s="3"/>
      <c r="D308" s="3"/>
      <c r="E308" s="2"/>
      <c r="F308" s="2"/>
      <c r="G308" s="5"/>
      <c r="H308" s="5"/>
      <c r="I308" s="4"/>
      <c r="J308" s="6" t="str">
        <f t="shared" si="14"/>
        <v/>
      </c>
      <c r="K308" s="4" t="str">
        <f t="shared" ca="1" si="16"/>
        <v/>
      </c>
      <c r="L308" s="7" t="str">
        <f>IF($H308="","",$H308-'[2]Read Me'!$B$4)</f>
        <v/>
      </c>
      <c r="M308" s="4" t="str">
        <f>IF($I308="Complete","Green",IF($H308="","Amber",IF($H308&lt;'[2]Read Me'!$B$4,"Red",IF($H308-'[2]Read Me'!$B$4&lt;=21,"Amber","Green"))))</f>
        <v>Amber</v>
      </c>
      <c r="N308" s="3"/>
      <c r="O308" t="str">
        <f>IF($I308&lt;&gt;"Complete",IF(COUNTIFS($A$4:$A307,$A308,$B$4:$B307,$B308,$I$4:$I307,"&lt;&gt;Complete")=0,$A308&amp;"|"&amp;$B308,""),"")</f>
        <v>|</v>
      </c>
      <c r="P308" t="str">
        <f ca="1">IF($K308="Yes",COUNTIFS($K$4:$K308,"Yes"),"")</f>
        <v/>
      </c>
      <c r="Q308">
        <f t="shared" ca="1" si="15"/>
        <v>0</v>
      </c>
      <c r="R308" t="str">
        <f ca="1">IF($Q308=1,SUM($Q$4:$Q308),"")</f>
        <v/>
      </c>
    </row>
    <row r="309" spans="1:18" ht="22.5" customHeight="1" x14ac:dyDescent="0.3">
      <c r="A309" s="2"/>
      <c r="B309" s="2"/>
      <c r="C309" s="3"/>
      <c r="D309" s="3"/>
      <c r="E309" s="2"/>
      <c r="F309" s="2"/>
      <c r="G309" s="5"/>
      <c r="H309" s="5"/>
      <c r="I309" s="4"/>
      <c r="J309" s="6" t="str">
        <f t="shared" si="14"/>
        <v/>
      </c>
      <c r="K309" s="4" t="str">
        <f t="shared" ca="1" si="16"/>
        <v/>
      </c>
      <c r="L309" s="7" t="str">
        <f>IF($H309="","",$H309-'[2]Read Me'!$B$4)</f>
        <v/>
      </c>
      <c r="M309" s="4" t="str">
        <f>IF($I309="Complete","Green",IF($H309="","Amber",IF($H309&lt;'[2]Read Me'!$B$4,"Red",IF($H309-'[2]Read Me'!$B$4&lt;=21,"Amber","Green"))))</f>
        <v>Amber</v>
      </c>
      <c r="N309" s="3"/>
      <c r="O309" t="str">
        <f>IF($I309&lt;&gt;"Complete",IF(COUNTIFS($A$4:$A308,$A309,$B$4:$B308,$B309,$I$4:$I308,"&lt;&gt;Complete")=0,$A309&amp;"|"&amp;$B309,""),"")</f>
        <v>|</v>
      </c>
      <c r="P309" t="str">
        <f ca="1">IF($K309="Yes",COUNTIFS($K$4:$K309,"Yes"),"")</f>
        <v/>
      </c>
      <c r="Q309">
        <f t="shared" ca="1" si="15"/>
        <v>0</v>
      </c>
      <c r="R309" t="str">
        <f ca="1">IF($Q309=1,SUM($Q$4:$Q309),"")</f>
        <v/>
      </c>
    </row>
    <row r="310" spans="1:18" ht="14.25" customHeight="1" x14ac:dyDescent="0.3">
      <c r="A310" s="2"/>
      <c r="B310" s="2"/>
      <c r="C310" s="3"/>
      <c r="D310" s="3"/>
      <c r="E310" s="2"/>
      <c r="F310" s="2"/>
      <c r="G310" s="5"/>
      <c r="H310" s="5"/>
      <c r="I310" s="4"/>
      <c r="J310" s="6" t="str">
        <f t="shared" si="14"/>
        <v/>
      </c>
      <c r="K310" s="4" t="str">
        <f t="shared" ca="1" si="16"/>
        <v/>
      </c>
      <c r="L310" s="7" t="str">
        <f>IF($H310="","",$H310-'[2]Read Me'!$B$4)</f>
        <v/>
      </c>
      <c r="M310" s="4" t="str">
        <f>IF($I310="Complete","Green",IF($H310="","Amber",IF($H310&lt;'[2]Read Me'!$B$4,"Red",IF($H310-'[2]Read Me'!$B$4&lt;=21,"Amber","Green"))))</f>
        <v>Amber</v>
      </c>
      <c r="N310" s="3"/>
      <c r="O310" t="str">
        <f>IF($I310&lt;&gt;"Complete",IF(COUNTIFS($A$4:$A309,$A310,$B$4:$B309,$B310,$I$4:$I309,"&lt;&gt;Complete")=0,$A310&amp;"|"&amp;$B310,""),"")</f>
        <v>|</v>
      </c>
      <c r="P310" t="str">
        <f ca="1">IF($K310="Yes",COUNTIFS($K$4:$K310,"Yes"),"")</f>
        <v/>
      </c>
      <c r="Q310">
        <f t="shared" ca="1" si="15"/>
        <v>0</v>
      </c>
      <c r="R310" t="str">
        <f ca="1">IF($Q310=1,SUM($Q$4:$Q310),"")</f>
        <v/>
      </c>
    </row>
    <row r="311" spans="1:18" ht="14.25" customHeight="1" x14ac:dyDescent="0.3">
      <c r="A311" s="2"/>
      <c r="B311" s="2"/>
      <c r="C311" s="3"/>
      <c r="D311" s="3"/>
      <c r="E311" s="2"/>
      <c r="F311" s="2"/>
      <c r="G311" s="5"/>
      <c r="H311" s="5"/>
      <c r="I311" s="4"/>
      <c r="J311" s="6" t="str">
        <f t="shared" si="14"/>
        <v/>
      </c>
      <c r="K311" s="4" t="str">
        <f t="shared" ca="1" si="16"/>
        <v/>
      </c>
      <c r="L311" s="7" t="str">
        <f>IF($H311="","",$H311-'[2]Read Me'!$B$4)</f>
        <v/>
      </c>
      <c r="M311" s="4" t="str">
        <f>IF($I311="Complete","Green",IF($H311="","Amber",IF($H311&lt;'[2]Read Me'!$B$4,"Red",IF($H311-'[2]Read Me'!$B$4&lt;=21,"Amber","Green"))))</f>
        <v>Amber</v>
      </c>
      <c r="N311" s="3"/>
      <c r="O311" t="str">
        <f>IF($I311&lt;&gt;"Complete",IF(COUNTIFS($A$4:$A310,$A311,$B$4:$B310,$B311,$I$4:$I310,"&lt;&gt;Complete")=0,$A311&amp;"|"&amp;$B311,""),"")</f>
        <v>|</v>
      </c>
      <c r="P311" t="str">
        <f ca="1">IF($K311="Yes",COUNTIFS($K$4:$K311,"Yes"),"")</f>
        <v/>
      </c>
      <c r="Q311">
        <f t="shared" ca="1" si="15"/>
        <v>0</v>
      </c>
      <c r="R311" t="str">
        <f ca="1">IF($Q311=1,SUM($Q$4:$Q311),"")</f>
        <v/>
      </c>
    </row>
    <row r="312" spans="1:18" ht="14.25" customHeight="1" x14ac:dyDescent="0.3">
      <c r="A312" s="2"/>
      <c r="B312" s="2"/>
      <c r="C312" s="3"/>
      <c r="D312" s="3"/>
      <c r="E312" s="2"/>
      <c r="F312" s="2"/>
      <c r="G312" s="5"/>
      <c r="H312" s="5"/>
      <c r="I312" s="4"/>
      <c r="J312" s="6" t="str">
        <f t="shared" si="14"/>
        <v/>
      </c>
      <c r="K312" s="4" t="str">
        <f t="shared" ca="1" si="16"/>
        <v/>
      </c>
      <c r="L312" s="7" t="str">
        <f>IF($H312="","",$H312-'[2]Read Me'!$B$4)</f>
        <v/>
      </c>
      <c r="M312" s="4" t="str">
        <f>IF($I312="Complete","Green",IF($H312="","Amber",IF($H312&lt;'[2]Read Me'!$B$4,"Red",IF($H312-'[2]Read Me'!$B$4&lt;=21,"Amber","Green"))))</f>
        <v>Amber</v>
      </c>
      <c r="N312" s="3"/>
      <c r="O312" t="str">
        <f>IF($I312&lt;&gt;"Complete",IF(COUNTIFS($A$4:$A311,$A312,$B$4:$B311,$B312,$I$4:$I311,"&lt;&gt;Complete")=0,$A312&amp;"|"&amp;$B312,""),"")</f>
        <v>|</v>
      </c>
      <c r="P312" t="str">
        <f ca="1">IF($K312="Yes",COUNTIFS($K$4:$K312,"Yes"),"")</f>
        <v/>
      </c>
      <c r="Q312">
        <f t="shared" ca="1" si="15"/>
        <v>0</v>
      </c>
      <c r="R312" t="str">
        <f ca="1">IF($Q312=1,SUM($Q$4:$Q312),"")</f>
        <v/>
      </c>
    </row>
  </sheetData>
  <autoFilter ref="A3:N312" xr:uid="{00000000-0001-0000-0700-000000000000}"/>
  <mergeCells count="1">
    <mergeCell ref="A2:N2"/>
  </mergeCells>
  <conditionalFormatting sqref="A4:A2000">
    <cfRule type="expression" dxfId="65" priority="22" stopIfTrue="1">
      <formula>A4=""</formula>
    </cfRule>
    <cfRule type="expression" dxfId="64" priority="24">
      <formula>C4=""</formula>
    </cfRule>
  </conditionalFormatting>
  <conditionalFormatting sqref="B4:H2000">
    <cfRule type="expression" dxfId="63" priority="9" stopIfTrue="1">
      <formula>$A4=""</formula>
    </cfRule>
    <cfRule type="expression" dxfId="62" priority="10">
      <formula>$C4=""</formula>
    </cfRule>
  </conditionalFormatting>
  <conditionalFormatting sqref="I4:I142">
    <cfRule type="expression" dxfId="61" priority="7">
      <formula>EXACT($I4,"Completed")</formula>
    </cfRule>
    <cfRule type="expression" dxfId="60" priority="8">
      <formula>EXACT($I4,"Inprogress")</formula>
    </cfRule>
    <cfRule type="expression" dxfId="59" priority="29">
      <formula>EXACT($I4,"Overdue")</formula>
    </cfRule>
    <cfRule type="expression" dxfId="58" priority="28">
      <formula>EXACT($I4,"Not Started")</formula>
    </cfRule>
  </conditionalFormatting>
  <conditionalFormatting sqref="I4:I2000">
    <cfRule type="expression" dxfId="57" priority="31">
      <formula>$C4=""</formula>
    </cfRule>
    <cfRule type="expression" dxfId="56" priority="30" stopIfTrue="1">
      <formula>$A4=""</formula>
    </cfRule>
  </conditionalFormatting>
  <conditionalFormatting sqref="J4:J2000">
    <cfRule type="expression" dxfId="55" priority="5" stopIfTrue="1">
      <formula>$A4=""</formula>
    </cfRule>
    <cfRule type="expression" dxfId="54" priority="6">
      <formula>$C4=""</formula>
    </cfRule>
  </conditionalFormatting>
  <conditionalFormatting sqref="K4:K243">
    <cfRule type="expression" dxfId="53" priority="3">
      <formula>EXACT($K4,"No")</formula>
    </cfRule>
    <cfRule type="expression" dxfId="52" priority="4">
      <formula>EXACT($K4,"Yes")</formula>
    </cfRule>
    <cfRule type="expression" dxfId="51" priority="32">
      <formula>EXACT($K4,"-")</formula>
    </cfRule>
  </conditionalFormatting>
  <conditionalFormatting sqref="K4:K2000">
    <cfRule type="expression" dxfId="50" priority="34">
      <formula>$C4=""</formula>
    </cfRule>
    <cfRule type="expression" dxfId="49" priority="33" stopIfTrue="1">
      <formula>$A4=""</formula>
    </cfRule>
  </conditionalFormatting>
  <conditionalFormatting sqref="L4:L2000">
    <cfRule type="expression" dxfId="48" priority="1" stopIfTrue="1">
      <formula>$A4=""</formula>
    </cfRule>
    <cfRule type="expression" dxfId="47" priority="2">
      <formula>$C4=""</formula>
    </cfRule>
  </conditionalFormatting>
  <conditionalFormatting sqref="M4:M312">
    <cfRule type="cellIs" dxfId="46" priority="25" operator="equal">
      <formula>"Green"</formula>
    </cfRule>
    <cfRule type="cellIs" dxfId="45" priority="26" operator="equal">
      <formula>"Amber"</formula>
    </cfRule>
    <cfRule type="cellIs" dxfId="44" priority="27" operator="equal">
      <formula>"Red"</formula>
    </cfRule>
  </conditionalFormatting>
  <dataValidations count="1">
    <dataValidation type="list" allowBlank="1" sqref="I4:I312" xr:uid="{C75291C8-8FFB-4798-A1C6-7BEA4FCD41B8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2412-2479-40D7-AC1A-1DA58D252F57}">
  <sheetPr codeName="Sheet2">
    <tabColor rgb="FF777777"/>
  </sheetPr>
  <dimension ref="A1:R312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" sqref="I1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4.88671875" bestFit="1" customWidth="1"/>
    <col min="8" max="8" width="16.77734375" customWidth="1"/>
    <col min="9" max="9" width="12" customWidth="1"/>
    <col min="10" max="11" width="8" customWidth="1"/>
    <col min="12" max="13" width="7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27</v>
      </c>
      <c r="B1" s="10"/>
      <c r="C1" s="10"/>
      <c r="D1" s="10"/>
      <c r="E1" s="10"/>
      <c r="F1" s="10"/>
      <c r="G1" s="11">
        <f>+MAX(G4:G2000)</f>
        <v>46054</v>
      </c>
      <c r="H1" s="11">
        <f>+MAX(H4:H2000)</f>
        <v>46205</v>
      </c>
      <c r="I1" s="12">
        <f t="shared" ref="I1" si="0">IF(OR($G1="",$H1=""),"",$H1-$G1)</f>
        <v>151</v>
      </c>
      <c r="J1" s="10"/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27</v>
      </c>
      <c r="B4" s="2" t="s">
        <v>28</v>
      </c>
      <c r="C4" s="3"/>
      <c r="D4" s="3"/>
      <c r="E4" s="2"/>
      <c r="F4" s="2"/>
      <c r="G4" s="5">
        <v>45921</v>
      </c>
      <c r="H4" s="5">
        <v>46205</v>
      </c>
      <c r="I4" s="2"/>
      <c r="J4" s="6">
        <f t="shared" ref="J4:J67" si="1">IF(OR($G4="",$H4=""),"",$H4-$G4)</f>
        <v>284</v>
      </c>
      <c r="K4" s="4" t="str">
        <f t="shared" ref="K4:K67" ca="1" si="2">IF(C4="","",IF(H4="","",IF($I4="completed","-",IF($H4&gt;TODAY(),"No","Yes"))))</f>
        <v/>
      </c>
      <c r="L4" s="7">
        <f>IF(I4="Completed","0",IF($H4="","",$H4-'[2]Read Me'!$B$4))</f>
        <v>18</v>
      </c>
      <c r="M4" s="4" t="str">
        <f>IF($I4="Complete","Green",IF($H4="","Amber",IF($H4&lt;'[2]Read Me'!$B$4,"Red",IF($H4-'[2]Read Me'!$B$4&lt;=21,"Amber","Green"))))</f>
        <v>Amber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27</v>
      </c>
      <c r="B5" s="2" t="s">
        <v>28</v>
      </c>
      <c r="C5" s="3" t="s">
        <v>29</v>
      </c>
      <c r="D5" s="3" t="s">
        <v>18</v>
      </c>
      <c r="E5" s="2"/>
      <c r="F5" s="2" t="s">
        <v>30</v>
      </c>
      <c r="G5" s="5">
        <v>45578</v>
      </c>
      <c r="H5" s="5">
        <v>45578</v>
      </c>
      <c r="I5" s="2" t="s">
        <v>31</v>
      </c>
      <c r="J5" s="6">
        <f t="shared" si="1"/>
        <v>0</v>
      </c>
      <c r="K5" s="4" t="str">
        <f t="shared" ca="1" si="2"/>
        <v>-</v>
      </c>
      <c r="L5" s="7" t="str">
        <f>IF(I5="Completed","0",IF($H5="","",$H5-'[2]Read Me'!$B$4))</f>
        <v>0</v>
      </c>
      <c r="M5" s="4" t="str">
        <f>IF($I5="Complete","Green",IF($H5="","Amber",IF($H5&lt;'[2]Read Me'!$B$4,"Red",IF($H5-'[2]Read Me'!$B$4&lt;=21,"Amber","Green"))))</f>
        <v>Red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27</v>
      </c>
      <c r="B6" s="2" t="s">
        <v>28</v>
      </c>
      <c r="C6" s="3" t="s">
        <v>29</v>
      </c>
      <c r="D6" s="3" t="s">
        <v>32</v>
      </c>
      <c r="E6" s="2"/>
      <c r="F6" s="2"/>
      <c r="G6" s="5">
        <v>45592</v>
      </c>
      <c r="H6" s="5">
        <v>45592</v>
      </c>
      <c r="I6" s="2" t="s">
        <v>31</v>
      </c>
      <c r="J6" s="6">
        <f t="shared" si="1"/>
        <v>0</v>
      </c>
      <c r="K6" s="4" t="str">
        <f t="shared" ca="1" si="2"/>
        <v>-</v>
      </c>
      <c r="L6" s="7" t="str">
        <f>IF(I6="Completed","0",IF($H6="","",$H6-'[2]Read Me'!$B$4))</f>
        <v>0</v>
      </c>
      <c r="M6" s="4" t="str">
        <f>IF($I6="Complete","Green",IF($H6="","Amber",IF($H6&lt;'[2]Read Me'!$B$4,"Red",IF($H6-'[2]Read Me'!$B$4&lt;=21,"Amber","Green"))))</f>
        <v>Red</v>
      </c>
      <c r="N6" s="3"/>
      <c r="O6" t="str">
        <f>IF($I6&lt;&gt;"Complete",IF(COUNTIFS($A$4:$A5,$A6,$B$4:$B5,$B6,$I$4:$I5,"&lt;&gt;Complete")=0,$A6&amp;"|"&amp;$B6,""),"")</f>
        <v/>
      </c>
      <c r="P6" t="str">
        <f ca="1">IF($K6="Yes",COUNTIFS($K$4:$K6,"Yes"),"")</f>
        <v/>
      </c>
      <c r="Q6">
        <f t="shared" ca="1" si="3"/>
        <v>0</v>
      </c>
      <c r="R6" t="str">
        <f ca="1">IF($Q6=1,SUM($Q$4:$Q6),"")</f>
        <v/>
      </c>
    </row>
    <row r="7" spans="1:18" ht="33.75" customHeight="1" x14ac:dyDescent="0.3">
      <c r="A7" s="2" t="s">
        <v>27</v>
      </c>
      <c r="B7" s="2" t="s">
        <v>28</v>
      </c>
      <c r="C7" s="3" t="s">
        <v>29</v>
      </c>
      <c r="D7" s="3" t="s">
        <v>19</v>
      </c>
      <c r="E7" s="2" t="s">
        <v>33</v>
      </c>
      <c r="F7" s="2"/>
      <c r="G7" s="5">
        <v>45606</v>
      </c>
      <c r="H7" s="5">
        <v>45606</v>
      </c>
      <c r="I7" s="2" t="s">
        <v>31</v>
      </c>
      <c r="J7" s="6">
        <f t="shared" si="1"/>
        <v>0</v>
      </c>
      <c r="K7" s="4" t="str">
        <f t="shared" ca="1" si="2"/>
        <v>-</v>
      </c>
      <c r="L7" s="7" t="str">
        <f>IF(I7="Completed","0",IF($H7="","",$H7-'[2]Read Me'!$B$4))</f>
        <v>0</v>
      </c>
      <c r="M7" s="4" t="str">
        <f>IF($I7="Complete","Green",IF($H7="","Amber",IF($H7&lt;'[2]Read Me'!$B$4,"Red",IF($H7-'[2]Read Me'!$B$4&lt;=21,"Amber","Green"))))</f>
        <v>Red</v>
      </c>
      <c r="N7" s="3"/>
      <c r="O7" t="str">
        <f>IF($I7&lt;&gt;"Complete",IF(COUNTIFS($A$4:$A6,$A7,$B$4:$B6,$B7,$I$4:$I6,"&lt;&gt;Complete")=0,$A7&amp;"|"&amp;$B7,""),"")</f>
        <v/>
      </c>
      <c r="P7" t="str">
        <f ca="1">IF($K7="Yes",COUNTIFS($K$4:$K7,"Yes"),"")</f>
        <v/>
      </c>
      <c r="Q7">
        <f t="shared" ca="1" si="3"/>
        <v>0</v>
      </c>
      <c r="R7" t="str">
        <f ca="1">IF($Q7=1,SUM($Q$4:$Q7),"")</f>
        <v/>
      </c>
    </row>
    <row r="8" spans="1:18" ht="33.75" customHeight="1" x14ac:dyDescent="0.3">
      <c r="A8" s="2" t="s">
        <v>27</v>
      </c>
      <c r="B8" s="2" t="s">
        <v>28</v>
      </c>
      <c r="C8" s="3" t="s">
        <v>29</v>
      </c>
      <c r="D8" s="3" t="s">
        <v>14</v>
      </c>
      <c r="E8" s="2"/>
      <c r="F8" s="2" t="s">
        <v>30</v>
      </c>
      <c r="G8" s="5">
        <v>45676</v>
      </c>
      <c r="H8" s="5">
        <v>45676</v>
      </c>
      <c r="I8" s="2" t="s">
        <v>31</v>
      </c>
      <c r="J8" s="6">
        <f t="shared" si="1"/>
        <v>0</v>
      </c>
      <c r="K8" s="4" t="str">
        <f t="shared" ca="1" si="2"/>
        <v>-</v>
      </c>
      <c r="L8" s="7" t="str">
        <f>IF(I8="Completed","0",IF($H8="","",$H8-'[2]Read Me'!$B$4))</f>
        <v>0</v>
      </c>
      <c r="M8" s="4" t="str">
        <f>IF($I8="Complete","Green",IF($H8="","Amber",IF($H8&lt;'[2]Read Me'!$B$4,"Red",IF($H8-'[2]Read Me'!$B$4&lt;=21,"Amber","Green"))))</f>
        <v>Red</v>
      </c>
      <c r="N8" s="3"/>
      <c r="O8" t="str">
        <f>IF($I8&lt;&gt;"Complete",IF(COUNTIFS($A$4:$A7,$A8,$B$4:$B7,$B8,$I$4:$I7,"&lt;&gt;Complete")=0,$A8&amp;"|"&amp;$B8,""),"")</f>
        <v/>
      </c>
      <c r="P8" t="str">
        <f ca="1">IF($K8="Yes",COUNTIFS($K$4:$K8,"Yes"),"")</f>
        <v/>
      </c>
      <c r="Q8">
        <f t="shared" ca="1" si="3"/>
        <v>0</v>
      </c>
      <c r="R8" t="str">
        <f ca="1">IF($Q8=1,SUM($Q$4:$Q8),"")</f>
        <v/>
      </c>
    </row>
    <row r="9" spans="1:18" ht="33.75" customHeight="1" x14ac:dyDescent="0.3">
      <c r="A9" s="2" t="s">
        <v>27</v>
      </c>
      <c r="B9" s="2" t="s">
        <v>28</v>
      </c>
      <c r="C9" s="3" t="s">
        <v>29</v>
      </c>
      <c r="D9" s="3" t="s">
        <v>34</v>
      </c>
      <c r="E9" s="2"/>
      <c r="F9" s="2"/>
      <c r="G9" s="5">
        <v>45760</v>
      </c>
      <c r="H9" s="5">
        <v>45760</v>
      </c>
      <c r="I9" s="2" t="s">
        <v>31</v>
      </c>
      <c r="J9" s="6">
        <f t="shared" si="1"/>
        <v>0</v>
      </c>
      <c r="K9" s="4" t="str">
        <f t="shared" ca="1" si="2"/>
        <v>-</v>
      </c>
      <c r="L9" s="7" t="str">
        <f>IF(I9="Completed","0",IF($H9="","",$H9-'[2]Read Me'!$B$4))</f>
        <v>0</v>
      </c>
      <c r="M9" s="4" t="str">
        <f>IF($I9="Complete","Green",IF($H9="","Amber",IF($H9&lt;'[2]Read Me'!$B$4,"Red",IF($H9-'[2]Read Me'!$B$4&lt;=21,"Amber","Green"))))</f>
        <v>Red</v>
      </c>
      <c r="N9" s="3"/>
      <c r="O9" t="str">
        <f>IF($I9&lt;&gt;"Complete",IF(COUNTIFS($A$4:$A8,$A9,$B$4:$B8,$B9,$I$4:$I8,"&lt;&gt;Complete")=0,$A9&amp;"|"&amp;$B9,""),"")</f>
        <v/>
      </c>
      <c r="P9" t="str">
        <f ca="1">IF($K9="Yes",COUNTIFS($K$4:$K9,"Yes"),"")</f>
        <v/>
      </c>
      <c r="Q9">
        <f t="shared" ca="1" si="3"/>
        <v>0</v>
      </c>
      <c r="R9" t="str">
        <f ca="1">IF($Q9=1,SUM($Q$4:$Q9),"")</f>
        <v/>
      </c>
    </row>
    <row r="10" spans="1:18" ht="33.75" customHeight="1" x14ac:dyDescent="0.3">
      <c r="A10" s="2" t="s">
        <v>27</v>
      </c>
      <c r="B10" s="2" t="s">
        <v>28</v>
      </c>
      <c r="C10" s="3" t="s">
        <v>29</v>
      </c>
      <c r="D10" s="3" t="s">
        <v>15</v>
      </c>
      <c r="E10" s="2"/>
      <c r="F10" s="2" t="s">
        <v>30</v>
      </c>
      <c r="G10" s="5">
        <v>45830</v>
      </c>
      <c r="H10" s="5">
        <v>45830</v>
      </c>
      <c r="I10" s="2" t="s">
        <v>31</v>
      </c>
      <c r="J10" s="6">
        <f t="shared" si="1"/>
        <v>0</v>
      </c>
      <c r="K10" s="4" t="str">
        <f t="shared" ca="1" si="2"/>
        <v>-</v>
      </c>
      <c r="L10" s="7" t="str">
        <f>IF(I10="Completed","0",IF($H10="","",$H10-'[2]Read Me'!$B$4))</f>
        <v>0</v>
      </c>
      <c r="M10" s="4" t="str">
        <f>IF($I10="Complete","Green",IF($H10="","Amber",IF($H10&lt;'[2]Read Me'!$B$4,"Red",IF($H10-'[2]Read Me'!$B$4&lt;=21,"Amber","Green"))))</f>
        <v>Red</v>
      </c>
      <c r="N10" s="3"/>
      <c r="O10" t="str">
        <f>IF($I10&lt;&gt;"Complete",IF(COUNTIFS($A$4:$A9,$A10,$B$4:$B9,$B10,$I$4:$I9,"&lt;&gt;Complete")=0,$A10&amp;"|"&amp;$B10,""),"")</f>
        <v/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27</v>
      </c>
      <c r="B11" s="2" t="s">
        <v>28</v>
      </c>
      <c r="C11" s="3" t="s">
        <v>29</v>
      </c>
      <c r="D11" s="3" t="s">
        <v>35</v>
      </c>
      <c r="E11" s="2"/>
      <c r="F11" s="2"/>
      <c r="G11" s="5">
        <v>45844</v>
      </c>
      <c r="H11" s="5">
        <v>45844</v>
      </c>
      <c r="I11" s="2" t="s">
        <v>31</v>
      </c>
      <c r="J11" s="6">
        <f t="shared" si="1"/>
        <v>0</v>
      </c>
      <c r="K11" s="4" t="str">
        <f t="shared" ca="1" si="2"/>
        <v>-</v>
      </c>
      <c r="L11" s="7" t="str">
        <f>IF(I11="Completed","0",IF($H11="","",$H11-'[2]Read Me'!$B$4))</f>
        <v>0</v>
      </c>
      <c r="M11" s="4" t="str">
        <f>IF($I11="Complete","Green",IF($H11="","Amber",IF($H11&lt;'[2]Read Me'!$B$4,"Red",IF($H11-'[2]Read Me'!$B$4&lt;=21,"Amber","Green"))))</f>
        <v>Red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27</v>
      </c>
      <c r="B12" s="2" t="s">
        <v>28</v>
      </c>
      <c r="C12" s="3" t="s">
        <v>29</v>
      </c>
      <c r="D12" s="3" t="s">
        <v>20</v>
      </c>
      <c r="E12" s="2" t="s">
        <v>33</v>
      </c>
      <c r="F12" s="2"/>
      <c r="G12" s="5">
        <v>45844</v>
      </c>
      <c r="H12" s="5">
        <v>45844</v>
      </c>
      <c r="I12" s="2" t="s">
        <v>31</v>
      </c>
      <c r="J12" s="6">
        <f t="shared" si="1"/>
        <v>0</v>
      </c>
      <c r="K12" s="4" t="str">
        <f t="shared" ca="1" si="2"/>
        <v>-</v>
      </c>
      <c r="L12" s="7" t="str">
        <f>IF(I12="Completed","0",IF($H12="","",$H12-'[2]Read Me'!$B$4))</f>
        <v>0</v>
      </c>
      <c r="M12" s="4" t="str">
        <f>IF($I12="Complete","Green",IF($H12="","Amber",IF($H12&lt;'[2]Read Me'!$B$4,"Red",IF($H12-'[2]Read Me'!$B$4&lt;=21,"Amber","Green"))))</f>
        <v>Red</v>
      </c>
      <c r="N12" s="3"/>
      <c r="O12" t="str">
        <f>IF($I12&lt;&gt;"Complete",IF(COUNTIFS($A$4:$A11,$A12,$B$4:$B11,$B12,$I$4:$I11,"&lt;&gt;Complete")=0,$A12&amp;"|"&amp;$B12,""),"")</f>
        <v/>
      </c>
      <c r="P12" t="str">
        <f ca="1">IF($K12="Yes",COUNTIFS($K$4:$K12,"Yes"),"")</f>
        <v/>
      </c>
      <c r="Q12">
        <f t="shared" ca="1" si="3"/>
        <v>0</v>
      </c>
      <c r="R12" t="str">
        <f ca="1">IF($Q12=1,SUM($Q$4:$Q12),"")</f>
        <v/>
      </c>
    </row>
    <row r="13" spans="1:18" ht="33.75" customHeight="1" x14ac:dyDescent="0.3">
      <c r="A13" s="2" t="s">
        <v>27</v>
      </c>
      <c r="B13" s="2" t="s">
        <v>28</v>
      </c>
      <c r="C13" s="3" t="s">
        <v>29</v>
      </c>
      <c r="D13" s="3" t="s">
        <v>22</v>
      </c>
      <c r="E13" s="2"/>
      <c r="F13" s="2" t="s">
        <v>30</v>
      </c>
      <c r="G13" s="5">
        <v>45893</v>
      </c>
      <c r="H13" s="5">
        <v>45893</v>
      </c>
      <c r="I13" s="2" t="s">
        <v>31</v>
      </c>
      <c r="J13" s="6">
        <f t="shared" si="1"/>
        <v>0</v>
      </c>
      <c r="K13" s="4" t="str">
        <f t="shared" ca="1" si="2"/>
        <v>-</v>
      </c>
      <c r="L13" s="7" t="str">
        <f>IF(I13="Completed","0",IF($H13="","",$H13-'[2]Read Me'!$B$4))</f>
        <v>0</v>
      </c>
      <c r="M13" s="4" t="str">
        <f>IF($I13="Complete","Green",IF($H13="","Amber",IF($H13&lt;'[2]Read Me'!$B$4,"Red",IF($H13-'[2]Read Me'!$B$4&lt;=21,"Amber","Green"))))</f>
        <v>Red</v>
      </c>
      <c r="N13" s="3"/>
      <c r="O13" t="str">
        <f>IF($I13&lt;&gt;"Complete",IF(COUNTIFS($A$4:$A12,$A13,$B$4:$B12,$B13,$I$4:$I12,"&lt;&gt;Complete")=0,$A13&amp;"|"&amp;$B13,""),"")</f>
        <v/>
      </c>
      <c r="P13" t="str">
        <f ca="1">IF($K13="Yes",COUNTIFS($K$4:$K13,"Yes"),"")</f>
        <v/>
      </c>
      <c r="Q13">
        <f t="shared" ca="1" si="3"/>
        <v>0</v>
      </c>
      <c r="R13" t="str">
        <f ca="1">IF($Q13=1,SUM($Q$4:$Q13),"")</f>
        <v/>
      </c>
    </row>
    <row r="14" spans="1:18" ht="33.75" customHeight="1" x14ac:dyDescent="0.3">
      <c r="A14" s="2" t="s">
        <v>36</v>
      </c>
      <c r="B14" s="2" t="s">
        <v>28</v>
      </c>
      <c r="C14" s="3"/>
      <c r="D14" s="3"/>
      <c r="E14" s="2"/>
      <c r="F14" s="2"/>
      <c r="G14" s="5">
        <v>45907</v>
      </c>
      <c r="H14" s="5">
        <v>46022</v>
      </c>
      <c r="I14" s="2"/>
      <c r="J14" s="6">
        <f t="shared" si="1"/>
        <v>115</v>
      </c>
      <c r="K14" s="4" t="str">
        <f t="shared" ca="1" si="2"/>
        <v/>
      </c>
      <c r="L14" s="7">
        <f>IF(I14="Completed","0",IF($H14="","",$H14-'[2]Read Me'!$B$4))</f>
        <v>-165</v>
      </c>
      <c r="M14" s="4" t="str">
        <f>IF($I14="Complete","Green",IF($H14="","Amber",IF($H14&lt;'[2]Read Me'!$B$4,"Red",IF($H14-'[2]Read Me'!$B$4&lt;=21,"Amber","Green"))))</f>
        <v>Red</v>
      </c>
      <c r="N14" s="3"/>
      <c r="O14" t="str">
        <f>IF($I14&lt;&gt;"Complete",IF(COUNTIFS($A$4:$A13,$A14,$B$4:$B13,$B14,$I$4:$I13,"&lt;&gt;Complete")=0,$A14&amp;"|"&amp;$B14,""),"")</f>
        <v>BLDGs A|Buldings</v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36</v>
      </c>
      <c r="B15" s="2" t="s">
        <v>28</v>
      </c>
      <c r="C15" s="3" t="s">
        <v>36</v>
      </c>
      <c r="D15" s="3" t="s">
        <v>16</v>
      </c>
      <c r="E15" s="2"/>
      <c r="F15" s="2" t="s">
        <v>30</v>
      </c>
      <c r="G15" s="5">
        <v>45900</v>
      </c>
      <c r="H15" s="5">
        <v>46019</v>
      </c>
      <c r="I15" s="2" t="s">
        <v>31</v>
      </c>
      <c r="J15" s="6">
        <f t="shared" si="1"/>
        <v>119</v>
      </c>
      <c r="K15" s="4" t="str">
        <f t="shared" ca="1" si="2"/>
        <v>-</v>
      </c>
      <c r="L15" s="7" t="str">
        <f>IF(I15="Completed","0",IF($H15="","",$H15-'[2]Read Me'!$B$4))</f>
        <v>0</v>
      </c>
      <c r="M15" s="4" t="str">
        <f>IF($I15="Complete","Green",IF($H15="","Amber",IF($H15&lt;'[2]Read Me'!$B$4,"Red",IF($H15-'[2]Read Me'!$B$4&lt;=21,"Amber","Green"))))</f>
        <v>Red</v>
      </c>
      <c r="N15" s="3"/>
      <c r="O15" t="str">
        <f>IF($I15&lt;&gt;"Complete",IF(COUNTIFS($A$4:$A14,$A15,$B$4:$B14,$B15,$I$4:$I14,"&lt;&gt;Complete")=0,$A15&amp;"|"&amp;$B15,""),"")</f>
        <v/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36</v>
      </c>
      <c r="B16" s="2" t="s">
        <v>28</v>
      </c>
      <c r="C16" s="3" t="s">
        <v>36</v>
      </c>
      <c r="D16" s="3" t="s">
        <v>37</v>
      </c>
      <c r="E16" s="2"/>
      <c r="F16" s="2"/>
      <c r="G16" s="5">
        <v>45907</v>
      </c>
      <c r="H16" s="5">
        <v>46022</v>
      </c>
      <c r="I16" s="2" t="s">
        <v>31</v>
      </c>
      <c r="J16" s="6">
        <f t="shared" si="1"/>
        <v>115</v>
      </c>
      <c r="K16" s="4" t="str">
        <f t="shared" ca="1" si="2"/>
        <v>-</v>
      </c>
      <c r="L16" s="7" t="str">
        <f>IF(I16="Completed","0",IF($H16="","",$H16-'[2]Read Me'!$B$4))</f>
        <v>0</v>
      </c>
      <c r="M16" s="4" t="str">
        <f>IF($I16="Complete","Green",IF($H16="","Amber",IF($H16&lt;'[2]Read Me'!$B$4,"Red",IF($H16-'[2]Read Me'!$B$4&lt;=21,"Amber","Green"))))</f>
        <v>Red</v>
      </c>
      <c r="N16" s="3"/>
      <c r="O16" t="str">
        <f>IF($I16&lt;&gt;"Complete",IF(COUNTIFS($A$4:$A15,$A16,$B$4:$B15,$B16,$I$4:$I15,"&lt;&gt;Complete")=0,$A16&amp;"|"&amp;$B16,""),"")</f>
        <v/>
      </c>
      <c r="P16" t="str">
        <f ca="1">IF($K16="Yes",COUNTIFS($K$4:$K16,"Yes"),"")</f>
        <v/>
      </c>
      <c r="Q16">
        <f t="shared" ca="1" si="3"/>
        <v>0</v>
      </c>
      <c r="R16" t="str">
        <f ca="1">IF($Q16=1,SUM($Q$4:$Q16),"")</f>
        <v/>
      </c>
    </row>
    <row r="17" spans="1:18" ht="33.75" customHeight="1" x14ac:dyDescent="0.3">
      <c r="A17" s="2" t="s">
        <v>38</v>
      </c>
      <c r="B17" s="2" t="s">
        <v>28</v>
      </c>
      <c r="C17" s="3"/>
      <c r="D17" s="3"/>
      <c r="E17" s="2"/>
      <c r="F17" s="2"/>
      <c r="G17" s="5">
        <v>45907</v>
      </c>
      <c r="H17" s="5">
        <v>46056</v>
      </c>
      <c r="I17" s="2"/>
      <c r="J17" s="6">
        <f t="shared" si="1"/>
        <v>149</v>
      </c>
      <c r="K17" s="4" t="str">
        <f t="shared" ca="1" si="2"/>
        <v/>
      </c>
      <c r="L17" s="7">
        <f>IF(I17="Completed","0",IF($H17="","",$H17-'[2]Read Me'!$B$4))</f>
        <v>-131</v>
      </c>
      <c r="M17" s="4" t="str">
        <f>IF($I17="Complete","Green",IF($H17="","Amber",IF($H17&lt;'[2]Read Me'!$B$4,"Red",IF($H17-'[2]Read Me'!$B$4&lt;=21,"Amber","Green"))))</f>
        <v>Red</v>
      </c>
      <c r="N17" s="3"/>
      <c r="O17" t="str">
        <f>IF($I17&lt;&gt;"Complete",IF(COUNTIFS($A$4:$A16,$A17,$B$4:$B16,$B17,$I$4:$I16,"&lt;&gt;Complete")=0,$A17&amp;"|"&amp;$B17,""),"")</f>
        <v>BLDGs B|Buldings</v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38</v>
      </c>
      <c r="B18" s="2" t="s">
        <v>28</v>
      </c>
      <c r="C18" s="3" t="s">
        <v>38</v>
      </c>
      <c r="D18" s="3" t="s">
        <v>16</v>
      </c>
      <c r="E18" s="2"/>
      <c r="F18" s="2" t="s">
        <v>30</v>
      </c>
      <c r="G18" s="5">
        <v>45900</v>
      </c>
      <c r="H18" s="5">
        <v>46050</v>
      </c>
      <c r="I18" s="2" t="s">
        <v>31</v>
      </c>
      <c r="J18" s="6">
        <f t="shared" si="1"/>
        <v>150</v>
      </c>
      <c r="K18" s="4" t="str">
        <f t="shared" ca="1" si="2"/>
        <v>-</v>
      </c>
      <c r="L18" s="7" t="str">
        <f>IF(I18="Completed","0",IF($H18="","",$H18-'[2]Read Me'!$B$4))</f>
        <v>0</v>
      </c>
      <c r="M18" s="4" t="str">
        <f>IF($I18="Complete","Green",IF($H18="","Amber",IF($H18&lt;'[2]Read Me'!$B$4,"Red",IF($H18-'[2]Read Me'!$B$4&lt;=21,"Amber","Green"))))</f>
        <v>Red</v>
      </c>
      <c r="N18" s="3"/>
      <c r="O18" t="str">
        <f>IF($I18&lt;&gt;"Complete",IF(COUNTIFS($A$4:$A17,$A18,$B$4:$B17,$B18,$I$4:$I17,"&lt;&gt;Complete")=0,$A18&amp;"|"&amp;$B18,""),"")</f>
        <v/>
      </c>
      <c r="P18" t="str">
        <f ca="1">IF($K18="Yes",COUNTIFS($K$4:$K18,"Yes"),"")</f>
        <v/>
      </c>
      <c r="Q18">
        <f t="shared" ca="1" si="3"/>
        <v>0</v>
      </c>
      <c r="R18" t="str">
        <f ca="1">IF($Q18=1,SUM($Q$4:$Q18),"")</f>
        <v/>
      </c>
    </row>
    <row r="19" spans="1:18" ht="33.75" customHeight="1" x14ac:dyDescent="0.3">
      <c r="A19" s="2" t="s">
        <v>38</v>
      </c>
      <c r="B19" s="2" t="s">
        <v>28</v>
      </c>
      <c r="C19" s="3" t="s">
        <v>38</v>
      </c>
      <c r="D19" s="3" t="s">
        <v>37</v>
      </c>
      <c r="E19" s="2"/>
      <c r="F19" s="2"/>
      <c r="G19" s="5">
        <v>45907</v>
      </c>
      <c r="H19" s="5">
        <v>46056</v>
      </c>
      <c r="I19" s="2" t="s">
        <v>31</v>
      </c>
      <c r="J19" s="6">
        <f t="shared" si="1"/>
        <v>149</v>
      </c>
      <c r="K19" s="4" t="str">
        <f t="shared" ca="1" si="2"/>
        <v>-</v>
      </c>
      <c r="L19" s="7" t="str">
        <f>IF(I19="Completed","0",IF($H19="","",$H19-'[2]Read Me'!$B$4))</f>
        <v>0</v>
      </c>
      <c r="M19" s="4" t="str">
        <f>IF($I19="Complete","Green",IF($H19="","Amber",IF($H19&lt;'[2]Read Me'!$B$4,"Red",IF($H19-'[2]Read Me'!$B$4&lt;=21,"Amber","Green"))))</f>
        <v>Red</v>
      </c>
      <c r="N19" s="3"/>
      <c r="O19" t="str">
        <f>IF($I19&lt;&gt;"Complete",IF(COUNTIFS($A$4:$A18,$A19,$B$4:$B18,$B19,$I$4:$I18,"&lt;&gt;Complete")=0,$A19&amp;"|"&amp;$B19,""),"")</f>
        <v/>
      </c>
      <c r="P19" t="str">
        <f ca="1">IF($K19="Yes",COUNTIFS($K$4:$K19,"Yes"),"")</f>
        <v/>
      </c>
      <c r="Q19">
        <f t="shared" ca="1" si="3"/>
        <v>0</v>
      </c>
      <c r="R19" t="str">
        <f ca="1">IF($Q19=1,SUM($Q$4:$Q19),"")</f>
        <v/>
      </c>
    </row>
    <row r="20" spans="1:18" ht="33.75" customHeight="1" x14ac:dyDescent="0.3">
      <c r="A20" s="2" t="s">
        <v>39</v>
      </c>
      <c r="B20" s="2" t="s">
        <v>28</v>
      </c>
      <c r="C20" s="3"/>
      <c r="D20" s="3"/>
      <c r="E20" s="2"/>
      <c r="F20" s="2"/>
      <c r="G20" s="5">
        <v>45907</v>
      </c>
      <c r="H20" s="5">
        <v>46014</v>
      </c>
      <c r="I20" s="2"/>
      <c r="J20" s="6">
        <f t="shared" si="1"/>
        <v>107</v>
      </c>
      <c r="K20" s="4" t="str">
        <f t="shared" ca="1" si="2"/>
        <v/>
      </c>
      <c r="L20" s="7">
        <f>IF(I20="Completed","0",IF($H20="","",$H20-'[2]Read Me'!$B$4))</f>
        <v>-173</v>
      </c>
      <c r="M20" s="4" t="str">
        <f>IF($I20="Complete","Green",IF($H20="","Amber",IF($H20&lt;'[2]Read Me'!$B$4,"Red",IF($H20-'[2]Read Me'!$B$4&lt;=21,"Amber","Green"))))</f>
        <v>Red</v>
      </c>
      <c r="N20" s="3"/>
      <c r="O20" t="str">
        <f>IF($I20&lt;&gt;"Complete",IF(COUNTIFS($A$4:$A19,$A20,$B$4:$B19,$B20,$I$4:$I19,"&lt;&gt;Complete")=0,$A20&amp;"|"&amp;$B20,""),"")</f>
        <v>BLDGs C|Buldings</v>
      </c>
      <c r="P20" t="str">
        <f ca="1">IF($K20="Yes",COUNTIFS($K$4:$K20,"Yes"),"")</f>
        <v/>
      </c>
      <c r="Q20">
        <f t="shared" ca="1" si="3"/>
        <v>0</v>
      </c>
      <c r="R20" t="str">
        <f ca="1">IF($Q20=1,SUM($Q$4:$Q20),"")</f>
        <v/>
      </c>
    </row>
    <row r="21" spans="1:18" ht="33.75" customHeight="1" x14ac:dyDescent="0.3">
      <c r="A21" s="2" t="s">
        <v>39</v>
      </c>
      <c r="B21" s="2" t="s">
        <v>28</v>
      </c>
      <c r="C21" s="3" t="s">
        <v>39</v>
      </c>
      <c r="D21" s="3" t="s">
        <v>16</v>
      </c>
      <c r="E21" s="2"/>
      <c r="F21" s="2" t="s">
        <v>30</v>
      </c>
      <c r="G21" s="5">
        <v>45900</v>
      </c>
      <c r="H21" s="5">
        <v>46002</v>
      </c>
      <c r="I21" s="2" t="s">
        <v>31</v>
      </c>
      <c r="J21" s="6">
        <f t="shared" si="1"/>
        <v>102</v>
      </c>
      <c r="K21" s="4" t="str">
        <f t="shared" ca="1" si="2"/>
        <v>-</v>
      </c>
      <c r="L21" s="7" t="str">
        <f>IF(I21="Completed","0",IF($H21="","",$H21-'[2]Read Me'!$B$4))</f>
        <v>0</v>
      </c>
      <c r="M21" s="4" t="str">
        <f>IF($I21="Complete","Green",IF($H21="","Amber",IF($H21&lt;'[2]Read Me'!$B$4,"Red",IF($H21-'[2]Read Me'!$B$4&lt;=21,"Amber","Green"))))</f>
        <v>Red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39</v>
      </c>
      <c r="B22" s="2" t="s">
        <v>28</v>
      </c>
      <c r="C22" s="3" t="s">
        <v>39</v>
      </c>
      <c r="D22" s="3" t="s">
        <v>37</v>
      </c>
      <c r="E22" s="2"/>
      <c r="F22" s="2"/>
      <c r="G22" s="5">
        <v>45907</v>
      </c>
      <c r="H22" s="5">
        <v>46014</v>
      </c>
      <c r="I22" s="2" t="s">
        <v>31</v>
      </c>
      <c r="J22" s="6">
        <f t="shared" si="1"/>
        <v>107</v>
      </c>
      <c r="K22" s="4" t="str">
        <f t="shared" ca="1" si="2"/>
        <v>-</v>
      </c>
      <c r="L22" s="7" t="str">
        <f>IF(I22="Completed","0",IF($H22="","",$H22-'[2]Read Me'!$B$4))</f>
        <v>0</v>
      </c>
      <c r="M22" s="4" t="str">
        <f>IF($I22="Complete","Green",IF($H22="","Amber",IF($H22&lt;'[2]Read Me'!$B$4,"Red",IF($H22-'[2]Read Me'!$B$4&lt;=21,"Amber","Green"))))</f>
        <v>Red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40</v>
      </c>
      <c r="B23" s="2" t="s">
        <v>41</v>
      </c>
      <c r="C23" s="3"/>
      <c r="D23" s="3"/>
      <c r="E23" s="2"/>
      <c r="F23" s="2"/>
      <c r="G23" s="5"/>
      <c r="H23" s="5">
        <v>46205</v>
      </c>
      <c r="I23" s="2"/>
      <c r="J23" s="6" t="str">
        <f t="shared" si="1"/>
        <v/>
      </c>
      <c r="K23" s="4" t="str">
        <f t="shared" ca="1" si="2"/>
        <v/>
      </c>
      <c r="L23" s="7">
        <f>IF(I23="Completed","0",IF($H23="","",$H23-'[2]Read Me'!$B$4))</f>
        <v>18</v>
      </c>
      <c r="M23" s="4" t="str">
        <f>IF($I23="Complete","Green",IF($H23="","Amber",IF($H23&lt;'[2]Read Me'!$B$4,"Red",IF($H23-'[2]Read Me'!$B$4&lt;=21,"Amber","Green"))))</f>
        <v>Amber</v>
      </c>
      <c r="N23" s="3"/>
      <c r="O23" t="str">
        <f>IF($I23&lt;&gt;"Complete",IF(COUNTIFS($A$4:$A22,$A23,$B$4:$B22,$B23,$I$4:$I22,"&lt;&gt;Complete")=0,$A23&amp;"|"&amp;$B23,""),"")</f>
        <v>mockup |Fit-out</v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40</v>
      </c>
      <c r="B24" s="2" t="s">
        <v>41</v>
      </c>
      <c r="C24" s="3" t="s">
        <v>42</v>
      </c>
      <c r="D24" s="3" t="s">
        <v>45</v>
      </c>
      <c r="E24" s="2" t="s">
        <v>43</v>
      </c>
      <c r="F24" s="2" t="s">
        <v>44</v>
      </c>
      <c r="G24" s="5"/>
      <c r="H24" s="5">
        <v>46198</v>
      </c>
      <c r="I24" s="2" t="s">
        <v>46</v>
      </c>
      <c r="J24" s="6" t="str">
        <f t="shared" si="1"/>
        <v/>
      </c>
      <c r="K24" s="4" t="str">
        <f t="shared" ca="1" si="2"/>
        <v>Yes</v>
      </c>
      <c r="L24" s="7">
        <f>IF(I24="Completed","0",IF($H24="","",$H24-'[2]Read Me'!$B$4))</f>
        <v>11</v>
      </c>
      <c r="M24" s="4" t="str">
        <f>IF($I24="Complete","Green",IF($H24="","Amber",IF($H24&lt;'[2]Read Me'!$B$4,"Red",IF($H24-'[2]Read Me'!$B$4&lt;=21,"Amber","Green"))))</f>
        <v>Amber</v>
      </c>
      <c r="N24" s="3"/>
      <c r="O24" t="str">
        <f>IF($I24&lt;&gt;"Complete",IF(COUNTIFS($A$4:$A23,$A24,$B$4:$B23,$B24,$I$4:$I23,"&lt;&gt;Complete")=0,$A24&amp;"|"&amp;$B24,""),"")</f>
        <v/>
      </c>
      <c r="P24">
        <f ca="1">IF($K24="Yes",COUNTIFS($K$4:$K24,"Yes"),"")</f>
        <v>1</v>
      </c>
      <c r="Q24">
        <f t="shared" ca="1" si="3"/>
        <v>1</v>
      </c>
      <c r="R24">
        <f ca="1">IF($Q24=1,SUM($Q$4:$Q24),"")</f>
        <v>1</v>
      </c>
    </row>
    <row r="25" spans="1:18" ht="33.75" customHeight="1" x14ac:dyDescent="0.3">
      <c r="A25" s="2" t="s">
        <v>40</v>
      </c>
      <c r="B25" s="2" t="s">
        <v>41</v>
      </c>
      <c r="C25" s="3" t="s">
        <v>42</v>
      </c>
      <c r="D25" s="3" t="s">
        <v>47</v>
      </c>
      <c r="E25" s="2" t="s">
        <v>43</v>
      </c>
      <c r="F25" s="2" t="s">
        <v>44</v>
      </c>
      <c r="G25" s="5"/>
      <c r="H25" s="5">
        <v>46205</v>
      </c>
      <c r="I25" s="2" t="s">
        <v>17</v>
      </c>
      <c r="J25" s="6" t="str">
        <f t="shared" si="1"/>
        <v/>
      </c>
      <c r="K25" s="4" t="str">
        <f t="shared" ca="1" si="2"/>
        <v>No</v>
      </c>
      <c r="L25" s="7">
        <f>IF(I25="Completed","0",IF($H25="","",$H25-'[2]Read Me'!$B$4))</f>
        <v>18</v>
      </c>
      <c r="M25" s="4" t="str">
        <f>IF($I25="Complete","Green",IF($H25="","Amber",IF($H25&lt;'[2]Read Me'!$B$4,"Red",IF($H25-'[2]Read Me'!$B$4&lt;=21,"Amber","Green"))))</f>
        <v>Amber</v>
      </c>
      <c r="N25" s="3"/>
      <c r="O25" t="str">
        <f>IF($I25&lt;&gt;"Complete",IF(COUNTIFS($A$4:$A24,$A25,$B$4:$B24,$B25,$I$4:$I24,"&lt;&gt;Complete")=0,$A25&amp;"|"&amp;$B25,""),"")</f>
        <v/>
      </c>
      <c r="P25" t="str">
        <f ca="1">IF($K25="Yes",COUNTIFS($K$4:$K25,"Yes"),"")</f>
        <v/>
      </c>
      <c r="Q25">
        <f t="shared" ca="1" si="3"/>
        <v>0</v>
      </c>
      <c r="R25" t="str">
        <f ca="1">IF($Q25=1,SUM($Q$4:$Q25),"")</f>
        <v/>
      </c>
    </row>
    <row r="26" spans="1:18" ht="33.75" customHeight="1" x14ac:dyDescent="0.3">
      <c r="A26" s="2" t="s">
        <v>48</v>
      </c>
      <c r="B26" s="2"/>
      <c r="C26" s="3"/>
      <c r="D26" s="3"/>
      <c r="E26" s="2"/>
      <c r="F26" s="2"/>
      <c r="G26" s="5">
        <v>45921</v>
      </c>
      <c r="H26" s="5">
        <v>45991</v>
      </c>
      <c r="I26" s="2"/>
      <c r="J26" s="6">
        <f t="shared" si="1"/>
        <v>70</v>
      </c>
      <c r="K26" s="4" t="str">
        <f t="shared" ca="1" si="2"/>
        <v/>
      </c>
      <c r="L26" s="7">
        <f>IF(I26="Completed","0",IF($H26="","",$H26-'[2]Read Me'!$B$4))</f>
        <v>-196</v>
      </c>
      <c r="M26" s="4" t="str">
        <f>IF($I26="Complete","Green",IF($H26="","Amber",IF($H26&lt;'[2]Read Me'!$B$4,"Red",IF($H26-'[2]Read Me'!$B$4&lt;=21,"Amber","Green"))))</f>
        <v>Red</v>
      </c>
      <c r="N26" s="3"/>
      <c r="O26" t="str">
        <f>IF($I26&lt;&gt;"Complete",IF(COUNTIFS($A$4:$A25,$A26,$B$4:$B25,$B26,$I$4:$I25,"&lt;&gt;Complete")=0,$A26&amp;"|"&amp;$B26,""),"")</f>
        <v>Authorities - Keys 52|</v>
      </c>
      <c r="P26" t="str">
        <f ca="1">IF($K26="Yes",COUNTIFS($K$4:$K26,"Yes"),"")</f>
        <v/>
      </c>
      <c r="Q26">
        <f t="shared" ca="1" si="3"/>
        <v>0</v>
      </c>
      <c r="R26" t="str">
        <f ca="1">IF($Q26=1,SUM($Q$4:$Q26),"")</f>
        <v/>
      </c>
    </row>
    <row r="27" spans="1:18" ht="33.75" customHeight="1" x14ac:dyDescent="0.3">
      <c r="A27" s="2" t="s">
        <v>48</v>
      </c>
      <c r="B27" s="2" t="s">
        <v>49</v>
      </c>
      <c r="C27" s="3" t="s">
        <v>50</v>
      </c>
      <c r="D27" s="3" t="s">
        <v>51</v>
      </c>
      <c r="E27" s="2"/>
      <c r="F27" s="2"/>
      <c r="G27" s="5">
        <v>45921</v>
      </c>
      <c r="H27" s="5">
        <v>45991</v>
      </c>
      <c r="I27" s="2" t="s">
        <v>31</v>
      </c>
      <c r="J27" s="6">
        <f t="shared" si="1"/>
        <v>70</v>
      </c>
      <c r="K27" s="4" t="str">
        <f t="shared" ca="1" si="2"/>
        <v>-</v>
      </c>
      <c r="L27" s="7" t="str">
        <f>IF(I27="Completed","0",IF($H27="","",$H27-'[2]Read Me'!$B$4))</f>
        <v>0</v>
      </c>
      <c r="M27" s="4" t="str">
        <f>IF($I27="Complete","Green",IF($H27="","Amber",IF($H27&lt;'[2]Read Me'!$B$4,"Red",IF($H27-'[2]Read Me'!$B$4&lt;=21,"Amber","Green"))))</f>
        <v>Red</v>
      </c>
      <c r="N27" s="3"/>
      <c r="O27" t="str">
        <f>IF($I27&lt;&gt;"Complete",IF(COUNTIFS($A$4:$A26,$A27,$B$4:$B26,$B27,$I$4:$I26,"&lt;&gt;Complete")=0,$A27&amp;"|"&amp;$B27,""),"")</f>
        <v>Authorities - Keys 52|Authorities</v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52</v>
      </c>
      <c r="B28" s="2" t="s">
        <v>21</v>
      </c>
      <c r="C28" s="3"/>
      <c r="D28" s="3"/>
      <c r="E28" s="2"/>
      <c r="F28" s="2"/>
      <c r="G28" s="5">
        <v>45971</v>
      </c>
      <c r="H28" s="5">
        <v>46190</v>
      </c>
      <c r="I28" s="2"/>
      <c r="J28" s="6">
        <f t="shared" si="1"/>
        <v>219</v>
      </c>
      <c r="K28" s="4" t="str">
        <f t="shared" ca="1" si="2"/>
        <v/>
      </c>
      <c r="L28" s="7">
        <f>IF(I28="Completed","0",IF($H28="","",$H28-'[2]Read Me'!$B$4))</f>
        <v>3</v>
      </c>
      <c r="M28" s="4" t="str">
        <f>IF($I28="Complete","Green",IF($H28="","Amber",IF($H28&lt;'[2]Read Me'!$B$4,"Red",IF($H28-'[2]Read Me'!$B$4&lt;=21,"Amber","Green"))))</f>
        <v>Amber</v>
      </c>
      <c r="N28" s="3"/>
      <c r="O28" t="str">
        <f>IF($I28&lt;&gt;"Complete",IF(COUNTIFS($A$4:$A27,$A28,$B$4:$B27,$B28,$I$4:$I27,"&lt;&gt;Complete")=0,$A28&amp;"|"&amp;$B28,""),"")</f>
        <v>Landscape &amp; Infra - Keys 52|Landscape</v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52</v>
      </c>
      <c r="B29" s="2" t="s">
        <v>21</v>
      </c>
      <c r="C29" s="3" t="s">
        <v>53</v>
      </c>
      <c r="D29" s="3" t="s">
        <v>15</v>
      </c>
      <c r="E29" s="2"/>
      <c r="F29" s="2" t="s">
        <v>30</v>
      </c>
      <c r="G29" s="5">
        <v>45915</v>
      </c>
      <c r="H29" s="5">
        <v>45915</v>
      </c>
      <c r="I29" s="2" t="s">
        <v>31</v>
      </c>
      <c r="J29" s="6">
        <f t="shared" si="1"/>
        <v>0</v>
      </c>
      <c r="K29" s="4" t="str">
        <f t="shared" ca="1" si="2"/>
        <v>-</v>
      </c>
      <c r="L29" s="7" t="str">
        <f>IF(I29="Completed","0",IF($H29="","",$H29-'[2]Read Me'!$B$4))</f>
        <v>0</v>
      </c>
      <c r="M29" s="4" t="str">
        <f>IF($I29="Complete","Green",IF($H29="","Amber",IF($H29&lt;'[2]Read Me'!$B$4,"Red",IF($H29-'[2]Read Me'!$B$4&lt;=21,"Amber","Green"))))</f>
        <v>Red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52</v>
      </c>
      <c r="B30" s="2" t="s">
        <v>21</v>
      </c>
      <c r="C30" s="3" t="s">
        <v>53</v>
      </c>
      <c r="D30" s="3" t="s">
        <v>35</v>
      </c>
      <c r="E30" s="2"/>
      <c r="F30" s="2"/>
      <c r="G30" s="5">
        <v>45929</v>
      </c>
      <c r="H30" s="5">
        <v>45929</v>
      </c>
      <c r="I30" s="2" t="s">
        <v>31</v>
      </c>
      <c r="J30" s="6">
        <f t="shared" si="1"/>
        <v>0</v>
      </c>
      <c r="K30" s="4" t="str">
        <f t="shared" ca="1" si="2"/>
        <v>-</v>
      </c>
      <c r="L30" s="7" t="str">
        <f>IF(I30="Completed","0",IF($H30="","",$H30-'[2]Read Me'!$B$4))</f>
        <v>0</v>
      </c>
      <c r="M30" s="4" t="str">
        <f>IF($I30="Complete","Green",IF($H30="","Amber",IF($H30&lt;'[2]Read Me'!$B$4,"Red",IF($H30-'[2]Read Me'!$B$4&lt;=21,"Amber","Green"))))</f>
        <v>Red</v>
      </c>
      <c r="N30" s="3"/>
      <c r="O30" t="str">
        <f>IF($I30&lt;&gt;"Complete",IF(COUNTIFS($A$4:$A29,$A30,$B$4:$B29,$B30,$I$4:$I29,"&lt;&gt;Complete")=0,$A30&amp;"|"&amp;$B30,""),"")</f>
        <v/>
      </c>
      <c r="P30" t="str">
        <f ca="1">IF($K30="Yes",COUNTIFS($K$4:$K30,"Yes"),"")</f>
        <v/>
      </c>
      <c r="Q30">
        <f t="shared" ca="1" si="3"/>
        <v>0</v>
      </c>
      <c r="R30" t="str">
        <f ca="1">IF($Q30=1,SUM($Q$4:$Q30),"")</f>
        <v/>
      </c>
    </row>
    <row r="31" spans="1:18" ht="14.25" customHeight="1" x14ac:dyDescent="0.3">
      <c r="A31" s="2" t="s">
        <v>52</v>
      </c>
      <c r="B31" s="2" t="s">
        <v>21</v>
      </c>
      <c r="C31" s="3" t="s">
        <v>53</v>
      </c>
      <c r="D31" s="3" t="s">
        <v>16</v>
      </c>
      <c r="E31" s="2"/>
      <c r="F31" s="2" t="s">
        <v>30</v>
      </c>
      <c r="G31" s="5">
        <v>45943</v>
      </c>
      <c r="H31" s="5">
        <v>46076</v>
      </c>
      <c r="I31" s="2" t="s">
        <v>31</v>
      </c>
      <c r="J31" s="6">
        <f t="shared" si="1"/>
        <v>133</v>
      </c>
      <c r="K31" s="4" t="str">
        <f t="shared" ca="1" si="2"/>
        <v>-</v>
      </c>
      <c r="L31" s="7" t="str">
        <f>IF(I31="Completed","0",IF($H31="","",$H31-'[2]Read Me'!$B$4))</f>
        <v>0</v>
      </c>
      <c r="M31" s="4" t="str">
        <f>IF($I31="Complete","Green",IF($H31="","Amber",IF($H31&lt;'[2]Read Me'!$B$4,"Red",IF($H31-'[2]Read Me'!$B$4&lt;=21,"Amber","Green"))))</f>
        <v>Red</v>
      </c>
      <c r="N31" s="3"/>
      <c r="O31" t="str">
        <f>IF($I31&lt;&gt;"Complete",IF(COUNTIFS($A$4:$A30,$A31,$B$4:$B30,$B31,$I$4:$I30,"&lt;&gt;Complete")=0,$A31&amp;"|"&amp;$B31,""),"")</f>
        <v/>
      </c>
      <c r="P31" t="str">
        <f ca="1">IF($K31="Yes",COUNTIFS($K$4:$K31,"Yes"),"")</f>
        <v/>
      </c>
      <c r="Q31">
        <f t="shared" ca="1" si="3"/>
        <v>0</v>
      </c>
      <c r="R31" t="str">
        <f ca="1">IF($Q31=1,SUM($Q$4:$Q31),"")</f>
        <v/>
      </c>
    </row>
    <row r="32" spans="1:18" ht="14.25" customHeight="1" x14ac:dyDescent="0.3">
      <c r="A32" s="2" t="s">
        <v>52</v>
      </c>
      <c r="B32" s="2" t="s">
        <v>21</v>
      </c>
      <c r="C32" s="3" t="s">
        <v>53</v>
      </c>
      <c r="D32" s="3" t="s">
        <v>37</v>
      </c>
      <c r="E32" s="2"/>
      <c r="F32" s="2"/>
      <c r="G32" s="5">
        <v>45957</v>
      </c>
      <c r="H32" s="5">
        <v>46079</v>
      </c>
      <c r="I32" s="2" t="s">
        <v>31</v>
      </c>
      <c r="J32" s="6">
        <f t="shared" si="1"/>
        <v>122</v>
      </c>
      <c r="K32" s="4" t="str">
        <f t="shared" ca="1" si="2"/>
        <v>-</v>
      </c>
      <c r="L32" s="7" t="str">
        <f>IF(I32="Completed","0",IF($H32="","",$H32-'[2]Read Me'!$B$4))</f>
        <v>0</v>
      </c>
      <c r="M32" s="4" t="str">
        <f>IF($I32="Complete","Green",IF($H32="","Amber",IF($H32&lt;'[2]Read Me'!$B$4,"Red",IF($H32-'[2]Read Me'!$B$4&lt;=21,"Amber","Green"))))</f>
        <v>Red</v>
      </c>
      <c r="N32" s="3"/>
      <c r="O32" t="str">
        <f>IF($I32&lt;&gt;"Complete",IF(COUNTIFS($A$4:$A31,$A32,$B$4:$B31,$B32,$I$4:$I31,"&lt;&gt;Complete")=0,$A32&amp;"|"&amp;$B32,""),"")</f>
        <v/>
      </c>
      <c r="P32" t="str">
        <f ca="1">IF($K32="Yes",COUNTIFS($K$4:$K32,"Yes"),"")</f>
        <v/>
      </c>
      <c r="Q32">
        <f t="shared" ca="1" si="3"/>
        <v>0</v>
      </c>
      <c r="R32" t="str">
        <f ca="1">IF($Q32=1,SUM($Q$4:$Q32),"")</f>
        <v/>
      </c>
    </row>
    <row r="33" spans="1:18" ht="14.25" customHeight="1" x14ac:dyDescent="0.3">
      <c r="A33" s="2" t="s">
        <v>52</v>
      </c>
      <c r="B33" s="2" t="s">
        <v>21</v>
      </c>
      <c r="C33" s="3" t="s">
        <v>53</v>
      </c>
      <c r="D33" s="3" t="s">
        <v>54</v>
      </c>
      <c r="E33" s="2"/>
      <c r="F33" s="2" t="s">
        <v>30</v>
      </c>
      <c r="G33" s="5"/>
      <c r="H33" s="5">
        <v>46182</v>
      </c>
      <c r="I33" s="2" t="s">
        <v>31</v>
      </c>
      <c r="J33" s="6" t="str">
        <f t="shared" si="1"/>
        <v/>
      </c>
      <c r="K33" s="4" t="str">
        <f t="shared" ca="1" si="2"/>
        <v>-</v>
      </c>
      <c r="L33" s="7" t="str">
        <f>IF(I33="Completed","0",IF($H33="","",$H33-'[2]Read Me'!$B$4))</f>
        <v>0</v>
      </c>
      <c r="M33" s="4" t="str">
        <f>IF($I33="Complete","Green",IF($H33="","Amber",IF($H33&lt;'[2]Read Me'!$B$4,"Red",IF($H33-'[2]Read Me'!$B$4&lt;=21,"Amber","Green"))))</f>
        <v>Red</v>
      </c>
      <c r="N33" s="3"/>
      <c r="O33" t="str">
        <f>IF($I33&lt;&gt;"Complete",IF(COUNTIFS($A$4:$A32,$A33,$B$4:$B32,$B33,$I$4:$I32,"&lt;&gt;Complete")=0,$A33&amp;"|"&amp;$B33,""),"")</f>
        <v/>
      </c>
      <c r="P33" t="str">
        <f ca="1">IF($K33="Yes",COUNTIFS($K$4:$K33,"Yes"),"")</f>
        <v/>
      </c>
      <c r="Q33">
        <f t="shared" ca="1" si="3"/>
        <v>0</v>
      </c>
      <c r="R33" t="str">
        <f ca="1">IF($Q33=1,SUM($Q$4:$Q33),"")</f>
        <v/>
      </c>
    </row>
    <row r="34" spans="1:18" ht="14.25" customHeight="1" x14ac:dyDescent="0.3">
      <c r="A34" s="2" t="s">
        <v>52</v>
      </c>
      <c r="B34" s="2" t="s">
        <v>21</v>
      </c>
      <c r="C34" s="3" t="s">
        <v>53</v>
      </c>
      <c r="D34" s="3" t="s">
        <v>37</v>
      </c>
      <c r="E34" s="2"/>
      <c r="F34" s="2"/>
      <c r="G34" s="5"/>
      <c r="H34" s="5">
        <v>46183</v>
      </c>
      <c r="I34" s="2" t="s">
        <v>31</v>
      </c>
      <c r="J34" s="6" t="str">
        <f t="shared" si="1"/>
        <v/>
      </c>
      <c r="K34" s="4" t="str">
        <f t="shared" ca="1" si="2"/>
        <v>-</v>
      </c>
      <c r="L34" s="7" t="str">
        <f>IF(I34="Completed","0",IF($H34="","",$H34-'[2]Read Me'!$B$4))</f>
        <v>0</v>
      </c>
      <c r="M34" s="4" t="str">
        <f>IF($I34="Complete","Green",IF($H34="","Amber",IF($H34&lt;'[2]Read Me'!$B$4,"Red",IF($H34-'[2]Read Me'!$B$4&lt;=21,"Amber","Green"))))</f>
        <v>Red</v>
      </c>
      <c r="N34" s="3"/>
      <c r="O34" t="str">
        <f>IF($I34&lt;&gt;"Complete",IF(COUNTIFS($A$4:$A33,$A34,$B$4:$B33,$B34,$I$4:$I33,"&lt;&gt;Complete")=0,$A34&amp;"|"&amp;$B34,""),"")</f>
        <v/>
      </c>
      <c r="P34" t="str">
        <f ca="1">IF($K34="Yes",COUNTIFS($K$4:$K34,"Yes"),"")</f>
        <v/>
      </c>
      <c r="Q34">
        <f t="shared" ca="1" si="3"/>
        <v>0</v>
      </c>
      <c r="R34" t="str">
        <f ca="1">IF($Q34=1,SUM($Q$4:$Q34),"")</f>
        <v/>
      </c>
    </row>
    <row r="35" spans="1:18" ht="14.25" customHeight="1" x14ac:dyDescent="0.3">
      <c r="A35" s="2" t="s">
        <v>52</v>
      </c>
      <c r="B35" s="2" t="s">
        <v>21</v>
      </c>
      <c r="C35" s="3" t="s">
        <v>53</v>
      </c>
      <c r="D35" s="3" t="s">
        <v>55</v>
      </c>
      <c r="E35" s="2"/>
      <c r="F35" s="2" t="s">
        <v>30</v>
      </c>
      <c r="G35" s="5"/>
      <c r="H35" s="5">
        <v>46187</v>
      </c>
      <c r="I35" s="2" t="s">
        <v>31</v>
      </c>
      <c r="J35" s="6" t="str">
        <f t="shared" si="1"/>
        <v/>
      </c>
      <c r="K35" s="4" t="str">
        <f t="shared" ca="1" si="2"/>
        <v>-</v>
      </c>
      <c r="L35" s="7" t="str">
        <f>IF(I35="Completed","0",IF($H35="","",$H35-'[2]Read Me'!$B$4))</f>
        <v>0</v>
      </c>
      <c r="M35" s="4" t="str">
        <f>IF($I35="Complete","Green",IF($H35="","Amber",IF($H35&lt;'[2]Read Me'!$B$4,"Red",IF($H35-'[2]Read Me'!$B$4&lt;=21,"Amber","Green"))))</f>
        <v>Amber</v>
      </c>
      <c r="N35" s="3"/>
      <c r="O35" t="str">
        <f>IF($I35&lt;&gt;"Complete",IF(COUNTIFS($A$4:$A34,$A35,$B$4:$B34,$B35,$I$4:$I34,"&lt;&gt;Complete")=0,$A35&amp;"|"&amp;$B35,""),"")</f>
        <v/>
      </c>
      <c r="P35" t="str">
        <f ca="1">IF($K35="Yes",COUNTIFS($K$4:$K35,"Yes"),"")</f>
        <v/>
      </c>
      <c r="Q35">
        <f t="shared" ca="1" si="3"/>
        <v>0</v>
      </c>
      <c r="R35" t="str">
        <f ca="1">IF($Q35=1,SUM($Q$4:$Q35),"")</f>
        <v/>
      </c>
    </row>
    <row r="36" spans="1:18" ht="14.25" customHeight="1" x14ac:dyDescent="0.3">
      <c r="A36" s="2" t="s">
        <v>52</v>
      </c>
      <c r="B36" s="2" t="s">
        <v>21</v>
      </c>
      <c r="C36" s="3" t="s">
        <v>53</v>
      </c>
      <c r="D36" s="3" t="s">
        <v>37</v>
      </c>
      <c r="E36" s="2"/>
      <c r="F36" s="2"/>
      <c r="G36" s="5"/>
      <c r="H36" s="5">
        <v>46190</v>
      </c>
      <c r="I36" s="2" t="s">
        <v>31</v>
      </c>
      <c r="J36" s="6" t="str">
        <f t="shared" si="1"/>
        <v/>
      </c>
      <c r="K36" s="4" t="str">
        <f t="shared" ca="1" si="2"/>
        <v>-</v>
      </c>
      <c r="L36" s="7" t="str">
        <f>IF(I36="Completed","0",IF($H36="","",$H36-'[2]Read Me'!$B$4))</f>
        <v>0</v>
      </c>
      <c r="M36" s="4" t="str">
        <f>IF($I36="Complete","Green",IF($H36="","Amber",IF($H36&lt;'[2]Read Me'!$B$4,"Red",IF($H36-'[2]Read Me'!$B$4&lt;=21,"Amber","Green"))))</f>
        <v>Amber</v>
      </c>
      <c r="N36" s="3"/>
      <c r="O36" t="str">
        <f>IF($I36&lt;&gt;"Complete",IF(COUNTIFS($A$4:$A35,$A36,$B$4:$B35,$B36,$I$4:$I35,"&lt;&gt;Complete")=0,$A36&amp;"|"&amp;$B36,""),"")</f>
        <v/>
      </c>
      <c r="P36" t="str">
        <f ca="1">IF($K36="Yes",COUNTIFS($K$4:$K36,"Yes"),"")</f>
        <v/>
      </c>
      <c r="Q36">
        <f t="shared" ca="1" si="3"/>
        <v>0</v>
      </c>
      <c r="R36" t="str">
        <f ca="1">IF($Q36=1,SUM($Q$4:$Q36),"")</f>
        <v/>
      </c>
    </row>
    <row r="37" spans="1:18" ht="14.25" customHeight="1" x14ac:dyDescent="0.3">
      <c r="A37" s="2" t="s">
        <v>56</v>
      </c>
      <c r="B37" s="2" t="s">
        <v>23</v>
      </c>
      <c r="C37" s="3"/>
      <c r="D37" s="3"/>
      <c r="E37" s="2"/>
      <c r="F37" s="2"/>
      <c r="G37" s="5">
        <v>46054</v>
      </c>
      <c r="H37" s="5">
        <v>46093</v>
      </c>
      <c r="I37" s="2"/>
      <c r="J37" s="6">
        <f t="shared" si="1"/>
        <v>39</v>
      </c>
      <c r="K37" s="4" t="str">
        <f t="shared" ca="1" si="2"/>
        <v/>
      </c>
      <c r="L37" s="7">
        <f>IF(I37="Completed","0",IF($H37="","",$H37-'[2]Read Me'!$B$4))</f>
        <v>-94</v>
      </c>
      <c r="M37" s="4" t="str">
        <f>IF($I37="Complete","Green",IF($H37="","Amber",IF($H37&lt;'[2]Read Me'!$B$4,"Red",IF($H37-'[2]Read Me'!$B$4&lt;=21,"Amber","Green"))))</f>
        <v>Red</v>
      </c>
      <c r="N37" s="3"/>
      <c r="O37" t="str">
        <f>IF($I37&lt;&gt;"Complete",IF(COUNTIFS($A$4:$A36,$A37,$B$4:$B36,$B37,$I$4:$I36,"&lt;&gt;Complete")=0,$A37&amp;"|"&amp;$B37,""),"")</f>
        <v>Fences &amp; Gates - Keys 52|Fences &amp; Gates</v>
      </c>
      <c r="P37" t="str">
        <f ca="1">IF($K37="Yes",COUNTIFS($K$4:$K37,"Yes"),"")</f>
        <v/>
      </c>
      <c r="Q37">
        <f t="shared" ca="1" si="3"/>
        <v>0</v>
      </c>
      <c r="R37" t="str">
        <f ca="1">IF($Q37=1,SUM($Q$4:$Q37),"")</f>
        <v/>
      </c>
    </row>
    <row r="38" spans="1:18" ht="14.25" customHeight="1" x14ac:dyDescent="0.3">
      <c r="A38" s="2" t="s">
        <v>56</v>
      </c>
      <c r="B38" s="2" t="s">
        <v>23</v>
      </c>
      <c r="C38" s="3" t="s">
        <v>23</v>
      </c>
      <c r="D38" s="3" t="s">
        <v>57</v>
      </c>
      <c r="E38" s="2"/>
      <c r="F38" s="2" t="s">
        <v>30</v>
      </c>
      <c r="G38" s="5">
        <v>46033</v>
      </c>
      <c r="H38" s="5">
        <v>46076</v>
      </c>
      <c r="I38" s="2" t="s">
        <v>31</v>
      </c>
      <c r="J38" s="6">
        <f t="shared" si="1"/>
        <v>43</v>
      </c>
      <c r="K38" s="4" t="str">
        <f t="shared" ca="1" si="2"/>
        <v>-</v>
      </c>
      <c r="L38" s="7" t="str">
        <f>IF(I38="Completed","0",IF($H38="","",$H38-'[2]Read Me'!$B$4))</f>
        <v>0</v>
      </c>
      <c r="M38" s="4" t="str">
        <f>IF($I38="Complete","Green",IF($H38="","Amber",IF($H38&lt;'[2]Read Me'!$B$4,"Red",IF($H38-'[2]Read Me'!$B$4&lt;=21,"Amber","Green"))))</f>
        <v>Red</v>
      </c>
      <c r="N38" s="3"/>
      <c r="O38" t="str">
        <f>IF($I38&lt;&gt;"Complete",IF(COUNTIFS($A$4:$A37,$A38,$B$4:$B37,$B38,$I$4:$I37,"&lt;&gt;Complete")=0,$A38&amp;"|"&amp;$B38,""),"")</f>
        <v/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56</v>
      </c>
      <c r="B39" s="2" t="s">
        <v>23</v>
      </c>
      <c r="C39" s="3" t="s">
        <v>23</v>
      </c>
      <c r="D39" s="3" t="s">
        <v>58</v>
      </c>
      <c r="E39" s="2"/>
      <c r="F39" s="2"/>
      <c r="G39" s="5">
        <v>46040</v>
      </c>
      <c r="H39" s="5">
        <v>46079</v>
      </c>
      <c r="I39" s="2" t="s">
        <v>31</v>
      </c>
      <c r="J39" s="6">
        <f t="shared" si="1"/>
        <v>39</v>
      </c>
      <c r="K39" s="4" t="str">
        <f t="shared" ca="1" si="2"/>
        <v>-</v>
      </c>
      <c r="L39" s="7" t="str">
        <f>IF(I39="Completed","0",IF($H39="","",$H39-'[2]Read Me'!$B$4))</f>
        <v>0</v>
      </c>
      <c r="M39" s="4" t="str">
        <f>IF($I39="Complete","Green",IF($H39="","Amber",IF($H39&lt;'[2]Read Me'!$B$4,"Red",IF($H39-'[2]Read Me'!$B$4&lt;=21,"Amber","Green"))))</f>
        <v>Red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/>
      <c r="B40" s="2"/>
      <c r="C40" s="3"/>
      <c r="D40" s="3"/>
      <c r="E40" s="2"/>
      <c r="F40" s="2"/>
      <c r="G40" s="5"/>
      <c r="H40" s="5"/>
      <c r="I40" s="2"/>
      <c r="J40" s="6" t="str">
        <f t="shared" si="1"/>
        <v/>
      </c>
      <c r="K40" s="4" t="str">
        <f t="shared" ca="1" si="2"/>
        <v/>
      </c>
      <c r="L40" s="7" t="str">
        <f>IF(I40="Completed","0",IF($H40="","",$H40-'[2]Read Me'!$B$4))</f>
        <v/>
      </c>
      <c r="M40" s="4" t="str">
        <f>IF($I40="Complete","Green",IF($H40="","Amber",IF($H40&lt;'[2]Read Me'!$B$4,"Red",IF($H40-'[2]Read Me'!$B$4&lt;=21,"Amber","Green"))))</f>
        <v>Amber</v>
      </c>
      <c r="N40" s="3"/>
      <c r="O40" t="str">
        <f>IF($I40&lt;&gt;"Complete",IF(COUNTIFS($A$4:$A39,$A40,$B$4:$B39,$B40,$I$4:$I39,"&lt;&gt;Complete")=0,$A40&amp;"|"&amp;$B40,""),"")</f>
        <v>|</v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/>
      <c r="B41" s="2"/>
      <c r="C41" s="3"/>
      <c r="D41" s="3"/>
      <c r="E41" s="2"/>
      <c r="F41" s="2"/>
      <c r="G41" s="5"/>
      <c r="H41" s="5"/>
      <c r="I41" s="2"/>
      <c r="J41" s="6" t="str">
        <f t="shared" si="1"/>
        <v/>
      </c>
      <c r="K41" s="4" t="str">
        <f t="shared" ca="1" si="2"/>
        <v/>
      </c>
      <c r="L41" s="7" t="str">
        <f>IF(I41="Completed","0",IF($H41="","",$H41-'[2]Read Me'!$B$4))</f>
        <v/>
      </c>
      <c r="M41" s="4" t="str">
        <f>IF($I41="Complete","Green",IF($H41="","Amber",IF($H41&lt;'[2]Read Me'!$B$4,"Red",IF($H41-'[2]Read Me'!$B$4&lt;=21,"Amber","Green"))))</f>
        <v>Amber</v>
      </c>
      <c r="N41" s="3"/>
      <c r="O41" t="str">
        <f>IF($I41&lt;&gt;"Complete",IF(COUNTIFS($A$4:$A40,$A41,$B$4:$B40,$B41,$I$4:$I40,"&lt;&gt;Complete")=0,$A41&amp;"|"&amp;$B41,""),"")</f>
        <v>|</v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/>
      <c r="B42" s="2"/>
      <c r="C42" s="3"/>
      <c r="D42" s="3"/>
      <c r="E42" s="2"/>
      <c r="F42" s="2"/>
      <c r="G42" s="5"/>
      <c r="H42" s="5"/>
      <c r="I42" s="2"/>
      <c r="J42" s="6" t="str">
        <f t="shared" si="1"/>
        <v/>
      </c>
      <c r="K42" s="4" t="str">
        <f t="shared" ca="1" si="2"/>
        <v/>
      </c>
      <c r="L42" s="7" t="str">
        <f>IF(I42="Completed","0",IF($H42="","",$H42-'[2]Read Me'!$B$4))</f>
        <v/>
      </c>
      <c r="M42" s="4" t="str">
        <f>IF($I42="Complete","Green",IF($H42="","Amber",IF($H42&lt;'[2]Read Me'!$B$4,"Red",IF($H42-'[2]Read Me'!$B$4&lt;=21,"Amber","Green"))))</f>
        <v>Amber</v>
      </c>
      <c r="N42" s="3"/>
      <c r="O42" t="str">
        <f>IF($I42&lt;&gt;"Complete",IF(COUNTIFS($A$4:$A41,$A42,$B$4:$B41,$B42,$I$4:$I41,"&lt;&gt;Complete")=0,$A42&amp;"|"&amp;$B42,""),"")</f>
        <v>|</v>
      </c>
      <c r="P42" t="str">
        <f ca="1">IF($K42="Yes",COUNTIFS($K$4:$K42,"Yes"),"")</f>
        <v/>
      </c>
      <c r="Q42">
        <f t="shared" ca="1" si="3"/>
        <v>0</v>
      </c>
      <c r="R42" t="str">
        <f ca="1">IF($Q42=1,SUM($Q$4:$Q42),"")</f>
        <v/>
      </c>
    </row>
    <row r="43" spans="1:18" ht="22.5" customHeight="1" x14ac:dyDescent="0.3">
      <c r="A43" s="2"/>
      <c r="B43" s="2"/>
      <c r="C43" s="3"/>
      <c r="D43" s="3"/>
      <c r="E43" s="2"/>
      <c r="F43" s="2"/>
      <c r="G43" s="5"/>
      <c r="H43" s="5"/>
      <c r="I43" s="2"/>
      <c r="J43" s="6" t="str">
        <f t="shared" si="1"/>
        <v/>
      </c>
      <c r="K43" s="4" t="str">
        <f t="shared" ca="1" si="2"/>
        <v/>
      </c>
      <c r="L43" s="7" t="str">
        <f>IF(I43="Completed","0",IF($H43="","",$H43-'[2]Read Me'!$B$4))</f>
        <v/>
      </c>
      <c r="M43" s="4" t="str">
        <f>IF($I43="Complete","Green",IF($H43="","Amber",IF($H43&lt;'[2]Read Me'!$B$4,"Red",IF($H43-'[2]Read Me'!$B$4&lt;=21,"Amber","Green"))))</f>
        <v>Amber</v>
      </c>
      <c r="N43" s="3"/>
      <c r="O43" t="str">
        <f>IF($I43&lt;&gt;"Complete",IF(COUNTIFS($A$4:$A42,$A43,$B$4:$B42,$B43,$I$4:$I42,"&lt;&gt;Complete")=0,$A43&amp;"|"&amp;$B43,""),"")</f>
        <v>|</v>
      </c>
      <c r="P43" t="str">
        <f ca="1">IF($K43="Yes",COUNTIFS($K$4:$K43,"Yes"),"")</f>
        <v/>
      </c>
      <c r="Q43">
        <f t="shared" ca="1" si="3"/>
        <v>0</v>
      </c>
      <c r="R43" t="str">
        <f ca="1">IF($Q43=1,SUM($Q$4:$Q43),"")</f>
        <v/>
      </c>
    </row>
    <row r="44" spans="1:18" ht="14.25" customHeight="1" x14ac:dyDescent="0.3">
      <c r="A44" s="2"/>
      <c r="B44" s="2"/>
      <c r="C44" s="3"/>
      <c r="D44" s="3"/>
      <c r="E44" s="2"/>
      <c r="F44" s="2"/>
      <c r="G44" s="5"/>
      <c r="H44" s="5"/>
      <c r="I44" s="4"/>
      <c r="J44" s="6" t="str">
        <f t="shared" si="1"/>
        <v/>
      </c>
      <c r="K44" s="4" t="str">
        <f t="shared" ca="1" si="2"/>
        <v/>
      </c>
      <c r="L44" s="7" t="str">
        <f>IF(I44="Completed","0",IF($H44="","",$H44-'[2]Read Me'!$B$4))</f>
        <v/>
      </c>
      <c r="M44" s="4" t="str">
        <f>IF($I44="Complete","Green",IF($H44="","Amber",IF($H44&lt;'[2]Read Me'!$B$4,"Red",IF($H44-'[2]Read Me'!$B$4&lt;=21,"Amber","Green"))))</f>
        <v>Amber</v>
      </c>
      <c r="N44" s="3"/>
      <c r="O44" t="str">
        <f>IF($I44&lt;&gt;"Complete",IF(COUNTIFS($A$4:$A43,$A44,$B$4:$B43,$B44,$I$4:$I43,"&lt;&gt;Complete")=0,$A44&amp;"|"&amp;$B44,""),"")</f>
        <v>|</v>
      </c>
      <c r="P44" t="str">
        <f ca="1">IF($K44="Yes",COUNTIFS($K$4:$K44,"Yes"),"")</f>
        <v/>
      </c>
      <c r="Q44">
        <f t="shared" ca="1" si="3"/>
        <v>0</v>
      </c>
      <c r="R44" t="str">
        <f ca="1">IF($Q44=1,SUM($Q$4:$Q44),"")</f>
        <v/>
      </c>
    </row>
    <row r="45" spans="1:18" ht="14.25" customHeight="1" x14ac:dyDescent="0.3">
      <c r="A45" s="2"/>
      <c r="B45" s="2"/>
      <c r="C45" s="3"/>
      <c r="D45" s="3"/>
      <c r="E45" s="2"/>
      <c r="F45" s="2"/>
      <c r="G45" s="5"/>
      <c r="H45" s="5"/>
      <c r="I45" s="4"/>
      <c r="J45" s="6" t="str">
        <f t="shared" si="1"/>
        <v/>
      </c>
      <c r="K45" s="4" t="str">
        <f t="shared" ca="1" si="2"/>
        <v/>
      </c>
      <c r="L45" s="7" t="str">
        <f>IF(I45="Completed","0",IF($H45="","",$H45-'[2]Read Me'!$B$4))</f>
        <v/>
      </c>
      <c r="M45" s="4" t="str">
        <f>IF($I45="Complete","Green",IF($H45="","Amber",IF($H45&lt;'[2]Read Me'!$B$4,"Red",IF($H45-'[2]Read Me'!$B$4&lt;=21,"Amber","Green"))))</f>
        <v>Amber</v>
      </c>
      <c r="N45" s="3"/>
      <c r="O45" t="str">
        <f>IF($I45&lt;&gt;"Complete",IF(COUNTIFS($A$4:$A44,$A45,$B$4:$B44,$B45,$I$4:$I44,"&lt;&gt;Complete")=0,$A45&amp;"|"&amp;$B45,""),"")</f>
        <v>|</v>
      </c>
      <c r="P45" t="str">
        <f ca="1">IF($K45="Yes",COUNTIFS($K$4:$K45,"Yes"),"")</f>
        <v/>
      </c>
      <c r="Q45">
        <f t="shared" ca="1" si="3"/>
        <v>0</v>
      </c>
      <c r="R45" t="str">
        <f ca="1">IF($Q45=1,SUM($Q$4:$Q45),"")</f>
        <v/>
      </c>
    </row>
    <row r="46" spans="1:18" ht="22.5" customHeight="1" x14ac:dyDescent="0.3">
      <c r="A46" s="2"/>
      <c r="B46" s="2"/>
      <c r="C46" s="3"/>
      <c r="D46" s="3"/>
      <c r="E46" s="2"/>
      <c r="F46" s="2"/>
      <c r="G46" s="5"/>
      <c r="H46" s="5"/>
      <c r="I46" s="4"/>
      <c r="J46" s="6" t="str">
        <f t="shared" si="1"/>
        <v/>
      </c>
      <c r="K46" s="4" t="str">
        <f t="shared" ca="1" si="2"/>
        <v/>
      </c>
      <c r="L46" s="7" t="str">
        <f>IF(I46="Completed","0",IF($H46="","",$H46-'[2]Read Me'!$B$4))</f>
        <v/>
      </c>
      <c r="M46" s="4" t="str">
        <f>IF($I46="Complete","Green",IF($H46="","Amber",IF($H46&lt;'[2]Read Me'!$B$4,"Red",IF($H46-'[2]Read Me'!$B$4&lt;=21,"Amber","Green"))))</f>
        <v>Amber</v>
      </c>
      <c r="N46" s="3"/>
      <c r="O46" t="str">
        <f>IF($I46&lt;&gt;"Complete",IF(COUNTIFS($A$4:$A45,$A46,$B$4:$B45,$B46,$I$4:$I45,"&lt;&gt;Complete")=0,$A46&amp;"|"&amp;$B46,""),"")</f>
        <v>|</v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/>
      <c r="B47" s="2"/>
      <c r="C47" s="3"/>
      <c r="D47" s="3"/>
      <c r="E47" s="2"/>
      <c r="F47" s="2"/>
      <c r="G47" s="5"/>
      <c r="H47" s="5"/>
      <c r="I47" s="4"/>
      <c r="J47" s="6" t="str">
        <f t="shared" si="1"/>
        <v/>
      </c>
      <c r="K47" s="4" t="str">
        <f t="shared" ca="1" si="2"/>
        <v/>
      </c>
      <c r="L47" s="7" t="str">
        <f>IF(I47="Completed","0",IF($H47="","",$H47-'[2]Read Me'!$B$4))</f>
        <v/>
      </c>
      <c r="M47" s="4" t="str">
        <f>IF($I47="Complete","Green",IF($H47="","Amber",IF($H47&lt;'[2]Read Me'!$B$4,"Red",IF($H47-'[2]Read Me'!$B$4&lt;=21,"Amber","Green"))))</f>
        <v>Amber</v>
      </c>
      <c r="N47" s="3"/>
      <c r="O47" t="str">
        <f>IF($I47&lt;&gt;"Complete",IF(COUNTIFS($A$4:$A46,$A47,$B$4:$B46,$B47,$I$4:$I46,"&lt;&gt;Complete")=0,$A47&amp;"|"&amp;$B47,""),"")</f>
        <v>|</v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/>
      <c r="B48" s="2"/>
      <c r="C48" s="3"/>
      <c r="D48" s="3"/>
      <c r="E48" s="2"/>
      <c r="F48" s="2"/>
      <c r="G48" s="5"/>
      <c r="H48" s="5"/>
      <c r="I48" s="4"/>
      <c r="J48" s="6" t="str">
        <f t="shared" si="1"/>
        <v/>
      </c>
      <c r="K48" s="4" t="str">
        <f t="shared" ca="1" si="2"/>
        <v/>
      </c>
      <c r="L48" s="7" t="str">
        <f>IF(I48="Completed","0",IF($H48="","",$H48-'[2]Read Me'!$B$4))</f>
        <v/>
      </c>
      <c r="M48" s="4" t="str">
        <f>IF($I48="Complete","Green",IF($H48="","Amber",IF($H48&lt;'[2]Read Me'!$B$4,"Red",IF($H48-'[2]Read Me'!$B$4&lt;=21,"Amber","Green"))))</f>
        <v>Amber</v>
      </c>
      <c r="N48" s="3"/>
      <c r="O48" t="str">
        <f>IF($I48&lt;&gt;"Complete",IF(COUNTIFS($A$4:$A47,$A48,$B$4:$B47,$B48,$I$4:$I47,"&lt;&gt;Complete")=0,$A48&amp;"|"&amp;$B48,""),"")</f>
        <v>|</v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/>
      <c r="B49" s="2"/>
      <c r="C49" s="3"/>
      <c r="D49" s="3"/>
      <c r="E49" s="2"/>
      <c r="F49" s="2"/>
      <c r="G49" s="5"/>
      <c r="H49" s="5"/>
      <c r="I49" s="4"/>
      <c r="J49" s="6" t="str">
        <f t="shared" si="1"/>
        <v/>
      </c>
      <c r="K49" s="4" t="str">
        <f t="shared" ca="1" si="2"/>
        <v/>
      </c>
      <c r="L49" s="7" t="str">
        <f>IF(I49="Completed","0",IF($H49="","",$H49-'[2]Read Me'!$B$4))</f>
        <v/>
      </c>
      <c r="M49" s="4" t="str">
        <f>IF($I49="Complete","Green",IF($H49="","Amber",IF($H49&lt;'[2]Read Me'!$B$4,"Red",IF($H49-'[2]Read Me'!$B$4&lt;=21,"Amber","Green"))))</f>
        <v>Amber</v>
      </c>
      <c r="N49" s="3"/>
      <c r="O49" t="str">
        <f>IF($I49&lt;&gt;"Complete",IF(COUNTIFS($A$4:$A48,$A49,$B$4:$B48,$B49,$I$4:$I48,"&lt;&gt;Complete")=0,$A49&amp;"|"&amp;$B49,""),"")</f>
        <v>|</v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/>
      <c r="B50" s="2"/>
      <c r="C50" s="3"/>
      <c r="D50" s="3"/>
      <c r="E50" s="2"/>
      <c r="F50" s="2"/>
      <c r="G50" s="5"/>
      <c r="H50" s="5"/>
      <c r="I50" s="4"/>
      <c r="J50" s="6" t="str">
        <f t="shared" si="1"/>
        <v/>
      </c>
      <c r="K50" s="4" t="str">
        <f t="shared" ca="1" si="2"/>
        <v/>
      </c>
      <c r="L50" s="7" t="str">
        <f>IF(I50="Completed","0",IF($H50="","",$H50-'[2]Read Me'!$B$4))</f>
        <v/>
      </c>
      <c r="M50" s="4" t="str">
        <f>IF($I50="Complete","Green",IF($H50="","Amber",IF($H50&lt;'[2]Read Me'!$B$4,"Red",IF($H50-'[2]Read Me'!$B$4&lt;=21,"Amber","Green"))))</f>
        <v>Amber</v>
      </c>
      <c r="N50" s="3"/>
      <c r="O50" t="str">
        <f>IF($I50&lt;&gt;"Complete",IF(COUNTIFS($A$4:$A49,$A50,$B$4:$B49,$B50,$I$4:$I49,"&lt;&gt;Complete")=0,$A50&amp;"|"&amp;$B50,""),"")</f>
        <v>|</v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/>
      <c r="B51" s="2"/>
      <c r="C51" s="3"/>
      <c r="D51" s="3"/>
      <c r="E51" s="2"/>
      <c r="F51" s="2"/>
      <c r="G51" s="5"/>
      <c r="H51" s="5"/>
      <c r="I51" s="4"/>
      <c r="J51" s="6" t="str">
        <f t="shared" si="1"/>
        <v/>
      </c>
      <c r="K51" s="4" t="str">
        <f t="shared" ca="1" si="2"/>
        <v/>
      </c>
      <c r="L51" s="7" t="str">
        <f>IF(I51="Completed","0",IF($H51="","",$H51-'[2]Read Me'!$B$4))</f>
        <v/>
      </c>
      <c r="M51" s="4" t="str">
        <f>IF($I51="Complete","Green",IF($H51="","Amber",IF($H51&lt;'[2]Read Me'!$B$4,"Red",IF($H51-'[2]Read Me'!$B$4&lt;=21,"Amber","Green"))))</f>
        <v>Amber</v>
      </c>
      <c r="N51" s="3"/>
      <c r="O51" t="str">
        <f>IF($I51&lt;&gt;"Complete",IF(COUNTIFS($A$4:$A50,$A51,$B$4:$B50,$B51,$I$4:$I50,"&lt;&gt;Complete")=0,$A51&amp;"|"&amp;$B51,""),"")</f>
        <v>|</v>
      </c>
      <c r="P51" t="str">
        <f ca="1">IF($K51="Yes",COUNTIFS($K$4:$K51,"Yes"),"")</f>
        <v/>
      </c>
      <c r="Q51">
        <f t="shared" ca="1" si="3"/>
        <v>0</v>
      </c>
      <c r="R51" t="str">
        <f ca="1">IF($Q51=1,SUM($Q$4:$Q51),"")</f>
        <v/>
      </c>
    </row>
    <row r="52" spans="1:18" ht="33.75" customHeight="1" x14ac:dyDescent="0.3">
      <c r="A52" s="2"/>
      <c r="B52" s="2"/>
      <c r="C52" s="3"/>
      <c r="D52" s="3"/>
      <c r="E52" s="2"/>
      <c r="F52" s="2"/>
      <c r="G52" s="5"/>
      <c r="H52" s="5"/>
      <c r="I52" s="4"/>
      <c r="J52" s="6" t="str">
        <f t="shared" si="1"/>
        <v/>
      </c>
      <c r="K52" s="4" t="str">
        <f t="shared" ca="1" si="2"/>
        <v/>
      </c>
      <c r="L52" s="7" t="str">
        <f>IF(I52="Completed","0",IF($H52="","",$H52-'[2]Read Me'!$B$4))</f>
        <v/>
      </c>
      <c r="M52" s="4" t="str">
        <f>IF($I52="Complete","Green",IF($H52="","Amber",IF($H52&lt;'[2]Read Me'!$B$4,"Red",IF($H52-'[2]Read Me'!$B$4&lt;=21,"Amber","Green"))))</f>
        <v>Amber</v>
      </c>
      <c r="N52" s="3"/>
      <c r="O52" t="str">
        <f>IF($I52&lt;&gt;"Complete",IF(COUNTIFS($A$4:$A51,$A52,$B$4:$B51,$B52,$I$4:$I51,"&lt;&gt;Complete")=0,$A52&amp;"|"&amp;$B52,""),"")</f>
        <v>|</v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/>
      <c r="B53" s="2"/>
      <c r="C53" s="3"/>
      <c r="D53" s="3"/>
      <c r="E53" s="2"/>
      <c r="F53" s="2"/>
      <c r="G53" s="5"/>
      <c r="H53" s="5"/>
      <c r="I53" s="4"/>
      <c r="J53" s="6" t="str">
        <f t="shared" si="1"/>
        <v/>
      </c>
      <c r="K53" s="4" t="str">
        <f t="shared" ca="1" si="2"/>
        <v/>
      </c>
      <c r="L53" s="7" t="str">
        <f>IF(I53="Completed","0",IF($H53="","",$H53-'[2]Read Me'!$B$4))</f>
        <v/>
      </c>
      <c r="M53" s="4" t="str">
        <f>IF($I53="Complete","Green",IF($H53="","Amber",IF($H53&lt;'[2]Read Me'!$B$4,"Red",IF($H53-'[2]Read Me'!$B$4&lt;=21,"Amber","Green"))))</f>
        <v>Amber</v>
      </c>
      <c r="N53" s="3"/>
      <c r="O53" t="str">
        <f>IF($I53&lt;&gt;"Complete",IF(COUNTIFS($A$4:$A52,$A53,$B$4:$B52,$B53,$I$4:$I52,"&lt;&gt;Complete")=0,$A53&amp;"|"&amp;$B53,""),"")</f>
        <v>|</v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/>
      <c r="B54" s="2"/>
      <c r="C54" s="3"/>
      <c r="D54" s="3"/>
      <c r="E54" s="2"/>
      <c r="F54" s="2"/>
      <c r="G54" s="5"/>
      <c r="H54" s="5"/>
      <c r="I54" s="4"/>
      <c r="J54" s="6" t="str">
        <f t="shared" si="1"/>
        <v/>
      </c>
      <c r="K54" s="4" t="str">
        <f t="shared" ca="1" si="2"/>
        <v/>
      </c>
      <c r="L54" s="7" t="str">
        <f>IF(I54="Completed","0",IF($H54="","",$H54-'[2]Read Me'!$B$4))</f>
        <v/>
      </c>
      <c r="M54" s="4" t="str">
        <f>IF($I54="Complete","Green",IF($H54="","Amber",IF($H54&lt;'[2]Read Me'!$B$4,"Red",IF($H54-'[2]Read Me'!$B$4&lt;=21,"Amber","Green"))))</f>
        <v>Amber</v>
      </c>
      <c r="N54" s="3"/>
      <c r="O54" t="str">
        <f>IF($I54&lt;&gt;"Complete",IF(COUNTIFS($A$4:$A53,$A54,$B$4:$B53,$B54,$I$4:$I53,"&lt;&gt;Complete")=0,$A54&amp;"|"&amp;$B54,""),"")</f>
        <v>|</v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/>
      <c r="B55" s="2"/>
      <c r="C55" s="3"/>
      <c r="D55" s="3"/>
      <c r="E55" s="2"/>
      <c r="F55" s="2"/>
      <c r="G55" s="5"/>
      <c r="H55" s="5"/>
      <c r="I55" s="4"/>
      <c r="J55" s="6" t="str">
        <f t="shared" si="1"/>
        <v/>
      </c>
      <c r="K55" s="4" t="str">
        <f t="shared" ca="1" si="2"/>
        <v/>
      </c>
      <c r="L55" s="7" t="str">
        <f>IF(I55="Completed","0",IF($H55="","",$H55-'[2]Read Me'!$B$4))</f>
        <v/>
      </c>
      <c r="M55" s="4" t="str">
        <f>IF($I55="Complete","Green",IF($H55="","Amber",IF($H55&lt;'[2]Read Me'!$B$4,"Red",IF($H55-'[2]Read Me'!$B$4&lt;=21,"Amber","Green"))))</f>
        <v>Amber</v>
      </c>
      <c r="N55" s="3"/>
      <c r="O55" t="str">
        <f>IF($I55&lt;&gt;"Complete",IF(COUNTIFS($A$4:$A54,$A55,$B$4:$B54,$B55,$I$4:$I54,"&lt;&gt;Complete")=0,$A55&amp;"|"&amp;$B55,""),"")</f>
        <v>|</v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/>
      <c r="B56" s="2"/>
      <c r="C56" s="3"/>
      <c r="D56" s="3"/>
      <c r="E56" s="2"/>
      <c r="F56" s="2"/>
      <c r="G56" s="5"/>
      <c r="H56" s="5"/>
      <c r="I56" s="4"/>
      <c r="J56" s="6" t="str">
        <f t="shared" si="1"/>
        <v/>
      </c>
      <c r="K56" s="4" t="str">
        <f t="shared" ca="1" si="2"/>
        <v/>
      </c>
      <c r="L56" s="7" t="str">
        <f>IF(I56="Completed","0",IF($H56="","",$H56-'[2]Read Me'!$B$4))</f>
        <v/>
      </c>
      <c r="M56" s="4" t="str">
        <f>IF($I56="Complete","Green",IF($H56="","Amber",IF($H56&lt;'[2]Read Me'!$B$4,"Red",IF($H56-'[2]Read Me'!$B$4&lt;=21,"Amber","Green"))))</f>
        <v>Amber</v>
      </c>
      <c r="N56" s="3"/>
      <c r="O56" t="str">
        <f>IF($I56&lt;&gt;"Complete",IF(COUNTIFS($A$4:$A55,$A56,$B$4:$B55,$B56,$I$4:$I55,"&lt;&gt;Complete")=0,$A56&amp;"|"&amp;$B56,""),"")</f>
        <v>|</v>
      </c>
      <c r="P56" t="str">
        <f ca="1">IF($K56="Yes",COUNTIFS($K$4:$K56,"Yes"),"")</f>
        <v/>
      </c>
      <c r="Q56">
        <f t="shared" ca="1" si="3"/>
        <v>0</v>
      </c>
      <c r="R56" t="str">
        <f ca="1">IF($Q56=1,SUM($Q$4:$Q56),"")</f>
        <v/>
      </c>
    </row>
    <row r="57" spans="1:18" ht="14.25" customHeight="1" x14ac:dyDescent="0.3">
      <c r="A57" s="2"/>
      <c r="B57" s="2"/>
      <c r="C57" s="3"/>
      <c r="D57" s="3"/>
      <c r="E57" s="2"/>
      <c r="F57" s="2"/>
      <c r="G57" s="5"/>
      <c r="H57" s="5"/>
      <c r="I57" s="4"/>
      <c r="J57" s="6" t="str">
        <f t="shared" si="1"/>
        <v/>
      </c>
      <c r="K57" s="4" t="str">
        <f t="shared" ca="1" si="2"/>
        <v/>
      </c>
      <c r="L57" s="7" t="str">
        <f>IF(I57="Completed","0",IF($H57="","",$H57-'[2]Read Me'!$B$4))</f>
        <v/>
      </c>
      <c r="M57" s="4" t="str">
        <f>IF($I57="Complete","Green",IF($H57="","Amber",IF($H57&lt;'[2]Read Me'!$B$4,"Red",IF($H57-'[2]Read Me'!$B$4&lt;=21,"Amber","Green"))))</f>
        <v>Amber</v>
      </c>
      <c r="N57" s="3"/>
      <c r="O57" t="str">
        <f>IF($I57&lt;&gt;"Complete",IF(COUNTIFS($A$4:$A56,$A57,$B$4:$B56,$B57,$I$4:$I56,"&lt;&gt;Complete")=0,$A57&amp;"|"&amp;$B57,""),"")</f>
        <v>|</v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/>
      <c r="B58" s="2"/>
      <c r="C58" s="3"/>
      <c r="D58" s="3"/>
      <c r="E58" s="2"/>
      <c r="F58" s="2"/>
      <c r="G58" s="5"/>
      <c r="H58" s="5"/>
      <c r="I58" s="4"/>
      <c r="J58" s="6" t="str">
        <f t="shared" si="1"/>
        <v/>
      </c>
      <c r="K58" s="4" t="str">
        <f t="shared" ca="1" si="2"/>
        <v/>
      </c>
      <c r="L58" s="7" t="str">
        <f>IF(I58="Completed","0",IF($H58="","",$H58-'[2]Read Me'!$B$4))</f>
        <v/>
      </c>
      <c r="M58" s="4" t="str">
        <f>IF($I58="Complete","Green",IF($H58="","Amber",IF($H58&lt;'[2]Read Me'!$B$4,"Red",IF($H58-'[2]Read Me'!$B$4&lt;=21,"Amber","Green"))))</f>
        <v>Amber</v>
      </c>
      <c r="N58" s="3"/>
      <c r="O58" t="str">
        <f>IF($I58&lt;&gt;"Complete",IF(COUNTIFS($A$4:$A57,$A58,$B$4:$B57,$B58,$I$4:$I57,"&lt;&gt;Complete")=0,$A58&amp;"|"&amp;$B58,""),"")</f>
        <v>|</v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/>
      <c r="B59" s="2"/>
      <c r="C59" s="3"/>
      <c r="D59" s="3"/>
      <c r="E59" s="2"/>
      <c r="F59" s="2"/>
      <c r="G59" s="5"/>
      <c r="H59" s="5"/>
      <c r="I59" s="4"/>
      <c r="J59" s="6" t="str">
        <f t="shared" si="1"/>
        <v/>
      </c>
      <c r="K59" s="4" t="str">
        <f t="shared" ca="1" si="2"/>
        <v/>
      </c>
      <c r="L59" s="7" t="str">
        <f>IF(I59="Completed","0",IF($H59="","",$H59-'[2]Read Me'!$B$4))</f>
        <v/>
      </c>
      <c r="M59" s="4" t="str">
        <f>IF($I59="Complete","Green",IF($H59="","Amber",IF($H59&lt;'[2]Read Me'!$B$4,"Red",IF($H59-'[2]Read Me'!$B$4&lt;=21,"Amber","Green"))))</f>
        <v>Amber</v>
      </c>
      <c r="N59" s="3"/>
      <c r="O59" t="str">
        <f>IF($I59&lt;&gt;"Complete",IF(COUNTIFS($A$4:$A58,$A59,$B$4:$B58,$B59,$I$4:$I58,"&lt;&gt;Complete")=0,$A59&amp;"|"&amp;$B59,""),"")</f>
        <v>|</v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/>
      <c r="B60" s="2"/>
      <c r="C60" s="3"/>
      <c r="D60" s="3"/>
      <c r="E60" s="2"/>
      <c r="F60" s="2"/>
      <c r="G60" s="5"/>
      <c r="H60" s="5"/>
      <c r="I60" s="4"/>
      <c r="J60" s="6" t="str">
        <f t="shared" si="1"/>
        <v/>
      </c>
      <c r="K60" s="4" t="str">
        <f t="shared" ca="1" si="2"/>
        <v/>
      </c>
      <c r="L60" s="7" t="str">
        <f>IF(I60="Completed","0",IF($H60="","",$H60-'[2]Read Me'!$B$4))</f>
        <v/>
      </c>
      <c r="M60" s="4" t="str">
        <f>IF($I60="Complete","Green",IF($H60="","Amber",IF($H60&lt;'[2]Read Me'!$B$4,"Red",IF($H60-'[2]Read Me'!$B$4&lt;=21,"Amber","Green"))))</f>
        <v>Amber</v>
      </c>
      <c r="N60" s="3"/>
      <c r="O60" t="str">
        <f>IF($I60&lt;&gt;"Complete",IF(COUNTIFS($A$4:$A59,$A60,$B$4:$B59,$B60,$I$4:$I59,"&lt;&gt;Complete")=0,$A60&amp;"|"&amp;$B60,""),"")</f>
        <v>|</v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/>
      <c r="B61" s="2"/>
      <c r="C61" s="3"/>
      <c r="D61" s="3"/>
      <c r="E61" s="2"/>
      <c r="F61" s="2"/>
      <c r="G61" s="5"/>
      <c r="H61" s="5"/>
      <c r="I61" s="4"/>
      <c r="J61" s="6" t="str">
        <f t="shared" si="1"/>
        <v/>
      </c>
      <c r="K61" s="4" t="str">
        <f t="shared" ca="1" si="2"/>
        <v/>
      </c>
      <c r="L61" s="7" t="str">
        <f>IF(I61="Completed","0",IF($H61="","",$H61-'[2]Read Me'!$B$4))</f>
        <v/>
      </c>
      <c r="M61" s="4" t="str">
        <f>IF($I61="Complete","Green",IF($H61="","Amber",IF($H61&lt;'[2]Read Me'!$B$4,"Red",IF($H61-'[2]Read Me'!$B$4&lt;=21,"Amber","Green"))))</f>
        <v>Amber</v>
      </c>
      <c r="N61" s="3"/>
      <c r="O61" t="str">
        <f>IF($I61&lt;&gt;"Complete",IF(COUNTIFS($A$4:$A60,$A61,$B$4:$B60,$B61,$I$4:$I60,"&lt;&gt;Complete")=0,$A61&amp;"|"&amp;$B61,""),"")</f>
        <v>|</v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/>
      <c r="B62" s="2"/>
      <c r="C62" s="3"/>
      <c r="D62" s="3"/>
      <c r="E62" s="2"/>
      <c r="F62" s="2"/>
      <c r="G62" s="5"/>
      <c r="H62" s="5"/>
      <c r="I62" s="4"/>
      <c r="J62" s="6" t="str">
        <f t="shared" si="1"/>
        <v/>
      </c>
      <c r="K62" s="4" t="str">
        <f t="shared" ca="1" si="2"/>
        <v/>
      </c>
      <c r="L62" s="7" t="str">
        <f>IF(I62="Completed","0",IF($H62="","",$H62-'[2]Read Me'!$B$4))</f>
        <v/>
      </c>
      <c r="M62" s="4" t="str">
        <f>IF($I62="Complete","Green",IF($H62="","Amber",IF($H62&lt;'[2]Read Me'!$B$4,"Red",IF($H62-'[2]Read Me'!$B$4&lt;=21,"Amber","Green"))))</f>
        <v>Amber</v>
      </c>
      <c r="N62" s="3"/>
      <c r="O62" t="str">
        <f>IF($I62&lt;&gt;"Complete",IF(COUNTIFS($A$4:$A61,$A62,$B$4:$B61,$B62,$I$4:$I61,"&lt;&gt;Complete")=0,$A62&amp;"|"&amp;$B62,""),"")</f>
        <v>|</v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/>
      <c r="B63" s="2"/>
      <c r="C63" s="3"/>
      <c r="D63" s="3"/>
      <c r="E63" s="2"/>
      <c r="F63" s="2"/>
      <c r="G63" s="5"/>
      <c r="H63" s="5"/>
      <c r="I63" s="4"/>
      <c r="J63" s="6" t="str">
        <f t="shared" si="1"/>
        <v/>
      </c>
      <c r="K63" s="4" t="str">
        <f t="shared" ca="1" si="2"/>
        <v/>
      </c>
      <c r="L63" s="7" t="str">
        <f>IF(I63="Completed","0",IF($H63="","",$H63-'[2]Read Me'!$B$4))</f>
        <v/>
      </c>
      <c r="M63" s="4" t="str">
        <f>IF($I63="Complete","Green",IF($H63="","Amber",IF($H63&lt;'[2]Read Me'!$B$4,"Red",IF($H63-'[2]Read Me'!$B$4&lt;=21,"Amber","Green"))))</f>
        <v>Amber</v>
      </c>
      <c r="N63" s="3"/>
      <c r="O63" t="str">
        <f>IF($I63&lt;&gt;"Complete",IF(COUNTIFS($A$4:$A62,$A63,$B$4:$B62,$B63,$I$4:$I62,"&lt;&gt;Complete")=0,$A63&amp;"|"&amp;$B63,""),"")</f>
        <v>|</v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/>
      <c r="B64" s="2"/>
      <c r="C64" s="3"/>
      <c r="D64" s="3"/>
      <c r="E64" s="2"/>
      <c r="F64" s="2"/>
      <c r="G64" s="5"/>
      <c r="H64" s="5"/>
      <c r="I64" s="4"/>
      <c r="J64" s="6" t="str">
        <f t="shared" si="1"/>
        <v/>
      </c>
      <c r="K64" s="4" t="str">
        <f t="shared" ca="1" si="2"/>
        <v/>
      </c>
      <c r="L64" s="7" t="str">
        <f>IF(I64="Completed","0",IF($H64="","",$H64-'[2]Read Me'!$B$4))</f>
        <v/>
      </c>
      <c r="M64" s="4" t="str">
        <f>IF($I64="Complete","Green",IF($H64="","Amber",IF($H64&lt;'[2]Read Me'!$B$4,"Red",IF($H64-'[2]Read Me'!$B$4&lt;=21,"Amber","Green"))))</f>
        <v>Amber</v>
      </c>
      <c r="N64" s="3"/>
      <c r="O64" t="str">
        <f>IF($I64&lt;&gt;"Complete",IF(COUNTIFS($A$4:$A63,$A64,$B$4:$B63,$B64,$I$4:$I63,"&lt;&gt;Complete")=0,$A64&amp;"|"&amp;$B64,""),"")</f>
        <v>|</v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/>
      <c r="B65" s="2"/>
      <c r="C65" s="3"/>
      <c r="D65" s="3"/>
      <c r="E65" s="2"/>
      <c r="F65" s="2"/>
      <c r="G65" s="5"/>
      <c r="H65" s="5"/>
      <c r="I65" s="4"/>
      <c r="J65" s="6" t="str">
        <f t="shared" si="1"/>
        <v/>
      </c>
      <c r="K65" s="4" t="str">
        <f t="shared" ca="1" si="2"/>
        <v/>
      </c>
      <c r="L65" s="7" t="str">
        <f>IF(I65="Completed","0",IF($H65="","",$H65-'[2]Read Me'!$B$4))</f>
        <v/>
      </c>
      <c r="M65" s="4" t="str">
        <f>IF($I65="Complete","Green",IF($H65="","Amber",IF($H65&lt;'[2]Read Me'!$B$4,"Red",IF($H65-'[2]Read Me'!$B$4&lt;=21,"Amber","Green"))))</f>
        <v>Amber</v>
      </c>
      <c r="N65" s="3"/>
      <c r="O65" t="str">
        <f>IF($I65&lt;&gt;"Complete",IF(COUNTIFS($A$4:$A64,$A65,$B$4:$B64,$B65,$I$4:$I64,"&lt;&gt;Complete")=0,$A65&amp;"|"&amp;$B65,""),"")</f>
        <v>|</v>
      </c>
      <c r="P65" t="str">
        <f ca="1">IF($K65="Yes",COUNTIFS($K$4:$K65,"Yes"),"")</f>
        <v/>
      </c>
      <c r="Q65">
        <f t="shared" ca="1" si="3"/>
        <v>0</v>
      </c>
      <c r="R65" t="str">
        <f ca="1">IF($Q65=1,SUM($Q$4:$Q65),"")</f>
        <v/>
      </c>
    </row>
    <row r="66" spans="1:18" ht="22.5" customHeight="1" x14ac:dyDescent="0.3">
      <c r="A66" s="2"/>
      <c r="B66" s="2"/>
      <c r="C66" s="3"/>
      <c r="D66" s="3"/>
      <c r="E66" s="2"/>
      <c r="F66" s="2"/>
      <c r="G66" s="5"/>
      <c r="H66" s="5"/>
      <c r="I66" s="4"/>
      <c r="J66" s="6" t="str">
        <f t="shared" si="1"/>
        <v/>
      </c>
      <c r="K66" s="4" t="str">
        <f t="shared" ca="1" si="2"/>
        <v/>
      </c>
      <c r="L66" s="7" t="str">
        <f>IF(I66="Completed","0",IF($H66="","",$H66-'[2]Read Me'!$B$4))</f>
        <v/>
      </c>
      <c r="M66" s="4" t="str">
        <f>IF($I66="Complete","Green",IF($H66="","Amber",IF($H66&lt;'[2]Read Me'!$B$4,"Red",IF($H66-'[2]Read Me'!$B$4&lt;=21,"Amber","Green"))))</f>
        <v>Amber</v>
      </c>
      <c r="N66" s="3"/>
      <c r="O66" t="str">
        <f>IF($I66&lt;&gt;"Complete",IF(COUNTIFS($A$4:$A65,$A66,$B$4:$B65,$B66,$I$4:$I65,"&lt;&gt;Complete")=0,$A66&amp;"|"&amp;$B66,""),"")</f>
        <v>|</v>
      </c>
      <c r="P66" t="str">
        <f ca="1">IF($K66="Yes",COUNTIFS($K$4:$K66,"Yes"),"")</f>
        <v/>
      </c>
      <c r="Q66">
        <f t="shared" ca="1" si="3"/>
        <v>0</v>
      </c>
      <c r="R66" t="str">
        <f ca="1">IF($Q66=1,SUM($Q$4:$Q66),"")</f>
        <v/>
      </c>
    </row>
    <row r="67" spans="1:18" ht="22.5" customHeight="1" x14ac:dyDescent="0.3">
      <c r="A67" s="2"/>
      <c r="B67" s="2"/>
      <c r="C67" s="3"/>
      <c r="D67" s="3"/>
      <c r="E67" s="2"/>
      <c r="F67" s="2"/>
      <c r="G67" s="5"/>
      <c r="H67" s="5"/>
      <c r="I67" s="4"/>
      <c r="J67" s="6" t="str">
        <f t="shared" si="1"/>
        <v/>
      </c>
      <c r="K67" s="4" t="str">
        <f t="shared" ca="1" si="2"/>
        <v/>
      </c>
      <c r="L67" s="7" t="str">
        <f>IF(I67="Completed","0",IF($H67="","",$H67-'[2]Read Me'!$B$4))</f>
        <v/>
      </c>
      <c r="M67" s="4" t="str">
        <f>IF($I67="Complete","Green",IF($H67="","Amber",IF($H67&lt;'[2]Read Me'!$B$4,"Red",IF($H67-'[2]Read Me'!$B$4&lt;=21,"Amber","Green"))))</f>
        <v>Amber</v>
      </c>
      <c r="N67" s="3"/>
      <c r="O67" t="str">
        <f>IF($I67&lt;&gt;"Complete",IF(COUNTIFS($A$4:$A66,$A67,$B$4:$B66,$B67,$I$4:$I66,"&lt;&gt;Complete")=0,$A67&amp;"|"&amp;$B67,""),"")</f>
        <v>|</v>
      </c>
      <c r="P67" t="str">
        <f ca="1">IF($K67="Yes",COUNTIFS($K$4:$K67,"Yes"),"")</f>
        <v/>
      </c>
      <c r="Q67">
        <f t="shared" ca="1" si="3"/>
        <v>0</v>
      </c>
      <c r="R67" t="str">
        <f ca="1">IF($Q67=1,SUM($Q$4:$Q67),"")</f>
        <v/>
      </c>
    </row>
    <row r="68" spans="1:18" ht="22.5" customHeight="1" x14ac:dyDescent="0.3">
      <c r="A68" s="2"/>
      <c r="B68" s="2"/>
      <c r="C68" s="3"/>
      <c r="D68" s="3"/>
      <c r="E68" s="2"/>
      <c r="F68" s="2"/>
      <c r="G68" s="5"/>
      <c r="H68" s="5"/>
      <c r="I68" s="4"/>
      <c r="J68" s="6" t="str">
        <f t="shared" ref="J68:J131" si="4">IF(OR($G68="",$H68=""),"",$H68-$G68)</f>
        <v/>
      </c>
      <c r="K68" s="4" t="str">
        <f t="shared" ref="K68:K131" ca="1" si="5">IF(C68="","",IF(H68="","",IF($I68="completed","-",IF($H68&gt;TODAY(),"No","Yes"))))</f>
        <v/>
      </c>
      <c r="L68" s="7" t="str">
        <f>IF(I68="Completed","0",IF($H68="","",$H68-'[2]Read Me'!$B$4))</f>
        <v/>
      </c>
      <c r="M68" s="4" t="str">
        <f>IF($I68="Complete","Green",IF($H68="","Amber",IF($H68&lt;'[2]Read Me'!$B$4,"Red",IF($H68-'[2]Read Me'!$B$4&lt;=21,"Amber","Green"))))</f>
        <v>Amber</v>
      </c>
      <c r="N68" s="3"/>
      <c r="O68" t="str">
        <f>IF($I68&lt;&gt;"Complete",IF(COUNTIFS($A$4:$A67,$A68,$B$4:$B67,$B68,$I$4:$I67,"&lt;&gt;Complete")=0,$A68&amp;"|"&amp;$B68,""),"")</f>
        <v>|</v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/>
      <c r="B69" s="2"/>
      <c r="C69" s="3"/>
      <c r="D69" s="3"/>
      <c r="E69" s="2"/>
      <c r="F69" s="2"/>
      <c r="G69" s="5"/>
      <c r="H69" s="5"/>
      <c r="I69" s="4"/>
      <c r="J69" s="6" t="str">
        <f t="shared" si="4"/>
        <v/>
      </c>
      <c r="K69" s="4" t="str">
        <f t="shared" ca="1" si="5"/>
        <v/>
      </c>
      <c r="L69" s="7" t="str">
        <f>IF(I69="Completed","0",IF($H69="","",$H69-'[2]Read Me'!$B$4))</f>
        <v/>
      </c>
      <c r="M69" s="4" t="str">
        <f>IF($I69="Complete","Green",IF($H69="","Amber",IF($H69&lt;'[2]Read Me'!$B$4,"Red",IF($H69-'[2]Read Me'!$B$4&lt;=21,"Amber","Green"))))</f>
        <v>Amber</v>
      </c>
      <c r="N69" s="3"/>
      <c r="O69" t="str">
        <f>IF($I69&lt;&gt;"Complete",IF(COUNTIFS($A$4:$A68,$A69,$B$4:$B68,$B69,$I$4:$I68,"&lt;&gt;Complete")=0,$A69&amp;"|"&amp;$B69,""),"")</f>
        <v>|</v>
      </c>
      <c r="P69" t="str">
        <f ca="1">IF($K69="Yes",COUNTIFS($K$4:$K69,"Yes"),"")</f>
        <v/>
      </c>
      <c r="Q69">
        <f t="shared" ca="1" si="6"/>
        <v>0</v>
      </c>
      <c r="R69" t="str">
        <f ca="1">IF($Q69=1,SUM($Q$4:$Q69),"")</f>
        <v/>
      </c>
    </row>
    <row r="70" spans="1:18" ht="22.5" customHeight="1" x14ac:dyDescent="0.3">
      <c r="A70" s="2"/>
      <c r="B70" s="2"/>
      <c r="C70" s="3"/>
      <c r="D70" s="3"/>
      <c r="E70" s="2"/>
      <c r="F70" s="2"/>
      <c r="G70" s="5"/>
      <c r="H70" s="5"/>
      <c r="I70" s="4"/>
      <c r="J70" s="6" t="str">
        <f t="shared" si="4"/>
        <v/>
      </c>
      <c r="K70" s="4" t="str">
        <f t="shared" ca="1" si="5"/>
        <v/>
      </c>
      <c r="L70" s="7" t="str">
        <f>IF(I70="Completed","0",IF($H70="","",$H70-'[2]Read Me'!$B$4))</f>
        <v/>
      </c>
      <c r="M70" s="4" t="str">
        <f>IF($I70="Complete","Green",IF($H70="","Amber",IF($H70&lt;'[2]Read Me'!$B$4,"Red",IF($H70-'[2]Read Me'!$B$4&lt;=21,"Amber","Green"))))</f>
        <v>Amber</v>
      </c>
      <c r="N70" s="3"/>
      <c r="O70" t="str">
        <f>IF($I70&lt;&gt;"Complete",IF(COUNTIFS($A$4:$A69,$A70,$B$4:$B69,$B70,$I$4:$I69,"&lt;&gt;Complete")=0,$A70&amp;"|"&amp;$B70,""),"")</f>
        <v>|</v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/>
      <c r="B71" s="2"/>
      <c r="C71" s="3"/>
      <c r="D71" s="3"/>
      <c r="E71" s="2"/>
      <c r="F71" s="2"/>
      <c r="G71" s="5"/>
      <c r="H71" s="5"/>
      <c r="I71" s="4"/>
      <c r="J71" s="6" t="str">
        <f t="shared" si="4"/>
        <v/>
      </c>
      <c r="K71" s="4" t="str">
        <f t="shared" ca="1" si="5"/>
        <v/>
      </c>
      <c r="L71" s="7" t="str">
        <f>IF(I71="Completed","0",IF($H71="","",$H71-'[2]Read Me'!$B$4))</f>
        <v/>
      </c>
      <c r="M71" s="4" t="str">
        <f>IF($I71="Complete","Green",IF($H71="","Amber",IF($H71&lt;'[2]Read Me'!$B$4,"Red",IF($H71-'[2]Read Me'!$B$4&lt;=21,"Amber","Green"))))</f>
        <v>Amber</v>
      </c>
      <c r="N71" s="3"/>
      <c r="O71" t="str">
        <f>IF($I71&lt;&gt;"Complete",IF(COUNTIFS($A$4:$A70,$A71,$B$4:$B70,$B71,$I$4:$I70,"&lt;&gt;Complete")=0,$A71&amp;"|"&amp;$B71,""),"")</f>
        <v>|</v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/>
      <c r="B72" s="2"/>
      <c r="C72" s="3"/>
      <c r="D72" s="3"/>
      <c r="E72" s="2"/>
      <c r="F72" s="2"/>
      <c r="G72" s="5"/>
      <c r="H72" s="5"/>
      <c r="I72" s="4"/>
      <c r="J72" s="6" t="str">
        <f t="shared" si="4"/>
        <v/>
      </c>
      <c r="K72" s="4" t="str">
        <f t="shared" ca="1" si="5"/>
        <v/>
      </c>
      <c r="L72" s="7" t="str">
        <f>IF(I72="Completed","0",IF($H72="","",$H72-'[2]Read Me'!$B$4))</f>
        <v/>
      </c>
      <c r="M72" s="4" t="str">
        <f>IF($I72="Complete","Green",IF($H72="","Amber",IF($H72&lt;'[2]Read Me'!$B$4,"Red",IF($H72-'[2]Read Me'!$B$4&lt;=21,"Amber","Green"))))</f>
        <v>Amber</v>
      </c>
      <c r="N72" s="3"/>
      <c r="O72" t="str">
        <f>IF($I72&lt;&gt;"Complete",IF(COUNTIFS($A$4:$A71,$A72,$B$4:$B71,$B72,$I$4:$I71,"&lt;&gt;Complete")=0,$A72&amp;"|"&amp;$B72,""),"")</f>
        <v>|</v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/>
      <c r="B73" s="2"/>
      <c r="C73" s="3"/>
      <c r="D73" s="3"/>
      <c r="E73" s="2"/>
      <c r="F73" s="2"/>
      <c r="G73" s="5"/>
      <c r="H73" s="5"/>
      <c r="I73" s="4"/>
      <c r="J73" s="6" t="str">
        <f t="shared" si="4"/>
        <v/>
      </c>
      <c r="K73" s="4" t="str">
        <f t="shared" ca="1" si="5"/>
        <v/>
      </c>
      <c r="L73" s="7" t="str">
        <f>IF(I73="Completed","0",IF($H73="","",$H73-'[2]Read Me'!$B$4))</f>
        <v/>
      </c>
      <c r="M73" s="4" t="str">
        <f>IF($I73="Complete","Green",IF($H73="","Amber",IF($H73&lt;'[2]Read Me'!$B$4,"Red",IF($H73-'[2]Read Me'!$B$4&lt;=21,"Amber","Green"))))</f>
        <v>Amber</v>
      </c>
      <c r="N73" s="3"/>
      <c r="O73" t="str">
        <f>IF($I73&lt;&gt;"Complete",IF(COUNTIFS($A$4:$A72,$A73,$B$4:$B72,$B73,$I$4:$I72,"&lt;&gt;Complete")=0,$A73&amp;"|"&amp;$B73,""),"")</f>
        <v>|</v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/>
      <c r="B74" s="2"/>
      <c r="C74" s="3"/>
      <c r="D74" s="3"/>
      <c r="E74" s="2"/>
      <c r="F74" s="2"/>
      <c r="G74" s="5"/>
      <c r="H74" s="5"/>
      <c r="I74" s="4"/>
      <c r="J74" s="6" t="str">
        <f t="shared" si="4"/>
        <v/>
      </c>
      <c r="K74" s="4" t="str">
        <f t="shared" ca="1" si="5"/>
        <v/>
      </c>
      <c r="L74" s="7" t="str">
        <f>IF(I74="Completed","0",IF($H74="","",$H74-'[2]Read Me'!$B$4))</f>
        <v/>
      </c>
      <c r="M74" s="4" t="str">
        <f>IF($I74="Complete","Green",IF($H74="","Amber",IF($H74&lt;'[2]Read Me'!$B$4,"Red",IF($H74-'[2]Read Me'!$B$4&lt;=21,"Amber","Green"))))</f>
        <v>Amber</v>
      </c>
      <c r="N74" s="3"/>
      <c r="O74" t="str">
        <f>IF($I74&lt;&gt;"Complete",IF(COUNTIFS($A$4:$A73,$A74,$B$4:$B73,$B74,$I$4:$I73,"&lt;&gt;Complete")=0,$A74&amp;"|"&amp;$B74,""),"")</f>
        <v>|</v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/>
      <c r="B75" s="2"/>
      <c r="C75" s="3"/>
      <c r="D75" s="3"/>
      <c r="E75" s="2"/>
      <c r="F75" s="2"/>
      <c r="G75" s="5"/>
      <c r="H75" s="5"/>
      <c r="I75" s="4"/>
      <c r="J75" s="6" t="str">
        <f t="shared" si="4"/>
        <v/>
      </c>
      <c r="K75" s="4" t="str">
        <f t="shared" ca="1" si="5"/>
        <v/>
      </c>
      <c r="L75" s="7" t="str">
        <f>IF(I75="Completed","0",IF($H75="","",$H75-'[2]Read Me'!$B$4))</f>
        <v/>
      </c>
      <c r="M75" s="4" t="str">
        <f>IF($I75="Complete","Green",IF($H75="","Amber",IF($H75&lt;'[2]Read Me'!$B$4,"Red",IF($H75-'[2]Read Me'!$B$4&lt;=21,"Amber","Green"))))</f>
        <v>Amber</v>
      </c>
      <c r="N75" s="3"/>
      <c r="O75" t="str">
        <f>IF($I75&lt;&gt;"Complete",IF(COUNTIFS($A$4:$A74,$A75,$B$4:$B74,$B75,$I$4:$I74,"&lt;&gt;Complete")=0,$A75&amp;"|"&amp;$B75,""),"")</f>
        <v>|</v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/>
      <c r="B76" s="2"/>
      <c r="C76" s="3"/>
      <c r="D76" s="3"/>
      <c r="E76" s="2"/>
      <c r="F76" s="2"/>
      <c r="G76" s="5"/>
      <c r="H76" s="5"/>
      <c r="I76" s="4"/>
      <c r="J76" s="6" t="str">
        <f t="shared" si="4"/>
        <v/>
      </c>
      <c r="K76" s="4" t="str">
        <f t="shared" ca="1" si="5"/>
        <v/>
      </c>
      <c r="L76" s="7" t="str">
        <f>IF(I76="Completed","0",IF($H76="","",$H76-'[2]Read Me'!$B$4))</f>
        <v/>
      </c>
      <c r="M76" s="4" t="str">
        <f>IF($I76="Complete","Green",IF($H76="","Amber",IF($H76&lt;'[2]Read Me'!$B$4,"Red",IF($H76-'[2]Read Me'!$B$4&lt;=21,"Amber","Green"))))</f>
        <v>Amber</v>
      </c>
      <c r="N76" s="3"/>
      <c r="O76" t="str">
        <f>IF($I76&lt;&gt;"Complete",IF(COUNTIFS($A$4:$A75,$A76,$B$4:$B75,$B76,$I$4:$I75,"&lt;&gt;Complete")=0,$A76&amp;"|"&amp;$B76,""),"")</f>
        <v>|</v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/>
      <c r="B77" s="2"/>
      <c r="C77" s="3"/>
      <c r="D77" s="3"/>
      <c r="E77" s="2"/>
      <c r="F77" s="2"/>
      <c r="G77" s="5"/>
      <c r="H77" s="5"/>
      <c r="I77" s="4"/>
      <c r="J77" s="6" t="str">
        <f t="shared" si="4"/>
        <v/>
      </c>
      <c r="K77" s="4" t="str">
        <f t="shared" ca="1" si="5"/>
        <v/>
      </c>
      <c r="L77" s="7" t="str">
        <f>IF(I77="Completed","0",IF($H77="","",$H77-'[2]Read Me'!$B$4))</f>
        <v/>
      </c>
      <c r="M77" s="4" t="str">
        <f>IF($I77="Complete","Green",IF($H77="","Amber",IF($H77&lt;'[2]Read Me'!$B$4,"Red",IF($H77-'[2]Read Me'!$B$4&lt;=21,"Amber","Green"))))</f>
        <v>Amber</v>
      </c>
      <c r="N77" s="3"/>
      <c r="O77" t="str">
        <f>IF($I77&lt;&gt;"Complete",IF(COUNTIFS($A$4:$A76,$A77,$B$4:$B76,$B77,$I$4:$I76,"&lt;&gt;Complete")=0,$A77&amp;"|"&amp;$B77,""),"")</f>
        <v>|</v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/>
      <c r="B78" s="2"/>
      <c r="C78" s="3"/>
      <c r="D78" s="3"/>
      <c r="E78" s="2"/>
      <c r="F78" s="2"/>
      <c r="G78" s="5"/>
      <c r="H78" s="5"/>
      <c r="I78" s="4"/>
      <c r="J78" s="6" t="str">
        <f t="shared" si="4"/>
        <v/>
      </c>
      <c r="K78" s="4" t="str">
        <f t="shared" ca="1" si="5"/>
        <v/>
      </c>
      <c r="L78" s="7" t="str">
        <f>IF(I78="Completed","0",IF($H78="","",$H78-'[2]Read Me'!$B$4))</f>
        <v/>
      </c>
      <c r="M78" s="4" t="str">
        <f>IF($I78="Complete","Green",IF($H78="","Amber",IF($H78&lt;'[2]Read Me'!$B$4,"Red",IF($H78-'[2]Read Me'!$B$4&lt;=21,"Amber","Green"))))</f>
        <v>Amber</v>
      </c>
      <c r="N78" s="3"/>
      <c r="O78" t="str">
        <f>IF($I78&lt;&gt;"Complete",IF(COUNTIFS($A$4:$A77,$A78,$B$4:$B77,$B78,$I$4:$I77,"&lt;&gt;Complete")=0,$A78&amp;"|"&amp;$B78,""),"")</f>
        <v>|</v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/>
      <c r="B79" s="2"/>
      <c r="C79" s="3"/>
      <c r="D79" s="3"/>
      <c r="E79" s="2"/>
      <c r="F79" s="2"/>
      <c r="G79" s="5"/>
      <c r="H79" s="5"/>
      <c r="I79" s="4"/>
      <c r="J79" s="6" t="str">
        <f t="shared" si="4"/>
        <v/>
      </c>
      <c r="K79" s="4" t="str">
        <f t="shared" ca="1" si="5"/>
        <v/>
      </c>
      <c r="L79" s="7" t="str">
        <f>IF(I79="Completed","0",IF($H79="","",$H79-'[2]Read Me'!$B$4))</f>
        <v/>
      </c>
      <c r="M79" s="4" t="str">
        <f>IF($I79="Complete","Green",IF($H79="","Amber",IF($H79&lt;'[2]Read Me'!$B$4,"Red",IF($H79-'[2]Read Me'!$B$4&lt;=21,"Amber","Green"))))</f>
        <v>Amber</v>
      </c>
      <c r="N79" s="3"/>
      <c r="O79" t="str">
        <f>IF($I79&lt;&gt;"Complete",IF(COUNTIFS($A$4:$A78,$A79,$B$4:$B78,$B79,$I$4:$I78,"&lt;&gt;Complete")=0,$A79&amp;"|"&amp;$B79,""),"")</f>
        <v>|</v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/>
      <c r="B80" s="2"/>
      <c r="C80" s="3"/>
      <c r="D80" s="3"/>
      <c r="E80" s="2"/>
      <c r="F80" s="2"/>
      <c r="G80" s="5"/>
      <c r="H80" s="5"/>
      <c r="I80" s="4"/>
      <c r="J80" s="6" t="str">
        <f t="shared" si="4"/>
        <v/>
      </c>
      <c r="K80" s="4" t="str">
        <f t="shared" ca="1" si="5"/>
        <v/>
      </c>
      <c r="L80" s="7" t="str">
        <f>IF(I80="Completed","0",IF($H80="","",$H80-'[2]Read Me'!$B$4))</f>
        <v/>
      </c>
      <c r="M80" s="4" t="str">
        <f>IF($I80="Complete","Green",IF($H80="","Amber",IF($H80&lt;'[2]Read Me'!$B$4,"Red",IF($H80-'[2]Read Me'!$B$4&lt;=21,"Amber","Green"))))</f>
        <v>Amber</v>
      </c>
      <c r="N80" s="3"/>
      <c r="O80" t="str">
        <f>IF($I80&lt;&gt;"Complete",IF(COUNTIFS($A$4:$A79,$A80,$B$4:$B79,$B80,$I$4:$I79,"&lt;&gt;Complete")=0,$A80&amp;"|"&amp;$B80,""),"")</f>
        <v>|</v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/>
      <c r="B81" s="2"/>
      <c r="C81" s="3"/>
      <c r="D81" s="3"/>
      <c r="E81" s="2"/>
      <c r="F81" s="2"/>
      <c r="G81" s="5"/>
      <c r="H81" s="5"/>
      <c r="I81" s="4"/>
      <c r="J81" s="6" t="str">
        <f t="shared" si="4"/>
        <v/>
      </c>
      <c r="K81" s="4" t="str">
        <f t="shared" ca="1" si="5"/>
        <v/>
      </c>
      <c r="L81" s="7" t="str">
        <f>IF(I81="Completed","0",IF($H81="","",$H81-'[2]Read Me'!$B$4))</f>
        <v/>
      </c>
      <c r="M81" s="4" t="str">
        <f>IF($I81="Complete","Green",IF($H81="","Amber",IF($H81&lt;'[2]Read Me'!$B$4,"Red",IF($H81-'[2]Read Me'!$B$4&lt;=21,"Amber","Green"))))</f>
        <v>Amber</v>
      </c>
      <c r="N81" s="3"/>
      <c r="O81" t="str">
        <f>IF($I81&lt;&gt;"Complete",IF(COUNTIFS($A$4:$A80,$A81,$B$4:$B80,$B81,$I$4:$I80,"&lt;&gt;Complete")=0,$A81&amp;"|"&amp;$B81,""),"")</f>
        <v>|</v>
      </c>
      <c r="P81" t="str">
        <f ca="1">IF($K81="Yes",COUNTIFS($K$4:$K81,"Yes"),"")</f>
        <v/>
      </c>
      <c r="Q81">
        <f t="shared" ca="1" si="6"/>
        <v>0</v>
      </c>
      <c r="R81" t="str">
        <f ca="1">IF($Q81=1,SUM($Q$4:$Q81),"")</f>
        <v/>
      </c>
    </row>
    <row r="82" spans="1:18" ht="33.75" customHeight="1" x14ac:dyDescent="0.3">
      <c r="A82" s="2"/>
      <c r="B82" s="2"/>
      <c r="C82" s="3"/>
      <c r="D82" s="3"/>
      <c r="E82" s="2"/>
      <c r="F82" s="2"/>
      <c r="G82" s="5"/>
      <c r="H82" s="5"/>
      <c r="I82" s="4"/>
      <c r="J82" s="6" t="str">
        <f t="shared" si="4"/>
        <v/>
      </c>
      <c r="K82" s="4" t="str">
        <f t="shared" ca="1" si="5"/>
        <v/>
      </c>
      <c r="L82" s="7" t="str">
        <f>IF(I82="Completed","0",IF($H82="","",$H82-'[2]Read Me'!$B$4))</f>
        <v/>
      </c>
      <c r="M82" s="4" t="str">
        <f>IF($I82="Complete","Green",IF($H82="","Amber",IF($H82&lt;'[2]Read Me'!$B$4,"Red",IF($H82-'[2]Read Me'!$B$4&lt;=21,"Amber","Green"))))</f>
        <v>Amber</v>
      </c>
      <c r="N82" s="3"/>
      <c r="O82" t="str">
        <f>IF($I82&lt;&gt;"Complete",IF(COUNTIFS($A$4:$A81,$A82,$B$4:$B81,$B82,$I$4:$I81,"&lt;&gt;Complete")=0,$A82&amp;"|"&amp;$B82,""),"")</f>
        <v>|</v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/>
      <c r="B83" s="2"/>
      <c r="C83" s="3"/>
      <c r="D83" s="3"/>
      <c r="E83" s="2"/>
      <c r="F83" s="2"/>
      <c r="G83" s="5"/>
      <c r="H83" s="5"/>
      <c r="I83" s="4"/>
      <c r="J83" s="6" t="str">
        <f t="shared" si="4"/>
        <v/>
      </c>
      <c r="K83" s="4" t="str">
        <f t="shared" ca="1" si="5"/>
        <v/>
      </c>
      <c r="L83" s="7" t="str">
        <f>IF(I83="Completed","0",IF($H83="","",$H83-'[2]Read Me'!$B$4))</f>
        <v/>
      </c>
      <c r="M83" s="4" t="str">
        <f>IF($I83="Complete","Green",IF($H83="","Amber",IF($H83&lt;'[2]Read Me'!$B$4,"Red",IF($H83-'[2]Read Me'!$B$4&lt;=21,"Amber","Green"))))</f>
        <v>Amber</v>
      </c>
      <c r="N83" s="3"/>
      <c r="O83" t="str">
        <f>IF($I83&lt;&gt;"Complete",IF(COUNTIFS($A$4:$A82,$A83,$B$4:$B82,$B83,$I$4:$I82,"&lt;&gt;Complete")=0,$A83&amp;"|"&amp;$B83,""),"")</f>
        <v>|</v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/>
      <c r="B84" s="2"/>
      <c r="C84" s="3"/>
      <c r="D84" s="3"/>
      <c r="E84" s="2"/>
      <c r="F84" s="2"/>
      <c r="G84" s="5"/>
      <c r="H84" s="5"/>
      <c r="I84" s="4"/>
      <c r="J84" s="6" t="str">
        <f t="shared" si="4"/>
        <v/>
      </c>
      <c r="K84" s="4" t="str">
        <f t="shared" ca="1" si="5"/>
        <v/>
      </c>
      <c r="L84" s="7" t="str">
        <f>IF(I84="Completed","0",IF($H84="","",$H84-'[2]Read Me'!$B$4))</f>
        <v/>
      </c>
      <c r="M84" s="4" t="str">
        <f>IF($I84="Complete","Green",IF($H84="","Amber",IF($H84&lt;'[2]Read Me'!$B$4,"Red",IF($H84-'[2]Read Me'!$B$4&lt;=21,"Amber","Green"))))</f>
        <v>Amber</v>
      </c>
      <c r="N84" s="3"/>
      <c r="O84" t="str">
        <f>IF($I84&lt;&gt;"Complete",IF(COUNTIFS($A$4:$A83,$A84,$B$4:$B83,$B84,$I$4:$I83,"&lt;&gt;Complete")=0,$A84&amp;"|"&amp;$B84,""),"")</f>
        <v>|</v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/>
      <c r="B85" s="2"/>
      <c r="C85" s="3"/>
      <c r="D85" s="3"/>
      <c r="E85" s="2"/>
      <c r="F85" s="2"/>
      <c r="G85" s="5"/>
      <c r="H85" s="5"/>
      <c r="I85" s="4"/>
      <c r="J85" s="6" t="str">
        <f t="shared" si="4"/>
        <v/>
      </c>
      <c r="K85" s="4" t="str">
        <f t="shared" ca="1" si="5"/>
        <v/>
      </c>
      <c r="L85" s="7" t="str">
        <f>IF(I85="Completed","0",IF($H85="","",$H85-'[2]Read Me'!$B$4))</f>
        <v/>
      </c>
      <c r="M85" s="4" t="str">
        <f>IF($I85="Complete","Green",IF($H85="","Amber",IF($H85&lt;'[2]Read Me'!$B$4,"Red",IF($H85-'[2]Read Me'!$B$4&lt;=21,"Amber","Green"))))</f>
        <v>Amber</v>
      </c>
      <c r="N85" s="3"/>
      <c r="O85" t="str">
        <f>IF($I85&lt;&gt;"Complete",IF(COUNTIFS($A$4:$A84,$A85,$B$4:$B84,$B85,$I$4:$I84,"&lt;&gt;Complete")=0,$A85&amp;"|"&amp;$B85,""),"")</f>
        <v>|</v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/>
      <c r="B86" s="2"/>
      <c r="C86" s="3"/>
      <c r="D86" s="3"/>
      <c r="E86" s="2"/>
      <c r="F86" s="2"/>
      <c r="G86" s="5"/>
      <c r="H86" s="5"/>
      <c r="I86" s="4"/>
      <c r="J86" s="6" t="str">
        <f t="shared" si="4"/>
        <v/>
      </c>
      <c r="K86" s="4" t="str">
        <f t="shared" ca="1" si="5"/>
        <v/>
      </c>
      <c r="L86" s="7" t="str">
        <f>IF(I86="Completed","0",IF($H86="","",$H86-'[2]Read Me'!$B$4))</f>
        <v/>
      </c>
      <c r="M86" s="4" t="str">
        <f>IF($I86="Complete","Green",IF($H86="","Amber",IF($H86&lt;'[2]Read Me'!$B$4,"Red",IF($H86-'[2]Read Me'!$B$4&lt;=21,"Amber","Green"))))</f>
        <v>Amber</v>
      </c>
      <c r="N86" s="3"/>
      <c r="O86" t="str">
        <f>IF($I86&lt;&gt;"Complete",IF(COUNTIFS($A$4:$A85,$A86,$B$4:$B85,$B86,$I$4:$I85,"&lt;&gt;Complete")=0,$A86&amp;"|"&amp;$B86,""),"")</f>
        <v>|</v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/>
      <c r="B87" s="2"/>
      <c r="C87" s="3"/>
      <c r="D87" s="3"/>
      <c r="E87" s="2"/>
      <c r="F87" s="2"/>
      <c r="G87" s="5"/>
      <c r="H87" s="5"/>
      <c r="I87" s="4"/>
      <c r="J87" s="6" t="str">
        <f t="shared" si="4"/>
        <v/>
      </c>
      <c r="K87" s="4" t="str">
        <f t="shared" ca="1" si="5"/>
        <v/>
      </c>
      <c r="L87" s="7" t="str">
        <f>IF(I87="Completed","0",IF($H87="","",$H87-'[2]Read Me'!$B$4))</f>
        <v/>
      </c>
      <c r="M87" s="4" t="str">
        <f>IF($I87="Complete","Green",IF($H87="","Amber",IF($H87&lt;'[2]Read Me'!$B$4,"Red",IF($H87-'[2]Read Me'!$B$4&lt;=21,"Amber","Green"))))</f>
        <v>Amber</v>
      </c>
      <c r="N87" s="3"/>
      <c r="O87" t="str">
        <f>IF($I87&lt;&gt;"Complete",IF(COUNTIFS($A$4:$A86,$A87,$B$4:$B86,$B87,$I$4:$I86,"&lt;&gt;Complete")=0,$A87&amp;"|"&amp;$B87,""),"")</f>
        <v>|</v>
      </c>
      <c r="P87" t="str">
        <f ca="1">IF($K87="Yes",COUNTIFS($K$4:$K87,"Yes"),"")</f>
        <v/>
      </c>
      <c r="Q87">
        <f t="shared" ca="1" si="6"/>
        <v>0</v>
      </c>
      <c r="R87" t="str">
        <f ca="1">IF($Q87=1,SUM($Q$4:$Q87),"")</f>
        <v/>
      </c>
    </row>
    <row r="88" spans="1:18" ht="33.75" customHeight="1" x14ac:dyDescent="0.3">
      <c r="A88" s="2"/>
      <c r="B88" s="2"/>
      <c r="C88" s="3"/>
      <c r="D88" s="3"/>
      <c r="E88" s="2"/>
      <c r="F88" s="2"/>
      <c r="G88" s="5"/>
      <c r="H88" s="5"/>
      <c r="I88" s="4"/>
      <c r="J88" s="6" t="str">
        <f t="shared" si="4"/>
        <v/>
      </c>
      <c r="K88" s="4" t="str">
        <f t="shared" ca="1" si="5"/>
        <v/>
      </c>
      <c r="L88" s="7" t="str">
        <f>IF(I88="Completed","0",IF($H88="","",$H88-'[2]Read Me'!$B$4))</f>
        <v/>
      </c>
      <c r="M88" s="4" t="str">
        <f>IF($I88="Complete","Green",IF($H88="","Amber",IF($H88&lt;'[2]Read Me'!$B$4,"Red",IF($H88-'[2]Read Me'!$B$4&lt;=21,"Amber","Green"))))</f>
        <v>Amber</v>
      </c>
      <c r="N88" s="3"/>
      <c r="O88" t="str">
        <f>IF($I88&lt;&gt;"Complete",IF(COUNTIFS($A$4:$A87,$A88,$B$4:$B87,$B88,$I$4:$I87,"&lt;&gt;Complete")=0,$A88&amp;"|"&amp;$B88,""),"")</f>
        <v>|</v>
      </c>
      <c r="P88" t="str">
        <f ca="1">IF($K88="Yes",COUNTIFS($K$4:$K88,"Yes"),"")</f>
        <v/>
      </c>
      <c r="Q88">
        <f t="shared" ca="1" si="6"/>
        <v>0</v>
      </c>
      <c r="R88" t="str">
        <f ca="1">IF($Q88=1,SUM($Q$4:$Q88),"")</f>
        <v/>
      </c>
    </row>
    <row r="89" spans="1:18" ht="33.75" customHeight="1" x14ac:dyDescent="0.3">
      <c r="A89" s="2"/>
      <c r="B89" s="2"/>
      <c r="C89" s="3"/>
      <c r="D89" s="3"/>
      <c r="E89" s="2"/>
      <c r="F89" s="2"/>
      <c r="G89" s="5"/>
      <c r="H89" s="5"/>
      <c r="I89" s="4"/>
      <c r="J89" s="6" t="str">
        <f t="shared" si="4"/>
        <v/>
      </c>
      <c r="K89" s="4" t="str">
        <f t="shared" ca="1" si="5"/>
        <v/>
      </c>
      <c r="L89" s="7" t="str">
        <f>IF(I89="Completed","0",IF($H89="","",$H89-'[2]Read Me'!$B$4))</f>
        <v/>
      </c>
      <c r="M89" s="4" t="str">
        <f>IF($I89="Complete","Green",IF($H89="","Amber",IF($H89&lt;'[2]Read Me'!$B$4,"Red",IF($H89-'[2]Read Me'!$B$4&lt;=21,"Amber","Green"))))</f>
        <v>Amber</v>
      </c>
      <c r="N89" s="3"/>
      <c r="O89" t="str">
        <f>IF($I89&lt;&gt;"Complete",IF(COUNTIFS($A$4:$A88,$A89,$B$4:$B88,$B89,$I$4:$I88,"&lt;&gt;Complete")=0,$A89&amp;"|"&amp;$B89,""),"")</f>
        <v>|</v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/>
      <c r="B90" s="2"/>
      <c r="C90" s="3"/>
      <c r="D90" s="3"/>
      <c r="E90" s="2"/>
      <c r="F90" s="2"/>
      <c r="G90" s="5"/>
      <c r="H90" s="5"/>
      <c r="I90" s="4"/>
      <c r="J90" s="6" t="str">
        <f t="shared" si="4"/>
        <v/>
      </c>
      <c r="K90" s="4" t="str">
        <f t="shared" ca="1" si="5"/>
        <v/>
      </c>
      <c r="L90" s="7" t="str">
        <f>IF(I90="Completed","0",IF($H90="","",$H90-'[2]Read Me'!$B$4))</f>
        <v/>
      </c>
      <c r="M90" s="4" t="str">
        <f>IF($I90="Complete","Green",IF($H90="","Amber",IF($H90&lt;'[2]Read Me'!$B$4,"Red",IF($H90-'[2]Read Me'!$B$4&lt;=21,"Amber","Green"))))</f>
        <v>Amber</v>
      </c>
      <c r="N90" s="3"/>
      <c r="O90" t="str">
        <f>IF($I90&lt;&gt;"Complete",IF(COUNTIFS($A$4:$A89,$A90,$B$4:$B89,$B90,$I$4:$I89,"&lt;&gt;Complete")=0,$A90&amp;"|"&amp;$B90,""),"")</f>
        <v>|</v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/>
      <c r="B91" s="2"/>
      <c r="C91" s="3"/>
      <c r="D91" s="3"/>
      <c r="E91" s="2"/>
      <c r="F91" s="2"/>
      <c r="G91" s="5"/>
      <c r="H91" s="5"/>
      <c r="I91" s="4"/>
      <c r="J91" s="6" t="str">
        <f t="shared" si="4"/>
        <v/>
      </c>
      <c r="K91" s="4" t="str">
        <f t="shared" ca="1" si="5"/>
        <v/>
      </c>
      <c r="L91" s="7" t="str">
        <f>IF(I91="Completed","0",IF($H91="","",$H91-'[2]Read Me'!$B$4))</f>
        <v/>
      </c>
      <c r="M91" s="4" t="str">
        <f>IF($I91="Complete","Green",IF($H91="","Amber",IF($H91&lt;'[2]Read Me'!$B$4,"Red",IF($H91-'[2]Read Me'!$B$4&lt;=21,"Amber","Green"))))</f>
        <v>Amber</v>
      </c>
      <c r="N91" s="3"/>
      <c r="O91" t="str">
        <f>IF($I91&lt;&gt;"Complete",IF(COUNTIFS($A$4:$A90,$A91,$B$4:$B90,$B91,$I$4:$I90,"&lt;&gt;Complete")=0,$A91&amp;"|"&amp;$B91,""),"")</f>
        <v>|</v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/>
      <c r="B92" s="2"/>
      <c r="C92" s="3"/>
      <c r="D92" s="3"/>
      <c r="E92" s="2"/>
      <c r="F92" s="2"/>
      <c r="G92" s="5"/>
      <c r="H92" s="5"/>
      <c r="I92" s="4"/>
      <c r="J92" s="6" t="str">
        <f t="shared" si="4"/>
        <v/>
      </c>
      <c r="K92" s="4" t="str">
        <f t="shared" ca="1" si="5"/>
        <v/>
      </c>
      <c r="L92" s="7" t="str">
        <f>IF(I92="Completed","0",IF($H92="","",$H92-'[2]Read Me'!$B$4))</f>
        <v/>
      </c>
      <c r="M92" s="4" t="str">
        <f>IF($I92="Complete","Green",IF($H92="","Amber",IF($H92&lt;'[2]Read Me'!$B$4,"Red",IF($H92-'[2]Read Me'!$B$4&lt;=21,"Amber","Green"))))</f>
        <v>Amber</v>
      </c>
      <c r="N92" s="3"/>
      <c r="O92" t="str">
        <f>IF($I92&lt;&gt;"Complete",IF(COUNTIFS($A$4:$A91,$A92,$B$4:$B91,$B92,$I$4:$I91,"&lt;&gt;Complete")=0,$A92&amp;"|"&amp;$B92,""),"")</f>
        <v>|</v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/>
      <c r="B93" s="2"/>
      <c r="C93" s="3"/>
      <c r="D93" s="3"/>
      <c r="E93" s="2"/>
      <c r="F93" s="2"/>
      <c r="G93" s="5"/>
      <c r="H93" s="5"/>
      <c r="I93" s="4"/>
      <c r="J93" s="6" t="str">
        <f t="shared" si="4"/>
        <v/>
      </c>
      <c r="K93" s="4" t="str">
        <f t="shared" ca="1" si="5"/>
        <v/>
      </c>
      <c r="L93" s="7" t="str">
        <f>IF(I93="Completed","0",IF($H93="","",$H93-'[2]Read Me'!$B$4))</f>
        <v/>
      </c>
      <c r="M93" s="4" t="str">
        <f>IF($I93="Complete","Green",IF($H93="","Amber",IF($H93&lt;'[2]Read Me'!$B$4,"Red",IF($H93-'[2]Read Me'!$B$4&lt;=21,"Amber","Green"))))</f>
        <v>Amber</v>
      </c>
      <c r="N93" s="3"/>
      <c r="O93" t="str">
        <f>IF($I93&lt;&gt;"Complete",IF(COUNTIFS($A$4:$A92,$A93,$B$4:$B92,$B93,$I$4:$I92,"&lt;&gt;Complete")=0,$A93&amp;"|"&amp;$B93,""),"")</f>
        <v>|</v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/>
      <c r="B94" s="2"/>
      <c r="C94" s="3"/>
      <c r="D94" s="3"/>
      <c r="E94" s="2"/>
      <c r="F94" s="2"/>
      <c r="G94" s="5"/>
      <c r="H94" s="5"/>
      <c r="I94" s="4"/>
      <c r="J94" s="6" t="str">
        <f t="shared" si="4"/>
        <v/>
      </c>
      <c r="K94" s="4" t="str">
        <f t="shared" ca="1" si="5"/>
        <v/>
      </c>
      <c r="L94" s="7" t="str">
        <f>IF(I94="Completed","0",IF($H94="","",$H94-'[2]Read Me'!$B$4))</f>
        <v/>
      </c>
      <c r="M94" s="4" t="str">
        <f>IF($I94="Complete","Green",IF($H94="","Amber",IF($H94&lt;'[2]Read Me'!$B$4,"Red",IF($H94-'[2]Read Me'!$B$4&lt;=21,"Amber","Green"))))</f>
        <v>Amber</v>
      </c>
      <c r="N94" s="3"/>
      <c r="O94" t="str">
        <f>IF($I94&lt;&gt;"Complete",IF(COUNTIFS($A$4:$A93,$A94,$B$4:$B93,$B94,$I$4:$I93,"&lt;&gt;Complete")=0,$A94&amp;"|"&amp;$B94,""),"")</f>
        <v>|</v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/>
      <c r="B95" s="2"/>
      <c r="C95" s="3"/>
      <c r="D95" s="3"/>
      <c r="E95" s="2"/>
      <c r="F95" s="2"/>
      <c r="G95" s="5"/>
      <c r="H95" s="5"/>
      <c r="I95" s="4"/>
      <c r="J95" s="6" t="str">
        <f t="shared" si="4"/>
        <v/>
      </c>
      <c r="K95" s="4" t="str">
        <f t="shared" ca="1" si="5"/>
        <v/>
      </c>
      <c r="L95" s="7" t="str">
        <f>IF(I95="Completed","0",IF($H95="","",$H95-'[2]Read Me'!$B$4))</f>
        <v/>
      </c>
      <c r="M95" s="4" t="str">
        <f>IF($I95="Complete","Green",IF($H95="","Amber",IF($H95&lt;'[2]Read Me'!$B$4,"Red",IF($H95-'[2]Read Me'!$B$4&lt;=21,"Amber","Green"))))</f>
        <v>Amber</v>
      </c>
      <c r="N95" s="3"/>
      <c r="O95" t="str">
        <f>IF($I95&lt;&gt;"Complete",IF(COUNTIFS($A$4:$A94,$A95,$B$4:$B94,$B95,$I$4:$I94,"&lt;&gt;Complete")=0,$A95&amp;"|"&amp;$B95,""),"")</f>
        <v>|</v>
      </c>
      <c r="P95" t="str">
        <f ca="1">IF($K95="Yes",COUNTIFS($K$4:$K95,"Yes"),"")</f>
        <v/>
      </c>
      <c r="Q95">
        <f t="shared" ca="1" si="6"/>
        <v>0</v>
      </c>
      <c r="R95" t="str">
        <f ca="1">IF($Q95=1,SUM($Q$4:$Q95),"")</f>
        <v/>
      </c>
    </row>
    <row r="96" spans="1:18" ht="33.75" customHeight="1" x14ac:dyDescent="0.3">
      <c r="A96" s="2"/>
      <c r="B96" s="2"/>
      <c r="C96" s="3"/>
      <c r="D96" s="3"/>
      <c r="E96" s="2"/>
      <c r="F96" s="2"/>
      <c r="G96" s="5"/>
      <c r="H96" s="5"/>
      <c r="I96" s="4"/>
      <c r="J96" s="6" t="str">
        <f t="shared" si="4"/>
        <v/>
      </c>
      <c r="K96" s="4" t="str">
        <f t="shared" ca="1" si="5"/>
        <v/>
      </c>
      <c r="L96" s="7" t="str">
        <f>IF(I96="Completed","0",IF($H96="","",$H96-'[2]Read Me'!$B$4))</f>
        <v/>
      </c>
      <c r="M96" s="4" t="str">
        <f>IF($I96="Complete","Green",IF($H96="","Amber",IF($H96&lt;'[2]Read Me'!$B$4,"Red",IF($H96-'[2]Read Me'!$B$4&lt;=21,"Amber","Green"))))</f>
        <v>Amber</v>
      </c>
      <c r="N96" s="3"/>
      <c r="O96" t="str">
        <f>IF($I96&lt;&gt;"Complete",IF(COUNTIFS($A$4:$A95,$A96,$B$4:$B95,$B96,$I$4:$I95,"&lt;&gt;Complete")=0,$A96&amp;"|"&amp;$B96,""),"")</f>
        <v>|</v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/>
      <c r="B97" s="2"/>
      <c r="C97" s="3"/>
      <c r="D97" s="3"/>
      <c r="E97" s="2"/>
      <c r="F97" s="2"/>
      <c r="G97" s="5"/>
      <c r="H97" s="5"/>
      <c r="I97" s="4"/>
      <c r="J97" s="6" t="str">
        <f t="shared" si="4"/>
        <v/>
      </c>
      <c r="K97" s="4" t="str">
        <f t="shared" ca="1" si="5"/>
        <v/>
      </c>
      <c r="L97" s="7" t="str">
        <f>IF(I97="Completed","0",IF($H97="","",$H97-'[2]Read Me'!$B$4))</f>
        <v/>
      </c>
      <c r="M97" s="4" t="str">
        <f>IF($I97="Complete","Green",IF($H97="","Amber",IF($H97&lt;'[2]Read Me'!$B$4,"Red",IF($H97-'[2]Read Me'!$B$4&lt;=21,"Amber","Green"))))</f>
        <v>Amber</v>
      </c>
      <c r="N97" s="3"/>
      <c r="O97" t="str">
        <f>IF($I97&lt;&gt;"Complete",IF(COUNTIFS($A$4:$A96,$A97,$B$4:$B96,$B97,$I$4:$I96,"&lt;&gt;Complete")=0,$A97&amp;"|"&amp;$B97,""),"")</f>
        <v>|</v>
      </c>
      <c r="P97" t="str">
        <f ca="1">IF($K97="Yes",COUNTIFS($K$4:$K97,"Yes"),"")</f>
        <v/>
      </c>
      <c r="Q97">
        <f t="shared" ca="1" si="6"/>
        <v>0</v>
      </c>
      <c r="R97" t="str">
        <f ca="1">IF($Q97=1,SUM($Q$4:$Q97),"")</f>
        <v/>
      </c>
    </row>
    <row r="98" spans="1:18" ht="33.75" customHeight="1" x14ac:dyDescent="0.3">
      <c r="A98" s="2"/>
      <c r="B98" s="2"/>
      <c r="C98" s="3"/>
      <c r="D98" s="3"/>
      <c r="E98" s="2"/>
      <c r="F98" s="2"/>
      <c r="G98" s="5"/>
      <c r="H98" s="5"/>
      <c r="I98" s="4"/>
      <c r="J98" s="6" t="str">
        <f t="shared" si="4"/>
        <v/>
      </c>
      <c r="K98" s="4" t="str">
        <f t="shared" ca="1" si="5"/>
        <v/>
      </c>
      <c r="L98" s="7" t="str">
        <f>IF(I98="Completed","0",IF($H98="","",$H98-'[2]Read Me'!$B$4))</f>
        <v/>
      </c>
      <c r="M98" s="4" t="str">
        <f>IF($I98="Complete","Green",IF($H98="","Amber",IF($H98&lt;'[2]Read Me'!$B$4,"Red",IF($H98-'[2]Read Me'!$B$4&lt;=21,"Amber","Green"))))</f>
        <v>Amber</v>
      </c>
      <c r="N98" s="3"/>
      <c r="O98" t="str">
        <f>IF($I98&lt;&gt;"Complete",IF(COUNTIFS($A$4:$A97,$A98,$B$4:$B97,$B98,$I$4:$I97,"&lt;&gt;Complete")=0,$A98&amp;"|"&amp;$B98,""),"")</f>
        <v>|</v>
      </c>
      <c r="P98" t="str">
        <f ca="1">IF($K98="Yes",COUNTIFS($K$4:$K98,"Yes"),"")</f>
        <v/>
      </c>
      <c r="Q98">
        <f t="shared" ca="1" si="6"/>
        <v>0</v>
      </c>
      <c r="R98" t="str">
        <f ca="1">IF($Q98=1,SUM($Q$4:$Q98),"")</f>
        <v/>
      </c>
    </row>
    <row r="99" spans="1:18" ht="33.75" customHeight="1" x14ac:dyDescent="0.3">
      <c r="A99" s="2"/>
      <c r="B99" s="2"/>
      <c r="C99" s="3"/>
      <c r="D99" s="3"/>
      <c r="E99" s="2"/>
      <c r="F99" s="2"/>
      <c r="G99" s="5"/>
      <c r="H99" s="5"/>
      <c r="I99" s="4"/>
      <c r="J99" s="6" t="str">
        <f t="shared" si="4"/>
        <v/>
      </c>
      <c r="K99" s="4" t="str">
        <f t="shared" ca="1" si="5"/>
        <v/>
      </c>
      <c r="L99" s="7" t="str">
        <f>IF(I99="Completed","0",IF($H99="","",$H99-'[2]Read Me'!$B$4))</f>
        <v/>
      </c>
      <c r="M99" s="4" t="str">
        <f>IF($I99="Complete","Green",IF($H99="","Amber",IF($H99&lt;'[2]Read Me'!$B$4,"Red",IF($H99-'[2]Read Me'!$B$4&lt;=21,"Amber","Green"))))</f>
        <v>Amber</v>
      </c>
      <c r="N99" s="3"/>
      <c r="O99" t="str">
        <f>IF($I99&lt;&gt;"Complete",IF(COUNTIFS($A$4:$A98,$A99,$B$4:$B98,$B99,$I$4:$I98,"&lt;&gt;Complete")=0,$A99&amp;"|"&amp;$B99,""),"")</f>
        <v>|</v>
      </c>
      <c r="P99" t="str">
        <f ca="1">IF($K99="Yes",COUNTIFS($K$4:$K99,"Yes"),"")</f>
        <v/>
      </c>
      <c r="Q99">
        <f t="shared" ca="1" si="6"/>
        <v>0</v>
      </c>
      <c r="R99" t="str">
        <f ca="1">IF($Q99=1,SUM($Q$4:$Q99),"")</f>
        <v/>
      </c>
    </row>
    <row r="100" spans="1:18" ht="33.75" customHeight="1" x14ac:dyDescent="0.3">
      <c r="A100" s="2"/>
      <c r="B100" s="2"/>
      <c r="C100" s="3"/>
      <c r="D100" s="3"/>
      <c r="E100" s="2"/>
      <c r="F100" s="2"/>
      <c r="G100" s="5"/>
      <c r="H100" s="5"/>
      <c r="I100" s="4"/>
      <c r="J100" s="6" t="str">
        <f t="shared" si="4"/>
        <v/>
      </c>
      <c r="K100" s="4" t="str">
        <f t="shared" ca="1" si="5"/>
        <v/>
      </c>
      <c r="L100" s="7" t="str">
        <f>IF(I100="Completed","0",IF($H100="","",$H100-'[2]Read Me'!$B$4))</f>
        <v/>
      </c>
      <c r="M100" s="4" t="str">
        <f>IF($I100="Complete","Green",IF($H100="","Amber",IF($H100&lt;'[2]Read Me'!$B$4,"Red",IF($H100-'[2]Read Me'!$B$4&lt;=21,"Amber","Green"))))</f>
        <v>Amber</v>
      </c>
      <c r="N100" s="3"/>
      <c r="O100" t="str">
        <f>IF($I100&lt;&gt;"Complete",IF(COUNTIFS($A$4:$A99,$A100,$B$4:$B99,$B100,$I$4:$I99,"&lt;&gt;Complete")=0,$A100&amp;"|"&amp;$B100,""),"")</f>
        <v>|</v>
      </c>
      <c r="P100" t="str">
        <f ca="1">IF($K100="Yes",COUNTIFS($K$4:$K100,"Yes"),"")</f>
        <v/>
      </c>
      <c r="Q100">
        <f t="shared" ca="1" si="6"/>
        <v>0</v>
      </c>
      <c r="R100" t="str">
        <f ca="1">IF($Q100=1,SUM($Q$4:$Q100),"")</f>
        <v/>
      </c>
    </row>
    <row r="101" spans="1:18" ht="33.75" customHeight="1" x14ac:dyDescent="0.3">
      <c r="A101" s="2"/>
      <c r="B101" s="2"/>
      <c r="C101" s="3"/>
      <c r="D101" s="3"/>
      <c r="E101" s="2"/>
      <c r="F101" s="2"/>
      <c r="G101" s="5"/>
      <c r="H101" s="5"/>
      <c r="I101" s="4"/>
      <c r="J101" s="6" t="str">
        <f t="shared" si="4"/>
        <v/>
      </c>
      <c r="K101" s="4" t="str">
        <f t="shared" ca="1" si="5"/>
        <v/>
      </c>
      <c r="L101" s="7" t="str">
        <f>IF(I101="Completed","0",IF($H101="","",$H101-'[2]Read Me'!$B$4))</f>
        <v/>
      </c>
      <c r="M101" s="4" t="str">
        <f>IF($I101="Complete","Green",IF($H101="","Amber",IF($H101&lt;'[2]Read Me'!$B$4,"Red",IF($H101-'[2]Read Me'!$B$4&lt;=21,"Amber","Green"))))</f>
        <v>Amber</v>
      </c>
      <c r="N101" s="3"/>
      <c r="O101" t="str">
        <f>IF($I101&lt;&gt;"Complete",IF(COUNTIFS($A$4:$A100,$A101,$B$4:$B100,$B101,$I$4:$I100,"&lt;&gt;Complete")=0,$A101&amp;"|"&amp;$B101,""),"")</f>
        <v>|</v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/>
      <c r="B102" s="2"/>
      <c r="C102" s="3"/>
      <c r="D102" s="3"/>
      <c r="E102" s="2"/>
      <c r="F102" s="2"/>
      <c r="G102" s="5"/>
      <c r="H102" s="5"/>
      <c r="I102" s="4"/>
      <c r="J102" s="6" t="str">
        <f t="shared" si="4"/>
        <v/>
      </c>
      <c r="K102" s="4" t="str">
        <f t="shared" ca="1" si="5"/>
        <v/>
      </c>
      <c r="L102" s="7" t="str">
        <f>IF(I102="Completed","0",IF($H102="","",$H102-'[2]Read Me'!$B$4))</f>
        <v/>
      </c>
      <c r="M102" s="4" t="str">
        <f>IF($I102="Complete","Green",IF($H102="","Amber",IF($H102&lt;'[2]Read Me'!$B$4,"Red",IF($H102-'[2]Read Me'!$B$4&lt;=21,"Amber","Green"))))</f>
        <v>Amber</v>
      </c>
      <c r="N102" s="3"/>
      <c r="O102" t="str">
        <f>IF($I102&lt;&gt;"Complete",IF(COUNTIFS($A$4:$A101,$A102,$B$4:$B101,$B102,$I$4:$I101,"&lt;&gt;Complete")=0,$A102&amp;"|"&amp;$B102,""),"")</f>
        <v>|</v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/>
      <c r="B103" s="2"/>
      <c r="C103" s="3"/>
      <c r="D103" s="3"/>
      <c r="E103" s="2"/>
      <c r="F103" s="2"/>
      <c r="G103" s="5"/>
      <c r="H103" s="5"/>
      <c r="I103" s="4"/>
      <c r="J103" s="6" t="str">
        <f t="shared" si="4"/>
        <v/>
      </c>
      <c r="K103" s="4" t="str">
        <f t="shared" ca="1" si="5"/>
        <v/>
      </c>
      <c r="L103" s="7" t="str">
        <f>IF(I103="Completed","0",IF($H103="","",$H103-'[2]Read Me'!$B$4))</f>
        <v/>
      </c>
      <c r="M103" s="4" t="str">
        <f>IF($I103="Complete","Green",IF($H103="","Amber",IF($H103&lt;'[2]Read Me'!$B$4,"Red",IF($H103-'[2]Read Me'!$B$4&lt;=21,"Amber","Green"))))</f>
        <v>Amber</v>
      </c>
      <c r="N103" s="3"/>
      <c r="O103" t="str">
        <f>IF($I103&lt;&gt;"Complete",IF(COUNTIFS($A$4:$A102,$A103,$B$4:$B102,$B103,$I$4:$I102,"&lt;&gt;Complete")=0,$A103&amp;"|"&amp;$B103,""),"")</f>
        <v>|</v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/>
      <c r="B104" s="2"/>
      <c r="C104" s="3"/>
      <c r="D104" s="3"/>
      <c r="E104" s="2"/>
      <c r="F104" s="2"/>
      <c r="G104" s="5"/>
      <c r="H104" s="5"/>
      <c r="I104" s="4"/>
      <c r="J104" s="6" t="str">
        <f t="shared" si="4"/>
        <v/>
      </c>
      <c r="K104" s="4" t="str">
        <f t="shared" ca="1" si="5"/>
        <v/>
      </c>
      <c r="L104" s="7" t="str">
        <f>IF(I104="Completed","0",IF($H104="","",$H104-'[2]Read Me'!$B$4))</f>
        <v/>
      </c>
      <c r="M104" s="4" t="str">
        <f>IF($I104="Complete","Green",IF($H104="","Amber",IF($H104&lt;'[2]Read Me'!$B$4,"Red",IF($H104-'[2]Read Me'!$B$4&lt;=21,"Amber","Green"))))</f>
        <v>Amber</v>
      </c>
      <c r="N104" s="3"/>
      <c r="O104" t="str">
        <f>IF($I104&lt;&gt;"Complete",IF(COUNTIFS($A$4:$A103,$A104,$B$4:$B103,$B104,$I$4:$I103,"&lt;&gt;Complete")=0,$A104&amp;"|"&amp;$B104,""),"")</f>
        <v>|</v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/>
      <c r="B105" s="2"/>
      <c r="C105" s="3"/>
      <c r="D105" s="3"/>
      <c r="E105" s="2"/>
      <c r="F105" s="2"/>
      <c r="G105" s="5"/>
      <c r="H105" s="5"/>
      <c r="I105" s="4"/>
      <c r="J105" s="6" t="str">
        <f t="shared" si="4"/>
        <v/>
      </c>
      <c r="K105" s="4" t="str">
        <f t="shared" ca="1" si="5"/>
        <v/>
      </c>
      <c r="L105" s="7" t="str">
        <f>IF(I105="Completed","0",IF($H105="","",$H105-'[2]Read Me'!$B$4))</f>
        <v/>
      </c>
      <c r="M105" s="4" t="str">
        <f>IF($I105="Complete","Green",IF($H105="","Amber",IF($H105&lt;'[2]Read Me'!$B$4,"Red",IF($H105-'[2]Read Me'!$B$4&lt;=21,"Amber","Green"))))</f>
        <v>Amber</v>
      </c>
      <c r="N105" s="3"/>
      <c r="O105" t="str">
        <f>IF($I105&lt;&gt;"Complete",IF(COUNTIFS($A$4:$A104,$A105,$B$4:$B104,$B105,$I$4:$I104,"&lt;&gt;Complete")=0,$A105&amp;"|"&amp;$B105,""),"")</f>
        <v>|</v>
      </c>
      <c r="P105" t="str">
        <f ca="1">IF($K105="Yes",COUNTIFS($K$4:$K105,"Yes"),"")</f>
        <v/>
      </c>
      <c r="Q105">
        <f t="shared" ca="1" si="6"/>
        <v>0</v>
      </c>
      <c r="R105" t="str">
        <f ca="1">IF($Q105=1,SUM($Q$4:$Q105),"")</f>
        <v/>
      </c>
    </row>
    <row r="106" spans="1:18" ht="22.5" customHeight="1" x14ac:dyDescent="0.3">
      <c r="A106" s="2"/>
      <c r="B106" s="2"/>
      <c r="C106" s="3"/>
      <c r="D106" s="3"/>
      <c r="E106" s="2"/>
      <c r="F106" s="2"/>
      <c r="G106" s="5"/>
      <c r="H106" s="5"/>
      <c r="I106" s="4"/>
      <c r="J106" s="6" t="str">
        <f t="shared" si="4"/>
        <v/>
      </c>
      <c r="K106" s="4" t="str">
        <f t="shared" ca="1" si="5"/>
        <v/>
      </c>
      <c r="L106" s="7" t="str">
        <f>IF(I106="Completed","0",IF($H106="","",$H106-'[2]Read Me'!$B$4))</f>
        <v/>
      </c>
      <c r="M106" s="4" t="str">
        <f>IF($I106="Complete","Green",IF($H106="","Amber",IF($H106&lt;'[2]Read Me'!$B$4,"Red",IF($H106-'[2]Read Me'!$B$4&lt;=21,"Amber","Green"))))</f>
        <v>Amber</v>
      </c>
      <c r="N106" s="3"/>
      <c r="O106" t="str">
        <f>IF($I106&lt;&gt;"Complete",IF(COUNTIFS($A$4:$A105,$A106,$B$4:$B105,$B106,$I$4:$I105,"&lt;&gt;Complete")=0,$A106&amp;"|"&amp;$B106,""),"")</f>
        <v>|</v>
      </c>
      <c r="P106" t="str">
        <f ca="1">IF($K106="Yes",COUNTIFS($K$4:$K106,"Yes"),"")</f>
        <v/>
      </c>
      <c r="Q106">
        <f t="shared" ca="1" si="6"/>
        <v>0</v>
      </c>
      <c r="R106" t="str">
        <f ca="1">IF($Q106=1,SUM($Q$4:$Q106),"")</f>
        <v/>
      </c>
    </row>
    <row r="107" spans="1:18" ht="22.5" customHeight="1" x14ac:dyDescent="0.3">
      <c r="A107" s="2"/>
      <c r="B107" s="2"/>
      <c r="C107" s="3"/>
      <c r="D107" s="3"/>
      <c r="E107" s="2"/>
      <c r="F107" s="2"/>
      <c r="G107" s="5"/>
      <c r="H107" s="5"/>
      <c r="I107" s="4"/>
      <c r="J107" s="6" t="str">
        <f t="shared" si="4"/>
        <v/>
      </c>
      <c r="K107" s="4" t="str">
        <f t="shared" ca="1" si="5"/>
        <v/>
      </c>
      <c r="L107" s="7" t="str">
        <f>IF(I107="Completed","0",IF($H107="","",$H107-'[2]Read Me'!$B$4))</f>
        <v/>
      </c>
      <c r="M107" s="4" t="str">
        <f>IF($I107="Complete","Green",IF($H107="","Amber",IF($H107&lt;'[2]Read Me'!$B$4,"Red",IF($H107-'[2]Read Me'!$B$4&lt;=21,"Amber","Green"))))</f>
        <v>Amber</v>
      </c>
      <c r="N107" s="3"/>
      <c r="O107" t="str">
        <f>IF($I107&lt;&gt;"Complete",IF(COUNTIFS($A$4:$A106,$A107,$B$4:$B106,$B107,$I$4:$I106,"&lt;&gt;Complete")=0,$A107&amp;"|"&amp;$B107,""),"")</f>
        <v>|</v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/>
      <c r="B108" s="2"/>
      <c r="C108" s="3"/>
      <c r="D108" s="3"/>
      <c r="E108" s="2"/>
      <c r="F108" s="2"/>
      <c r="G108" s="5"/>
      <c r="H108" s="5"/>
      <c r="I108" s="4"/>
      <c r="J108" s="6" t="str">
        <f t="shared" si="4"/>
        <v/>
      </c>
      <c r="K108" s="4" t="str">
        <f t="shared" ca="1" si="5"/>
        <v/>
      </c>
      <c r="L108" s="7" t="str">
        <f>IF(I108="Completed","0",IF($H108="","",$H108-'[2]Read Me'!$B$4))</f>
        <v/>
      </c>
      <c r="M108" s="4" t="str">
        <f>IF($I108="Complete","Green",IF($H108="","Amber",IF($H108&lt;'[2]Read Me'!$B$4,"Red",IF($H108-'[2]Read Me'!$B$4&lt;=21,"Amber","Green"))))</f>
        <v>Amber</v>
      </c>
      <c r="N108" s="3"/>
      <c r="O108" t="str">
        <f>IF($I108&lt;&gt;"Complete",IF(COUNTIFS($A$4:$A107,$A108,$B$4:$B107,$B108,$I$4:$I107,"&lt;&gt;Complete")=0,$A108&amp;"|"&amp;$B108,""),"")</f>
        <v>|</v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/>
      <c r="B109" s="2"/>
      <c r="C109" s="3"/>
      <c r="D109" s="3"/>
      <c r="E109" s="2"/>
      <c r="F109" s="2"/>
      <c r="G109" s="5"/>
      <c r="H109" s="5"/>
      <c r="I109" s="4"/>
      <c r="J109" s="6" t="str">
        <f t="shared" si="4"/>
        <v/>
      </c>
      <c r="K109" s="4" t="str">
        <f t="shared" ca="1" si="5"/>
        <v/>
      </c>
      <c r="L109" s="7" t="str">
        <f>IF(I109="Completed","0",IF($H109="","",$H109-'[2]Read Me'!$B$4))</f>
        <v/>
      </c>
      <c r="M109" s="4" t="str">
        <f>IF($I109="Complete","Green",IF($H109="","Amber",IF($H109&lt;'[2]Read Me'!$B$4,"Red",IF($H109-'[2]Read Me'!$B$4&lt;=21,"Amber","Green"))))</f>
        <v>Amber</v>
      </c>
      <c r="N109" s="3"/>
      <c r="O109" t="str">
        <f>IF($I109&lt;&gt;"Complete",IF(COUNTIFS($A$4:$A108,$A109,$B$4:$B108,$B109,$I$4:$I108,"&lt;&gt;Complete")=0,$A109&amp;"|"&amp;$B109,""),"")</f>
        <v>|</v>
      </c>
      <c r="P109" t="str">
        <f ca="1">IF($K109="Yes",COUNTIFS($K$4:$K109,"Yes"),"")</f>
        <v/>
      </c>
      <c r="Q109">
        <f t="shared" ca="1" si="6"/>
        <v>0</v>
      </c>
      <c r="R109" t="str">
        <f ca="1">IF($Q109=1,SUM($Q$4:$Q109),"")</f>
        <v/>
      </c>
    </row>
    <row r="110" spans="1:18" ht="22.5" customHeight="1" x14ac:dyDescent="0.3">
      <c r="A110" s="2"/>
      <c r="B110" s="2"/>
      <c r="C110" s="3"/>
      <c r="D110" s="3"/>
      <c r="E110" s="2"/>
      <c r="F110" s="2"/>
      <c r="G110" s="5"/>
      <c r="H110" s="5"/>
      <c r="I110" s="4"/>
      <c r="J110" s="6" t="str">
        <f t="shared" si="4"/>
        <v/>
      </c>
      <c r="K110" s="4" t="str">
        <f t="shared" ca="1" si="5"/>
        <v/>
      </c>
      <c r="L110" s="7" t="str">
        <f>IF(I110="Completed","0",IF($H110="","",$H110-'[2]Read Me'!$B$4))</f>
        <v/>
      </c>
      <c r="M110" s="4" t="str">
        <f>IF($I110="Complete","Green",IF($H110="","Amber",IF($H110&lt;'[2]Read Me'!$B$4,"Red",IF($H110-'[2]Read Me'!$B$4&lt;=21,"Amber","Green"))))</f>
        <v>Amber</v>
      </c>
      <c r="N110" s="3"/>
      <c r="O110" t="str">
        <f>IF($I110&lt;&gt;"Complete",IF(COUNTIFS($A$4:$A109,$A110,$B$4:$B109,$B110,$I$4:$I109,"&lt;&gt;Complete")=0,$A110&amp;"|"&amp;$B110,""),"")</f>
        <v>|</v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/>
      <c r="B111" s="2"/>
      <c r="C111" s="3"/>
      <c r="D111" s="3"/>
      <c r="E111" s="2"/>
      <c r="F111" s="2"/>
      <c r="G111" s="5"/>
      <c r="H111" s="5"/>
      <c r="I111" s="4"/>
      <c r="J111" s="6" t="str">
        <f t="shared" si="4"/>
        <v/>
      </c>
      <c r="K111" s="4" t="str">
        <f t="shared" ca="1" si="5"/>
        <v/>
      </c>
      <c r="L111" s="7" t="str">
        <f>IF(I111="Completed","0",IF($H111="","",$H111-'[2]Read Me'!$B$4))</f>
        <v/>
      </c>
      <c r="M111" s="4" t="str">
        <f>IF($I111="Complete","Green",IF($H111="","Amber",IF($H111&lt;'[2]Read Me'!$B$4,"Red",IF($H111-'[2]Read Me'!$B$4&lt;=21,"Amber","Green"))))</f>
        <v>Amber</v>
      </c>
      <c r="N111" s="3"/>
      <c r="O111" t="str">
        <f>IF($I111&lt;&gt;"Complete",IF(COUNTIFS($A$4:$A110,$A111,$B$4:$B110,$B111,$I$4:$I110,"&lt;&gt;Complete")=0,$A111&amp;"|"&amp;$B111,""),"")</f>
        <v>|</v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/>
      <c r="B112" s="2"/>
      <c r="C112" s="3"/>
      <c r="D112" s="3"/>
      <c r="E112" s="2"/>
      <c r="F112" s="2"/>
      <c r="G112" s="5"/>
      <c r="H112" s="5"/>
      <c r="I112" s="4"/>
      <c r="J112" s="6" t="str">
        <f t="shared" si="4"/>
        <v/>
      </c>
      <c r="K112" s="4" t="str">
        <f t="shared" ca="1" si="5"/>
        <v/>
      </c>
      <c r="L112" s="7" t="str">
        <f>IF(I112="Completed","0",IF($H112="","",$H112-'[2]Read Me'!$B$4))</f>
        <v/>
      </c>
      <c r="M112" s="4" t="str">
        <f>IF($I112="Complete","Green",IF($H112="","Amber",IF($H112&lt;'[2]Read Me'!$B$4,"Red",IF($H112-'[2]Read Me'!$B$4&lt;=21,"Amber","Green"))))</f>
        <v>Amber</v>
      </c>
      <c r="N112" s="3"/>
      <c r="O112" t="str">
        <f>IF($I112&lt;&gt;"Complete",IF(COUNTIFS($A$4:$A111,$A112,$B$4:$B111,$B112,$I$4:$I111,"&lt;&gt;Complete")=0,$A112&amp;"|"&amp;$B112,""),"")</f>
        <v>|</v>
      </c>
      <c r="P112" t="str">
        <f ca="1">IF($K112="Yes",COUNTIFS($K$4:$K112,"Yes"),"")</f>
        <v/>
      </c>
      <c r="Q112">
        <f t="shared" ca="1" si="6"/>
        <v>0</v>
      </c>
      <c r="R112" t="str">
        <f ca="1">IF($Q112=1,SUM($Q$4:$Q112),"")</f>
        <v/>
      </c>
    </row>
    <row r="113" spans="1:18" ht="22.5" customHeight="1" x14ac:dyDescent="0.3">
      <c r="A113" s="2"/>
      <c r="B113" s="2"/>
      <c r="C113" s="3"/>
      <c r="D113" s="3"/>
      <c r="E113" s="2"/>
      <c r="F113" s="2"/>
      <c r="G113" s="5"/>
      <c r="H113" s="5"/>
      <c r="I113" s="4"/>
      <c r="J113" s="6" t="str">
        <f t="shared" si="4"/>
        <v/>
      </c>
      <c r="K113" s="4" t="str">
        <f t="shared" ca="1" si="5"/>
        <v/>
      </c>
      <c r="L113" s="7" t="str">
        <f>IF(I113="Completed","0",IF($H113="","",$H113-'[2]Read Me'!$B$4))</f>
        <v/>
      </c>
      <c r="M113" s="4" t="str">
        <f>IF($I113="Complete","Green",IF($H113="","Amber",IF($H113&lt;'[2]Read Me'!$B$4,"Red",IF($H113-'[2]Read Me'!$B$4&lt;=21,"Amber","Green"))))</f>
        <v>Amber</v>
      </c>
      <c r="N113" s="3"/>
      <c r="O113" t="str">
        <f>IF($I113&lt;&gt;"Complete",IF(COUNTIFS($A$4:$A112,$A113,$B$4:$B112,$B113,$I$4:$I112,"&lt;&gt;Complete")=0,$A113&amp;"|"&amp;$B113,""),"")</f>
        <v>|</v>
      </c>
      <c r="P113" t="str">
        <f ca="1">IF($K113="Yes",COUNTIFS($K$4:$K113,"Yes"),"")</f>
        <v/>
      </c>
      <c r="Q113">
        <f t="shared" ca="1" si="6"/>
        <v>0</v>
      </c>
      <c r="R113" t="str">
        <f ca="1">IF($Q113=1,SUM($Q$4:$Q113),"")</f>
        <v/>
      </c>
    </row>
    <row r="114" spans="1:18" ht="22.5" customHeight="1" x14ac:dyDescent="0.3">
      <c r="A114" s="2"/>
      <c r="B114" s="2"/>
      <c r="C114" s="3"/>
      <c r="D114" s="3"/>
      <c r="E114" s="2"/>
      <c r="F114" s="2"/>
      <c r="G114" s="5"/>
      <c r="H114" s="5"/>
      <c r="I114" s="4"/>
      <c r="J114" s="6" t="str">
        <f t="shared" si="4"/>
        <v/>
      </c>
      <c r="K114" s="4" t="str">
        <f t="shared" ca="1" si="5"/>
        <v/>
      </c>
      <c r="L114" s="7" t="str">
        <f>IF(I114="Completed","0",IF($H114="","",$H114-'[2]Read Me'!$B$4))</f>
        <v/>
      </c>
      <c r="M114" s="4" t="str">
        <f>IF($I114="Complete","Green",IF($H114="","Amber",IF($H114&lt;'[2]Read Me'!$B$4,"Red",IF($H114-'[2]Read Me'!$B$4&lt;=21,"Amber","Green"))))</f>
        <v>Amber</v>
      </c>
      <c r="N114" s="3"/>
      <c r="O114" t="str">
        <f>IF($I114&lt;&gt;"Complete",IF(COUNTIFS($A$4:$A113,$A114,$B$4:$B113,$B114,$I$4:$I113,"&lt;&gt;Complete")=0,$A114&amp;"|"&amp;$B114,""),"")</f>
        <v>|</v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/>
      <c r="B115" s="2"/>
      <c r="C115" s="3"/>
      <c r="D115" s="3"/>
      <c r="E115" s="2"/>
      <c r="F115" s="2"/>
      <c r="G115" s="5"/>
      <c r="H115" s="5"/>
      <c r="I115" s="4"/>
      <c r="J115" s="6" t="str">
        <f t="shared" si="4"/>
        <v/>
      </c>
      <c r="K115" s="4" t="str">
        <f t="shared" ca="1" si="5"/>
        <v/>
      </c>
      <c r="L115" s="7" t="str">
        <f>IF(I115="Completed","0",IF($H115="","",$H115-'[2]Read Me'!$B$4))</f>
        <v/>
      </c>
      <c r="M115" s="4" t="str">
        <f>IF($I115="Complete","Green",IF($H115="","Amber",IF($H115&lt;'[2]Read Me'!$B$4,"Red",IF($H115-'[2]Read Me'!$B$4&lt;=21,"Amber","Green"))))</f>
        <v>Amber</v>
      </c>
      <c r="N115" s="3"/>
      <c r="O115" t="str">
        <f>IF($I115&lt;&gt;"Complete",IF(COUNTIFS($A$4:$A114,$A115,$B$4:$B114,$B115,$I$4:$I114,"&lt;&gt;Complete")=0,$A115&amp;"|"&amp;$B115,""),"")</f>
        <v>|</v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/>
      <c r="B116" s="2"/>
      <c r="C116" s="3"/>
      <c r="D116" s="3"/>
      <c r="E116" s="2"/>
      <c r="F116" s="2"/>
      <c r="G116" s="5"/>
      <c r="H116" s="5"/>
      <c r="I116" s="4"/>
      <c r="J116" s="6" t="str">
        <f t="shared" si="4"/>
        <v/>
      </c>
      <c r="K116" s="4" t="str">
        <f t="shared" ca="1" si="5"/>
        <v/>
      </c>
      <c r="L116" s="7" t="str">
        <f>IF(I116="Completed","0",IF($H116="","",$H116-'[2]Read Me'!$B$4))</f>
        <v/>
      </c>
      <c r="M116" s="4" t="str">
        <f>IF($I116="Complete","Green",IF($H116="","Amber",IF($H116&lt;'[2]Read Me'!$B$4,"Red",IF($H116-'[2]Read Me'!$B$4&lt;=21,"Amber","Green"))))</f>
        <v>Amber</v>
      </c>
      <c r="N116" s="3"/>
      <c r="O116" t="str">
        <f>IF($I116&lt;&gt;"Complete",IF(COUNTIFS($A$4:$A115,$A116,$B$4:$B115,$B116,$I$4:$I115,"&lt;&gt;Complete")=0,$A116&amp;"|"&amp;$B116,""),"")</f>
        <v>|</v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/>
      <c r="B117" s="2"/>
      <c r="C117" s="3"/>
      <c r="D117" s="3"/>
      <c r="E117" s="2"/>
      <c r="F117" s="2"/>
      <c r="G117" s="5"/>
      <c r="H117" s="5"/>
      <c r="I117" s="4"/>
      <c r="J117" s="6" t="str">
        <f t="shared" si="4"/>
        <v/>
      </c>
      <c r="K117" s="4" t="str">
        <f t="shared" ca="1" si="5"/>
        <v/>
      </c>
      <c r="L117" s="7" t="str">
        <f>IF(I117="Completed","0",IF($H117="","",$H117-'[2]Read Me'!$B$4))</f>
        <v/>
      </c>
      <c r="M117" s="4" t="str">
        <f>IF($I117="Complete","Green",IF($H117="","Amber",IF($H117&lt;'[2]Read Me'!$B$4,"Red",IF($H117-'[2]Read Me'!$B$4&lt;=21,"Amber","Green"))))</f>
        <v>Amber</v>
      </c>
      <c r="N117" s="3"/>
      <c r="O117" t="str">
        <f>IF($I117&lt;&gt;"Complete",IF(COUNTIFS($A$4:$A116,$A117,$B$4:$B116,$B117,$I$4:$I116,"&lt;&gt;Complete")=0,$A117&amp;"|"&amp;$B117,""),"")</f>
        <v>|</v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/>
      <c r="B118" s="2"/>
      <c r="C118" s="3"/>
      <c r="D118" s="3"/>
      <c r="E118" s="2"/>
      <c r="F118" s="2"/>
      <c r="G118" s="5"/>
      <c r="H118" s="5"/>
      <c r="I118" s="4"/>
      <c r="J118" s="6" t="str">
        <f t="shared" si="4"/>
        <v/>
      </c>
      <c r="K118" s="4" t="str">
        <f t="shared" ca="1" si="5"/>
        <v/>
      </c>
      <c r="L118" s="7" t="str">
        <f>IF(I118="Completed","0",IF($H118="","",$H118-'[2]Read Me'!$B$4))</f>
        <v/>
      </c>
      <c r="M118" s="4" t="str">
        <f>IF($I118="Complete","Green",IF($H118="","Amber",IF($H118&lt;'[2]Read Me'!$B$4,"Red",IF($H118-'[2]Read Me'!$B$4&lt;=21,"Amber","Green"))))</f>
        <v>Amber</v>
      </c>
      <c r="N118" s="3"/>
      <c r="O118" t="str">
        <f>IF($I118&lt;&gt;"Complete",IF(COUNTIFS($A$4:$A117,$A118,$B$4:$B117,$B118,$I$4:$I117,"&lt;&gt;Complete")=0,$A118&amp;"|"&amp;$B118,""),"")</f>
        <v>|</v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/>
      <c r="B119" s="2"/>
      <c r="C119" s="3"/>
      <c r="D119" s="3"/>
      <c r="E119" s="2"/>
      <c r="F119" s="2"/>
      <c r="G119" s="5"/>
      <c r="H119" s="5"/>
      <c r="I119" s="4"/>
      <c r="J119" s="6" t="str">
        <f t="shared" si="4"/>
        <v/>
      </c>
      <c r="K119" s="4" t="str">
        <f t="shared" ca="1" si="5"/>
        <v/>
      </c>
      <c r="L119" s="7" t="str">
        <f>IF(I119="Completed","0",IF($H119="","",$H119-'[2]Read Me'!$B$4))</f>
        <v/>
      </c>
      <c r="M119" s="4" t="str">
        <f>IF($I119="Complete","Green",IF($H119="","Amber",IF($H119&lt;'[2]Read Me'!$B$4,"Red",IF($H119-'[2]Read Me'!$B$4&lt;=21,"Amber","Green"))))</f>
        <v>Amber</v>
      </c>
      <c r="N119" s="3"/>
      <c r="O119" t="str">
        <f>IF($I119&lt;&gt;"Complete",IF(COUNTIFS($A$4:$A118,$A119,$B$4:$B118,$B119,$I$4:$I118,"&lt;&gt;Complete")=0,$A119&amp;"|"&amp;$B119,""),"")</f>
        <v>|</v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/>
      <c r="B120" s="2"/>
      <c r="C120" s="3"/>
      <c r="D120" s="3"/>
      <c r="E120" s="2"/>
      <c r="F120" s="2"/>
      <c r="G120" s="5"/>
      <c r="H120" s="5"/>
      <c r="I120" s="4"/>
      <c r="J120" s="6" t="str">
        <f t="shared" si="4"/>
        <v/>
      </c>
      <c r="K120" s="4" t="str">
        <f t="shared" ca="1" si="5"/>
        <v/>
      </c>
      <c r="L120" s="7" t="str">
        <f>IF(I120="Completed","0",IF($H120="","",$H120-'[2]Read Me'!$B$4))</f>
        <v/>
      </c>
      <c r="M120" s="4" t="str">
        <f>IF($I120="Complete","Green",IF($H120="","Amber",IF($H120&lt;'[2]Read Me'!$B$4,"Red",IF($H120-'[2]Read Me'!$B$4&lt;=21,"Amber","Green"))))</f>
        <v>Amber</v>
      </c>
      <c r="N120" s="3"/>
      <c r="O120" t="str">
        <f>IF($I120&lt;&gt;"Complete",IF(COUNTIFS($A$4:$A119,$A120,$B$4:$B119,$B120,$I$4:$I119,"&lt;&gt;Complete")=0,$A120&amp;"|"&amp;$B120,""),"")</f>
        <v>|</v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/>
      <c r="B121" s="2"/>
      <c r="C121" s="3"/>
      <c r="D121" s="3"/>
      <c r="E121" s="2"/>
      <c r="F121" s="2"/>
      <c r="G121" s="5"/>
      <c r="H121" s="5"/>
      <c r="I121" s="4"/>
      <c r="J121" s="6" t="str">
        <f t="shared" si="4"/>
        <v/>
      </c>
      <c r="K121" s="4" t="str">
        <f t="shared" ca="1" si="5"/>
        <v/>
      </c>
      <c r="L121" s="7" t="str">
        <f>IF(I121="Completed","0",IF($H121="","",$H121-'[2]Read Me'!$B$4))</f>
        <v/>
      </c>
      <c r="M121" s="4" t="str">
        <f>IF($I121="Complete","Green",IF($H121="","Amber",IF($H121&lt;'[2]Read Me'!$B$4,"Red",IF($H121-'[2]Read Me'!$B$4&lt;=21,"Amber","Green"))))</f>
        <v>Amber</v>
      </c>
      <c r="N121" s="3"/>
      <c r="O121" t="str">
        <f>IF($I121&lt;&gt;"Complete",IF(COUNTIFS($A$4:$A120,$A121,$B$4:$B120,$B121,$I$4:$I120,"&lt;&gt;Complete")=0,$A121&amp;"|"&amp;$B121,""),"")</f>
        <v>|</v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/>
      <c r="B122" s="2"/>
      <c r="C122" s="3"/>
      <c r="D122" s="3"/>
      <c r="E122" s="2"/>
      <c r="F122" s="2"/>
      <c r="G122" s="5"/>
      <c r="H122" s="5"/>
      <c r="I122" s="4"/>
      <c r="J122" s="6" t="str">
        <f t="shared" si="4"/>
        <v/>
      </c>
      <c r="K122" s="4" t="str">
        <f t="shared" ca="1" si="5"/>
        <v/>
      </c>
      <c r="L122" s="7" t="str">
        <f>IF(I122="Completed","0",IF($H122="","",$H122-'[2]Read Me'!$B$4))</f>
        <v/>
      </c>
      <c r="M122" s="4" t="str">
        <f>IF($I122="Complete","Green",IF($H122="","Amber",IF($H122&lt;'[2]Read Me'!$B$4,"Red",IF($H122-'[2]Read Me'!$B$4&lt;=21,"Amber","Green"))))</f>
        <v>Amber</v>
      </c>
      <c r="N122" s="3"/>
      <c r="O122" t="str">
        <f>IF($I122&lt;&gt;"Complete",IF(COUNTIFS($A$4:$A121,$A122,$B$4:$B121,$B122,$I$4:$I121,"&lt;&gt;Complete")=0,$A122&amp;"|"&amp;$B122,""),"")</f>
        <v>|</v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/>
      <c r="B123" s="2"/>
      <c r="C123" s="3"/>
      <c r="D123" s="3"/>
      <c r="E123" s="2"/>
      <c r="F123" s="2"/>
      <c r="G123" s="5"/>
      <c r="H123" s="5"/>
      <c r="I123" s="4"/>
      <c r="J123" s="6" t="str">
        <f t="shared" si="4"/>
        <v/>
      </c>
      <c r="K123" s="4" t="str">
        <f t="shared" ca="1" si="5"/>
        <v/>
      </c>
      <c r="L123" s="7" t="str">
        <f>IF(I123="Completed","0",IF($H123="","",$H123-'[2]Read Me'!$B$4))</f>
        <v/>
      </c>
      <c r="M123" s="4" t="str">
        <f>IF($I123="Complete","Green",IF($H123="","Amber",IF($H123&lt;'[2]Read Me'!$B$4,"Red",IF($H123-'[2]Read Me'!$B$4&lt;=21,"Amber","Green"))))</f>
        <v>Amber</v>
      </c>
      <c r="N123" s="3"/>
      <c r="O123" t="str">
        <f>IF($I123&lt;&gt;"Complete",IF(COUNTIFS($A$4:$A122,$A123,$B$4:$B122,$B123,$I$4:$I122,"&lt;&gt;Complete")=0,$A123&amp;"|"&amp;$B123,""),"")</f>
        <v>|</v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/>
      <c r="B124" s="2"/>
      <c r="C124" s="3"/>
      <c r="D124" s="3"/>
      <c r="E124" s="2"/>
      <c r="F124" s="2"/>
      <c r="G124" s="5"/>
      <c r="H124" s="5"/>
      <c r="I124" s="4"/>
      <c r="J124" s="6" t="str">
        <f t="shared" si="4"/>
        <v/>
      </c>
      <c r="K124" s="4" t="str">
        <f t="shared" ca="1" si="5"/>
        <v/>
      </c>
      <c r="L124" s="7" t="str">
        <f>IF(I124="Completed","0",IF($H124="","",$H124-'[2]Read Me'!$B$4))</f>
        <v/>
      </c>
      <c r="M124" s="4" t="str">
        <f>IF($I124="Complete","Green",IF($H124="","Amber",IF($H124&lt;'[2]Read Me'!$B$4,"Red",IF($H124-'[2]Read Me'!$B$4&lt;=21,"Amber","Green"))))</f>
        <v>Amber</v>
      </c>
      <c r="N124" s="3"/>
      <c r="O124" t="str">
        <f>IF($I124&lt;&gt;"Complete",IF(COUNTIFS($A$4:$A123,$A124,$B$4:$B123,$B124,$I$4:$I123,"&lt;&gt;Complete")=0,$A124&amp;"|"&amp;$B124,""),"")</f>
        <v>|</v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/>
      <c r="B125" s="2"/>
      <c r="C125" s="3"/>
      <c r="D125" s="3"/>
      <c r="E125" s="2"/>
      <c r="F125" s="2"/>
      <c r="G125" s="5"/>
      <c r="H125" s="5"/>
      <c r="I125" s="4"/>
      <c r="J125" s="6" t="str">
        <f t="shared" si="4"/>
        <v/>
      </c>
      <c r="K125" s="4" t="str">
        <f t="shared" ca="1" si="5"/>
        <v/>
      </c>
      <c r="L125" s="7" t="str">
        <f>IF(I125="Completed","0",IF($H125="","",$H125-'[2]Read Me'!$B$4))</f>
        <v/>
      </c>
      <c r="M125" s="4" t="str">
        <f>IF($I125="Complete","Green",IF($H125="","Amber",IF($H125&lt;'[2]Read Me'!$B$4,"Red",IF($H125-'[2]Read Me'!$B$4&lt;=21,"Amber","Green"))))</f>
        <v>Amber</v>
      </c>
      <c r="N125" s="3"/>
      <c r="O125" t="str">
        <f>IF($I125&lt;&gt;"Complete",IF(COUNTIFS($A$4:$A124,$A125,$B$4:$B124,$B125,$I$4:$I124,"&lt;&gt;Complete")=0,$A125&amp;"|"&amp;$B125,""),"")</f>
        <v>|</v>
      </c>
      <c r="P125" t="str">
        <f ca="1">IF($K125="Yes",COUNTIFS($K$4:$K125,"Yes"),"")</f>
        <v/>
      </c>
      <c r="Q125">
        <f t="shared" ca="1" si="6"/>
        <v>0</v>
      </c>
      <c r="R125" t="str">
        <f ca="1">IF($Q125=1,SUM($Q$4:$Q125),"")</f>
        <v/>
      </c>
    </row>
    <row r="126" spans="1:18" ht="22.5" customHeight="1" x14ac:dyDescent="0.3">
      <c r="A126" s="2"/>
      <c r="B126" s="2"/>
      <c r="C126" s="3"/>
      <c r="D126" s="3"/>
      <c r="E126" s="2"/>
      <c r="F126" s="2"/>
      <c r="G126" s="5"/>
      <c r="H126" s="5"/>
      <c r="I126" s="4"/>
      <c r="J126" s="6" t="str">
        <f t="shared" si="4"/>
        <v/>
      </c>
      <c r="K126" s="4" t="str">
        <f t="shared" ca="1" si="5"/>
        <v/>
      </c>
      <c r="L126" s="7" t="str">
        <f>IF(I126="Completed","0",IF($H126="","",$H126-'[2]Read Me'!$B$4))</f>
        <v/>
      </c>
      <c r="M126" s="4" t="str">
        <f>IF($I126="Complete","Green",IF($H126="","Amber",IF($H126&lt;'[2]Read Me'!$B$4,"Red",IF($H126-'[2]Read Me'!$B$4&lt;=21,"Amber","Green"))))</f>
        <v>Amber</v>
      </c>
      <c r="N126" s="3"/>
      <c r="O126" t="str">
        <f>IF($I126&lt;&gt;"Complete",IF(COUNTIFS($A$4:$A125,$A126,$B$4:$B125,$B126,$I$4:$I125,"&lt;&gt;Complete")=0,$A126&amp;"|"&amp;$B126,""),"")</f>
        <v>|</v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/>
      <c r="B127" s="2"/>
      <c r="C127" s="3"/>
      <c r="D127" s="3"/>
      <c r="E127" s="2"/>
      <c r="F127" s="2"/>
      <c r="G127" s="5"/>
      <c r="H127" s="5"/>
      <c r="I127" s="4"/>
      <c r="J127" s="6" t="str">
        <f t="shared" si="4"/>
        <v/>
      </c>
      <c r="K127" s="4" t="str">
        <f t="shared" ca="1" si="5"/>
        <v/>
      </c>
      <c r="L127" s="7" t="str">
        <f>IF(I127="Completed","0",IF($H127="","",$H127-'[2]Read Me'!$B$4))</f>
        <v/>
      </c>
      <c r="M127" s="4" t="str">
        <f>IF($I127="Complete","Green",IF($H127="","Amber",IF($H127&lt;'[2]Read Me'!$B$4,"Red",IF($H127-'[2]Read Me'!$B$4&lt;=21,"Amber","Green"))))</f>
        <v>Amber</v>
      </c>
      <c r="N127" s="3"/>
      <c r="O127" t="str">
        <f>IF($I127&lt;&gt;"Complete",IF(COUNTIFS($A$4:$A126,$A127,$B$4:$B126,$B127,$I$4:$I126,"&lt;&gt;Complete")=0,$A127&amp;"|"&amp;$B127,""),"")</f>
        <v>|</v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/>
      <c r="B128" s="2"/>
      <c r="C128" s="3"/>
      <c r="D128" s="3"/>
      <c r="E128" s="2"/>
      <c r="F128" s="2"/>
      <c r="G128" s="5"/>
      <c r="H128" s="5"/>
      <c r="I128" s="4"/>
      <c r="J128" s="6" t="str">
        <f t="shared" si="4"/>
        <v/>
      </c>
      <c r="K128" s="4" t="str">
        <f t="shared" ca="1" si="5"/>
        <v/>
      </c>
      <c r="L128" s="7" t="str">
        <f>IF(I128="Completed","0",IF($H128="","",$H128-'[2]Read Me'!$B$4))</f>
        <v/>
      </c>
      <c r="M128" s="4" t="str">
        <f>IF($I128="Complete","Green",IF($H128="","Amber",IF($H128&lt;'[2]Read Me'!$B$4,"Red",IF($H128-'[2]Read Me'!$B$4&lt;=21,"Amber","Green"))))</f>
        <v>Amber</v>
      </c>
      <c r="N128" s="3"/>
      <c r="O128" t="str">
        <f>IF($I128&lt;&gt;"Complete",IF(COUNTIFS($A$4:$A127,$A128,$B$4:$B127,$B128,$I$4:$I127,"&lt;&gt;Complete")=0,$A128&amp;"|"&amp;$B128,""),"")</f>
        <v>|</v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/>
      <c r="B129" s="2"/>
      <c r="C129" s="3"/>
      <c r="D129" s="3"/>
      <c r="E129" s="2"/>
      <c r="F129" s="2"/>
      <c r="G129" s="5"/>
      <c r="H129" s="5"/>
      <c r="I129" s="4"/>
      <c r="J129" s="6" t="str">
        <f t="shared" si="4"/>
        <v/>
      </c>
      <c r="K129" s="4" t="str">
        <f t="shared" ca="1" si="5"/>
        <v/>
      </c>
      <c r="L129" s="7" t="str">
        <f>IF(I129="Completed","0",IF($H129="","",$H129-'[2]Read Me'!$B$4))</f>
        <v/>
      </c>
      <c r="M129" s="4" t="str">
        <f>IF($I129="Complete","Green",IF($H129="","Amber",IF($H129&lt;'[2]Read Me'!$B$4,"Red",IF($H129-'[2]Read Me'!$B$4&lt;=21,"Amber","Green"))))</f>
        <v>Amber</v>
      </c>
      <c r="N129" s="3"/>
      <c r="O129" t="str">
        <f>IF($I129&lt;&gt;"Complete",IF(COUNTIFS($A$4:$A128,$A129,$B$4:$B128,$B129,$I$4:$I128,"&lt;&gt;Complete")=0,$A129&amp;"|"&amp;$B129,""),"")</f>
        <v>|</v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/>
      <c r="B130" s="2"/>
      <c r="C130" s="3"/>
      <c r="D130" s="3"/>
      <c r="E130" s="2"/>
      <c r="F130" s="2"/>
      <c r="G130" s="5"/>
      <c r="H130" s="5"/>
      <c r="I130" s="4"/>
      <c r="J130" s="6" t="str">
        <f t="shared" si="4"/>
        <v/>
      </c>
      <c r="K130" s="4" t="str">
        <f t="shared" ca="1" si="5"/>
        <v/>
      </c>
      <c r="L130" s="7" t="str">
        <f>IF(I130="Completed","0",IF($H130="","",$H130-'[2]Read Me'!$B$4))</f>
        <v/>
      </c>
      <c r="M130" s="4" t="str">
        <f>IF($I130="Complete","Green",IF($H130="","Amber",IF($H130&lt;'[2]Read Me'!$B$4,"Red",IF($H130-'[2]Read Me'!$B$4&lt;=21,"Amber","Green"))))</f>
        <v>Amber</v>
      </c>
      <c r="N130" s="3"/>
      <c r="O130" t="str">
        <f>IF($I130&lt;&gt;"Complete",IF(COUNTIFS($A$4:$A129,$A130,$B$4:$B129,$B130,$I$4:$I129,"&lt;&gt;Complete")=0,$A130&amp;"|"&amp;$B130,""),"")</f>
        <v>|</v>
      </c>
      <c r="P130" t="str">
        <f ca="1">IF($K130="Yes",COUNTIFS($K$4:$K130,"Yes"),"")</f>
        <v/>
      </c>
      <c r="Q130">
        <f t="shared" ca="1" si="6"/>
        <v>0</v>
      </c>
      <c r="R130" t="str">
        <f ca="1">IF($Q130=1,SUM($Q$4:$Q130),"")</f>
        <v/>
      </c>
    </row>
    <row r="131" spans="1:18" ht="22.5" customHeight="1" x14ac:dyDescent="0.3">
      <c r="A131" s="2"/>
      <c r="B131" s="2"/>
      <c r="C131" s="3"/>
      <c r="D131" s="3"/>
      <c r="E131" s="2"/>
      <c r="F131" s="2"/>
      <c r="G131" s="5"/>
      <c r="H131" s="5"/>
      <c r="I131" s="4"/>
      <c r="J131" s="6" t="str">
        <f t="shared" si="4"/>
        <v/>
      </c>
      <c r="K131" s="4" t="str">
        <f t="shared" ca="1" si="5"/>
        <v/>
      </c>
      <c r="L131" s="7" t="str">
        <f>IF(I131="Completed","0",IF($H131="","",$H131-'[2]Read Me'!$B$4))</f>
        <v/>
      </c>
      <c r="M131" s="4" t="str">
        <f>IF($I131="Complete","Green",IF($H131="","Amber",IF($H131&lt;'[2]Read Me'!$B$4,"Red",IF($H131-'[2]Read Me'!$B$4&lt;=21,"Amber","Green"))))</f>
        <v>Amber</v>
      </c>
      <c r="N131" s="3"/>
      <c r="O131" t="str">
        <f>IF($I131&lt;&gt;"Complete",IF(COUNTIFS($A$4:$A130,$A131,$B$4:$B130,$B131,$I$4:$I130,"&lt;&gt;Complete")=0,$A131&amp;"|"&amp;$B131,""),"")</f>
        <v>|</v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/>
      <c r="B132" s="2"/>
      <c r="C132" s="3"/>
      <c r="D132" s="3"/>
      <c r="E132" s="2"/>
      <c r="F132" s="2"/>
      <c r="G132" s="5"/>
      <c r="H132" s="5"/>
      <c r="I132" s="4"/>
      <c r="J132" s="6" t="str">
        <f t="shared" ref="J132:J195" si="7">IF(OR($G132="",$H132=""),"",$H132-$G132)</f>
        <v/>
      </c>
      <c r="K132" s="4" t="str">
        <f t="shared" ref="K132:K195" ca="1" si="8">IF(C132="","",IF(H132="","",IF($I132="completed","-",IF($H132&gt;TODAY(),"No","Yes"))))</f>
        <v/>
      </c>
      <c r="L132" s="7" t="str">
        <f>IF(I132="Completed","0",IF($H132="","",$H132-'[2]Read Me'!$B$4))</f>
        <v/>
      </c>
      <c r="M132" s="4" t="str">
        <f>IF($I132="Complete","Green",IF($H132="","Amber",IF($H132&lt;'[2]Read Me'!$B$4,"Red",IF($H132-'[2]Read Me'!$B$4&lt;=21,"Amber","Green"))))</f>
        <v>Amber</v>
      </c>
      <c r="N132" s="3"/>
      <c r="O132" t="str">
        <f>IF($I132&lt;&gt;"Complete",IF(COUNTIFS($A$4:$A131,$A132,$B$4:$B131,$B132,$I$4:$I131,"&lt;&gt;Complete")=0,$A132&amp;"|"&amp;$B132,""),"")</f>
        <v>|</v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/>
      <c r="B133" s="2"/>
      <c r="C133" s="3"/>
      <c r="D133" s="3"/>
      <c r="E133" s="2"/>
      <c r="F133" s="2"/>
      <c r="G133" s="5"/>
      <c r="H133" s="5"/>
      <c r="I133" s="4"/>
      <c r="J133" s="6" t="str">
        <f t="shared" si="7"/>
        <v/>
      </c>
      <c r="K133" s="4" t="str">
        <f t="shared" ca="1" si="8"/>
        <v/>
      </c>
      <c r="L133" s="7" t="str">
        <f>IF(I133="Completed","0",IF($H133="","",$H133-'[2]Read Me'!$B$4))</f>
        <v/>
      </c>
      <c r="M133" s="4" t="str">
        <f>IF($I133="Complete","Green",IF($H133="","Amber",IF($H133&lt;'[2]Read Me'!$B$4,"Red",IF($H133-'[2]Read Me'!$B$4&lt;=21,"Amber","Green"))))</f>
        <v>Amber</v>
      </c>
      <c r="N133" s="3"/>
      <c r="O133" t="str">
        <f>IF($I133&lt;&gt;"Complete",IF(COUNTIFS($A$4:$A132,$A133,$B$4:$B132,$B133,$I$4:$I132,"&lt;&gt;Complete")=0,$A133&amp;"|"&amp;$B133,""),"")</f>
        <v>|</v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/>
      <c r="B134" s="2"/>
      <c r="C134" s="3"/>
      <c r="D134" s="3"/>
      <c r="E134" s="2"/>
      <c r="F134" s="2"/>
      <c r="G134" s="5"/>
      <c r="H134" s="5"/>
      <c r="I134" s="4"/>
      <c r="J134" s="6" t="str">
        <f t="shared" si="7"/>
        <v/>
      </c>
      <c r="K134" s="4" t="str">
        <f t="shared" ca="1" si="8"/>
        <v/>
      </c>
      <c r="L134" s="7" t="str">
        <f>IF(I134="Completed","0",IF($H134="","",$H134-'[2]Read Me'!$B$4))</f>
        <v/>
      </c>
      <c r="M134" s="4" t="str">
        <f>IF($I134="Complete","Green",IF($H134="","Amber",IF($H134&lt;'[2]Read Me'!$B$4,"Red",IF($H134-'[2]Read Me'!$B$4&lt;=21,"Amber","Green"))))</f>
        <v>Amber</v>
      </c>
      <c r="N134" s="3"/>
      <c r="O134" t="str">
        <f>IF($I134&lt;&gt;"Complete",IF(COUNTIFS($A$4:$A133,$A134,$B$4:$B133,$B134,$I$4:$I133,"&lt;&gt;Complete")=0,$A134&amp;"|"&amp;$B134,""),"")</f>
        <v>|</v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/>
      <c r="B135" s="2"/>
      <c r="C135" s="3"/>
      <c r="D135" s="3"/>
      <c r="E135" s="2"/>
      <c r="F135" s="2"/>
      <c r="G135" s="5"/>
      <c r="H135" s="5"/>
      <c r="I135" s="4"/>
      <c r="J135" s="6" t="str">
        <f t="shared" si="7"/>
        <v/>
      </c>
      <c r="K135" s="4" t="str">
        <f t="shared" ca="1" si="8"/>
        <v/>
      </c>
      <c r="L135" s="7" t="str">
        <f>IF(I135="Completed","0",IF($H135="","",$H135-'[2]Read Me'!$B$4))</f>
        <v/>
      </c>
      <c r="M135" s="4" t="str">
        <f>IF($I135="Complete","Green",IF($H135="","Amber",IF($H135&lt;'[2]Read Me'!$B$4,"Red",IF($H135-'[2]Read Me'!$B$4&lt;=21,"Amber","Green"))))</f>
        <v>Amber</v>
      </c>
      <c r="N135" s="3"/>
      <c r="O135" t="str">
        <f>IF($I135&lt;&gt;"Complete",IF(COUNTIFS($A$4:$A134,$A135,$B$4:$B134,$B135,$I$4:$I134,"&lt;&gt;Complete")=0,$A135&amp;"|"&amp;$B135,""),"")</f>
        <v>|</v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/>
      <c r="B136" s="2"/>
      <c r="C136" s="3"/>
      <c r="D136" s="3"/>
      <c r="E136" s="2"/>
      <c r="F136" s="2"/>
      <c r="G136" s="5"/>
      <c r="H136" s="5"/>
      <c r="I136" s="4"/>
      <c r="J136" s="6" t="str">
        <f t="shared" si="7"/>
        <v/>
      </c>
      <c r="K136" s="4" t="str">
        <f t="shared" ca="1" si="8"/>
        <v/>
      </c>
      <c r="L136" s="7" t="str">
        <f>IF(I136="Completed","0",IF($H136="","",$H136-'[2]Read Me'!$B$4))</f>
        <v/>
      </c>
      <c r="M136" s="4" t="str">
        <f>IF($I136="Complete","Green",IF($H136="","Amber",IF($H136&lt;'[2]Read Me'!$B$4,"Red",IF($H136-'[2]Read Me'!$B$4&lt;=21,"Amber","Green"))))</f>
        <v>Amber</v>
      </c>
      <c r="N136" s="3"/>
      <c r="O136" t="str">
        <f>IF($I136&lt;&gt;"Complete",IF(COUNTIFS($A$4:$A135,$A136,$B$4:$B135,$B136,$I$4:$I135,"&lt;&gt;Complete")=0,$A136&amp;"|"&amp;$B136,""),"")</f>
        <v>|</v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/>
      <c r="B137" s="2"/>
      <c r="C137" s="3"/>
      <c r="D137" s="3"/>
      <c r="E137" s="2"/>
      <c r="F137" s="2"/>
      <c r="G137" s="5"/>
      <c r="H137" s="5"/>
      <c r="I137" s="4"/>
      <c r="J137" s="6" t="str">
        <f t="shared" si="7"/>
        <v/>
      </c>
      <c r="K137" s="4" t="str">
        <f t="shared" ca="1" si="8"/>
        <v/>
      </c>
      <c r="L137" s="7" t="str">
        <f>IF(I137="Completed","0",IF($H137="","",$H137-'[2]Read Me'!$B$4))</f>
        <v/>
      </c>
      <c r="M137" s="4" t="str">
        <f>IF($I137="Complete","Green",IF($H137="","Amber",IF($H137&lt;'[2]Read Me'!$B$4,"Red",IF($H137-'[2]Read Me'!$B$4&lt;=21,"Amber","Green"))))</f>
        <v>Amber</v>
      </c>
      <c r="N137" s="3"/>
      <c r="O137" t="str">
        <f>IF($I137&lt;&gt;"Complete",IF(COUNTIFS($A$4:$A136,$A137,$B$4:$B136,$B137,$I$4:$I136,"&lt;&gt;Complete")=0,$A137&amp;"|"&amp;$B137,""),"")</f>
        <v>|</v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/>
      <c r="B138" s="2"/>
      <c r="C138" s="3"/>
      <c r="D138" s="3"/>
      <c r="E138" s="2"/>
      <c r="F138" s="2"/>
      <c r="G138" s="5"/>
      <c r="H138" s="5"/>
      <c r="I138" s="4"/>
      <c r="J138" s="6" t="str">
        <f t="shared" si="7"/>
        <v/>
      </c>
      <c r="K138" s="4" t="str">
        <f t="shared" ca="1" si="8"/>
        <v/>
      </c>
      <c r="L138" s="7" t="str">
        <f>IF(I138="Completed","0",IF($H138="","",$H138-'[2]Read Me'!$B$4))</f>
        <v/>
      </c>
      <c r="M138" s="4" t="str">
        <f>IF($I138="Complete","Green",IF($H138="","Amber",IF($H138&lt;'[2]Read Me'!$B$4,"Red",IF($H138-'[2]Read Me'!$B$4&lt;=21,"Amber","Green"))))</f>
        <v>Amber</v>
      </c>
      <c r="N138" s="3"/>
      <c r="O138" t="str">
        <f>IF($I138&lt;&gt;"Complete",IF(COUNTIFS($A$4:$A137,$A138,$B$4:$B137,$B138,$I$4:$I137,"&lt;&gt;Complete")=0,$A138&amp;"|"&amp;$B138,""),"")</f>
        <v>|</v>
      </c>
      <c r="P138" t="str">
        <f ca="1">IF($K138="Yes",COUNTIFS($K$4:$K138,"Yes"),"")</f>
        <v/>
      </c>
      <c r="Q138">
        <f t="shared" ca="1" si="9"/>
        <v>0</v>
      </c>
      <c r="R138" t="str">
        <f ca="1">IF($Q138=1,SUM($Q$4:$Q138),"")</f>
        <v/>
      </c>
    </row>
    <row r="139" spans="1:18" ht="22.5" customHeight="1" x14ac:dyDescent="0.3">
      <c r="A139" s="2"/>
      <c r="B139" s="2"/>
      <c r="C139" s="3"/>
      <c r="D139" s="3"/>
      <c r="E139" s="2"/>
      <c r="F139" s="2"/>
      <c r="G139" s="5"/>
      <c r="H139" s="5"/>
      <c r="I139" s="4"/>
      <c r="J139" s="6" t="str">
        <f t="shared" si="7"/>
        <v/>
      </c>
      <c r="K139" s="4" t="str">
        <f t="shared" ca="1" si="8"/>
        <v/>
      </c>
      <c r="L139" s="7" t="str">
        <f>IF(I139="Completed","0",IF($H139="","",$H139-'[2]Read Me'!$B$4))</f>
        <v/>
      </c>
      <c r="M139" s="4" t="str">
        <f>IF($I139="Complete","Green",IF($H139="","Amber",IF($H139&lt;'[2]Read Me'!$B$4,"Red",IF($H139-'[2]Read Me'!$B$4&lt;=21,"Amber","Green"))))</f>
        <v>Amber</v>
      </c>
      <c r="N139" s="3"/>
      <c r="O139" t="str">
        <f>IF($I139&lt;&gt;"Complete",IF(COUNTIFS($A$4:$A138,$A139,$B$4:$B138,$B139,$I$4:$I138,"&lt;&gt;Complete")=0,$A139&amp;"|"&amp;$B139,""),"")</f>
        <v>|</v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/>
      <c r="B140" s="2"/>
      <c r="C140" s="3"/>
      <c r="D140" s="3"/>
      <c r="E140" s="2"/>
      <c r="F140" s="2"/>
      <c r="G140" s="5"/>
      <c r="H140" s="5"/>
      <c r="I140" s="4"/>
      <c r="J140" s="6" t="str">
        <f t="shared" si="7"/>
        <v/>
      </c>
      <c r="K140" s="4" t="str">
        <f t="shared" ca="1" si="8"/>
        <v/>
      </c>
      <c r="L140" s="7" t="str">
        <f>IF(I140="Completed","0",IF($H140="","",$H140-'[2]Read Me'!$B$4))</f>
        <v/>
      </c>
      <c r="M140" s="4" t="str">
        <f>IF($I140="Complete","Green",IF($H140="","Amber",IF($H140&lt;'[2]Read Me'!$B$4,"Red",IF($H140-'[2]Read Me'!$B$4&lt;=21,"Amber","Green"))))</f>
        <v>Amber</v>
      </c>
      <c r="N140" s="3"/>
      <c r="O140" t="str">
        <f>IF($I140&lt;&gt;"Complete",IF(COUNTIFS($A$4:$A139,$A140,$B$4:$B139,$B140,$I$4:$I139,"&lt;&gt;Complete")=0,$A140&amp;"|"&amp;$B140,""),"")</f>
        <v>|</v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/>
      <c r="B141" s="2"/>
      <c r="C141" s="3"/>
      <c r="D141" s="3"/>
      <c r="E141" s="2"/>
      <c r="F141" s="2"/>
      <c r="G141" s="5"/>
      <c r="H141" s="5"/>
      <c r="I141" s="4"/>
      <c r="J141" s="6" t="str">
        <f t="shared" si="7"/>
        <v/>
      </c>
      <c r="K141" s="4" t="str">
        <f t="shared" ca="1" si="8"/>
        <v/>
      </c>
      <c r="L141" s="7" t="str">
        <f>IF(I141="Completed","0",IF($H141="","",$H141-'[2]Read Me'!$B$4))</f>
        <v/>
      </c>
      <c r="M141" s="4" t="str">
        <f>IF($I141="Complete","Green",IF($H141="","Amber",IF($H141&lt;'[2]Read Me'!$B$4,"Red",IF($H141-'[2]Read Me'!$B$4&lt;=21,"Amber","Green"))))</f>
        <v>Amber</v>
      </c>
      <c r="N141" s="3"/>
      <c r="O141" t="str">
        <f>IF($I141&lt;&gt;"Complete",IF(COUNTIFS($A$4:$A140,$A141,$B$4:$B140,$B141,$I$4:$I140,"&lt;&gt;Complete")=0,$A141&amp;"|"&amp;$B141,""),"")</f>
        <v>|</v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/>
      <c r="B142" s="2"/>
      <c r="C142" s="3"/>
      <c r="D142" s="3"/>
      <c r="E142" s="2"/>
      <c r="F142" s="2"/>
      <c r="G142" s="5"/>
      <c r="H142" s="5"/>
      <c r="I142" s="4"/>
      <c r="J142" s="6" t="str">
        <f t="shared" si="7"/>
        <v/>
      </c>
      <c r="K142" s="4" t="str">
        <f t="shared" ca="1" si="8"/>
        <v/>
      </c>
      <c r="L142" s="7" t="str">
        <f>IF(I142="Completed","0",IF($H142="","",$H142-'[2]Read Me'!$B$4))</f>
        <v/>
      </c>
      <c r="M142" s="4" t="str">
        <f>IF($I142="Complete","Green",IF($H142="","Amber",IF($H142&lt;'[2]Read Me'!$B$4,"Red",IF($H142-'[2]Read Me'!$B$4&lt;=21,"Amber","Green"))))</f>
        <v>Amber</v>
      </c>
      <c r="N142" s="3"/>
      <c r="O142" t="str">
        <f>IF($I142&lt;&gt;"Complete",IF(COUNTIFS($A$4:$A141,$A142,$B$4:$B141,$B142,$I$4:$I141,"&lt;&gt;Complete")=0,$A142&amp;"|"&amp;$B142,""),"")</f>
        <v>|</v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/>
      <c r="B143" s="2"/>
      <c r="C143" s="3"/>
      <c r="D143" s="3"/>
      <c r="E143" s="2"/>
      <c r="F143" s="2"/>
      <c r="G143" s="5"/>
      <c r="H143" s="5"/>
      <c r="I143" s="4"/>
      <c r="J143" s="6" t="str">
        <f t="shared" si="7"/>
        <v/>
      </c>
      <c r="K143" s="4" t="str">
        <f t="shared" ca="1" si="8"/>
        <v/>
      </c>
      <c r="L143" s="7" t="str">
        <f>IF(I143="Completed","0",IF($H143="","",$H143-'[2]Read Me'!$B$4))</f>
        <v/>
      </c>
      <c r="M143" s="4" t="str">
        <f>IF($I143="Complete","Green",IF($H143="","Amber",IF($H143&lt;'[2]Read Me'!$B$4,"Red",IF($H143-'[2]Read Me'!$B$4&lt;=21,"Amber","Green"))))</f>
        <v>Amber</v>
      </c>
      <c r="N143" s="3"/>
      <c r="O143" t="str">
        <f>IF($I143&lt;&gt;"Complete",IF(COUNTIFS($A$4:$A142,$A143,$B$4:$B142,$B143,$I$4:$I142,"&lt;&gt;Complete")=0,$A143&amp;"|"&amp;$B143,""),"")</f>
        <v>|</v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/>
      <c r="B144" s="2"/>
      <c r="C144" s="3"/>
      <c r="D144" s="3"/>
      <c r="E144" s="2"/>
      <c r="F144" s="2"/>
      <c r="G144" s="5"/>
      <c r="H144" s="5"/>
      <c r="I144" s="4"/>
      <c r="J144" s="6" t="str">
        <f t="shared" si="7"/>
        <v/>
      </c>
      <c r="K144" s="4" t="str">
        <f t="shared" ca="1" si="8"/>
        <v/>
      </c>
      <c r="L144" s="7" t="str">
        <f>IF(I144="Completed","0",IF($H144="","",$H144-'[2]Read Me'!$B$4))</f>
        <v/>
      </c>
      <c r="M144" s="4" t="str">
        <f>IF($I144="Complete","Green",IF($H144="","Amber",IF($H144&lt;'[2]Read Me'!$B$4,"Red",IF($H144-'[2]Read Me'!$B$4&lt;=21,"Amber","Green"))))</f>
        <v>Amber</v>
      </c>
      <c r="N144" s="3"/>
      <c r="O144" t="str">
        <f>IF($I144&lt;&gt;"Complete",IF(COUNTIFS($A$4:$A143,$A144,$B$4:$B143,$B144,$I$4:$I143,"&lt;&gt;Complete")=0,$A144&amp;"|"&amp;$B144,""),"")</f>
        <v>|</v>
      </c>
      <c r="P144" t="str">
        <f ca="1">IF($K144="Yes",COUNTIFS($K$4:$K144,"Yes"),"")</f>
        <v/>
      </c>
      <c r="Q144">
        <f t="shared" ca="1" si="9"/>
        <v>0</v>
      </c>
      <c r="R144" t="str">
        <f ca="1">IF($Q144=1,SUM($Q$4:$Q144),"")</f>
        <v/>
      </c>
    </row>
    <row r="145" spans="1:18" ht="22.5" customHeight="1" x14ac:dyDescent="0.3">
      <c r="A145" s="2"/>
      <c r="B145" s="2"/>
      <c r="C145" s="3"/>
      <c r="D145" s="3"/>
      <c r="E145" s="2"/>
      <c r="F145" s="2"/>
      <c r="G145" s="5"/>
      <c r="H145" s="5"/>
      <c r="I145" s="4"/>
      <c r="J145" s="6" t="str">
        <f t="shared" si="7"/>
        <v/>
      </c>
      <c r="K145" s="4" t="str">
        <f t="shared" ca="1" si="8"/>
        <v/>
      </c>
      <c r="L145" s="7" t="str">
        <f>IF(I145="Completed","0",IF($H145="","",$H145-'[2]Read Me'!$B$4))</f>
        <v/>
      </c>
      <c r="M145" s="4" t="str">
        <f>IF($I145="Complete","Green",IF($H145="","Amber",IF($H145&lt;'[2]Read Me'!$B$4,"Red",IF($H145-'[2]Read Me'!$B$4&lt;=21,"Amber","Green"))))</f>
        <v>Amber</v>
      </c>
      <c r="N145" s="3"/>
      <c r="O145" t="str">
        <f>IF($I145&lt;&gt;"Complete",IF(COUNTIFS($A$4:$A144,$A145,$B$4:$B144,$B145,$I$4:$I144,"&lt;&gt;Complete")=0,$A145&amp;"|"&amp;$B145,""),"")</f>
        <v>|</v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/>
      <c r="B146" s="2"/>
      <c r="C146" s="3"/>
      <c r="D146" s="3"/>
      <c r="E146" s="2"/>
      <c r="F146" s="2"/>
      <c r="G146" s="5"/>
      <c r="H146" s="5"/>
      <c r="I146" s="4"/>
      <c r="J146" s="6" t="str">
        <f t="shared" si="7"/>
        <v/>
      </c>
      <c r="K146" s="4" t="str">
        <f t="shared" ca="1" si="8"/>
        <v/>
      </c>
      <c r="L146" s="7" t="str">
        <f>IF(I146="Completed","0",IF($H146="","",$H146-'[2]Read Me'!$B$4))</f>
        <v/>
      </c>
      <c r="M146" s="4" t="str">
        <f>IF($I146="Complete","Green",IF($H146="","Amber",IF($H146&lt;'[2]Read Me'!$B$4,"Red",IF($H146-'[2]Read Me'!$B$4&lt;=21,"Amber","Green"))))</f>
        <v>Amber</v>
      </c>
      <c r="N146" s="3"/>
      <c r="O146" t="str">
        <f>IF($I146&lt;&gt;"Complete",IF(COUNTIFS($A$4:$A145,$A146,$B$4:$B145,$B146,$I$4:$I145,"&lt;&gt;Complete")=0,$A146&amp;"|"&amp;$B146,""),"")</f>
        <v>|</v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/>
      <c r="B147" s="2"/>
      <c r="C147" s="3"/>
      <c r="D147" s="3"/>
      <c r="E147" s="2"/>
      <c r="F147" s="2"/>
      <c r="G147" s="5"/>
      <c r="H147" s="5"/>
      <c r="I147" s="4"/>
      <c r="J147" s="6" t="str">
        <f t="shared" si="7"/>
        <v/>
      </c>
      <c r="K147" s="4" t="str">
        <f t="shared" ca="1" si="8"/>
        <v/>
      </c>
      <c r="L147" s="7" t="str">
        <f>IF(I147="Completed","0",IF($H147="","",$H147-'[2]Read Me'!$B$4))</f>
        <v/>
      </c>
      <c r="M147" s="4" t="str">
        <f>IF($I147="Complete","Green",IF($H147="","Amber",IF($H147&lt;'[2]Read Me'!$B$4,"Red",IF($H147-'[2]Read Me'!$B$4&lt;=21,"Amber","Green"))))</f>
        <v>Amber</v>
      </c>
      <c r="N147" s="3"/>
      <c r="O147" t="str">
        <f>IF($I147&lt;&gt;"Complete",IF(COUNTIFS($A$4:$A146,$A147,$B$4:$B146,$B147,$I$4:$I146,"&lt;&gt;Complete")=0,$A147&amp;"|"&amp;$B147,""),"")</f>
        <v>|</v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/>
      <c r="B148" s="2"/>
      <c r="C148" s="3"/>
      <c r="D148" s="3"/>
      <c r="E148" s="2"/>
      <c r="F148" s="2"/>
      <c r="G148" s="5"/>
      <c r="H148" s="5"/>
      <c r="I148" s="4"/>
      <c r="J148" s="6" t="str">
        <f t="shared" si="7"/>
        <v/>
      </c>
      <c r="K148" s="4" t="str">
        <f t="shared" ca="1" si="8"/>
        <v/>
      </c>
      <c r="L148" s="7" t="str">
        <f>IF(I148="Completed","0",IF($H148="","",$H148-'[2]Read Me'!$B$4))</f>
        <v/>
      </c>
      <c r="M148" s="4" t="str">
        <f>IF($I148="Complete","Green",IF($H148="","Amber",IF($H148&lt;'[2]Read Me'!$B$4,"Red",IF($H148-'[2]Read Me'!$B$4&lt;=21,"Amber","Green"))))</f>
        <v>Amber</v>
      </c>
      <c r="N148" s="3"/>
      <c r="O148" t="str">
        <f>IF($I148&lt;&gt;"Complete",IF(COUNTIFS($A$4:$A147,$A148,$B$4:$B147,$B148,$I$4:$I147,"&lt;&gt;Complete")=0,$A148&amp;"|"&amp;$B148,""),"")</f>
        <v>|</v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/>
      <c r="B149" s="2"/>
      <c r="C149" s="3"/>
      <c r="D149" s="3"/>
      <c r="E149" s="2"/>
      <c r="F149" s="2"/>
      <c r="G149" s="5"/>
      <c r="H149" s="5"/>
      <c r="I149" s="4"/>
      <c r="J149" s="6" t="str">
        <f t="shared" si="7"/>
        <v/>
      </c>
      <c r="K149" s="4" t="str">
        <f t="shared" ca="1" si="8"/>
        <v/>
      </c>
      <c r="L149" s="7" t="str">
        <f>IF(I149="Completed","0",IF($H149="","",$H149-'[2]Read Me'!$B$4))</f>
        <v/>
      </c>
      <c r="M149" s="4" t="str">
        <f>IF($I149="Complete","Green",IF($H149="","Amber",IF($H149&lt;'[2]Read Me'!$B$4,"Red",IF($H149-'[2]Read Me'!$B$4&lt;=21,"Amber","Green"))))</f>
        <v>Amber</v>
      </c>
      <c r="N149" s="3"/>
      <c r="O149" t="str">
        <f>IF($I149&lt;&gt;"Complete",IF(COUNTIFS($A$4:$A148,$A149,$B$4:$B148,$B149,$I$4:$I148,"&lt;&gt;Complete")=0,$A149&amp;"|"&amp;$B149,""),"")</f>
        <v>|</v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/>
      <c r="B150" s="2"/>
      <c r="C150" s="3"/>
      <c r="D150" s="3"/>
      <c r="E150" s="2"/>
      <c r="F150" s="2"/>
      <c r="G150" s="5"/>
      <c r="H150" s="5"/>
      <c r="I150" s="4"/>
      <c r="J150" s="6" t="str">
        <f t="shared" si="7"/>
        <v/>
      </c>
      <c r="K150" s="4" t="str">
        <f t="shared" ca="1" si="8"/>
        <v/>
      </c>
      <c r="L150" s="7" t="str">
        <f>IF(I150="Completed","0",IF($H150="","",$H150-'[2]Read Me'!$B$4))</f>
        <v/>
      </c>
      <c r="M150" s="4" t="str">
        <f>IF($I150="Complete","Green",IF($H150="","Amber",IF($H150&lt;'[2]Read Me'!$B$4,"Red",IF($H150-'[2]Read Me'!$B$4&lt;=21,"Amber","Green"))))</f>
        <v>Amber</v>
      </c>
      <c r="N150" s="3"/>
      <c r="O150" t="str">
        <f>IF($I150&lt;&gt;"Complete",IF(COUNTIFS($A$4:$A149,$A150,$B$4:$B149,$B150,$I$4:$I149,"&lt;&gt;Complete")=0,$A150&amp;"|"&amp;$B150,""),"")</f>
        <v>|</v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/>
      <c r="B151" s="2"/>
      <c r="C151" s="3"/>
      <c r="D151" s="3"/>
      <c r="E151" s="2"/>
      <c r="F151" s="2"/>
      <c r="G151" s="5"/>
      <c r="H151" s="5"/>
      <c r="I151" s="4"/>
      <c r="J151" s="6" t="str">
        <f t="shared" si="7"/>
        <v/>
      </c>
      <c r="K151" s="4" t="str">
        <f t="shared" ca="1" si="8"/>
        <v/>
      </c>
      <c r="L151" s="7" t="str">
        <f>IF(I151="Completed","0",IF($H151="","",$H151-'[2]Read Me'!$B$4))</f>
        <v/>
      </c>
      <c r="M151" s="4" t="str">
        <f>IF($I151="Complete","Green",IF($H151="","Amber",IF($H151&lt;'[2]Read Me'!$B$4,"Red",IF($H151-'[2]Read Me'!$B$4&lt;=21,"Amber","Green"))))</f>
        <v>Amber</v>
      </c>
      <c r="N151" s="3"/>
      <c r="O151" t="str">
        <f>IF($I151&lt;&gt;"Complete",IF(COUNTIFS($A$4:$A150,$A151,$B$4:$B150,$B151,$I$4:$I150,"&lt;&gt;Complete")=0,$A151&amp;"|"&amp;$B151,""),"")</f>
        <v>|</v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/>
      <c r="B152" s="2"/>
      <c r="C152" s="3"/>
      <c r="D152" s="3"/>
      <c r="E152" s="2"/>
      <c r="F152" s="2"/>
      <c r="G152" s="5"/>
      <c r="H152" s="5"/>
      <c r="I152" s="4"/>
      <c r="J152" s="6" t="str">
        <f t="shared" si="7"/>
        <v/>
      </c>
      <c r="K152" s="4" t="str">
        <f t="shared" ca="1" si="8"/>
        <v/>
      </c>
      <c r="L152" s="7" t="str">
        <f>IF(I152="Completed","0",IF($H152="","",$H152-'[2]Read Me'!$B$4))</f>
        <v/>
      </c>
      <c r="M152" s="4" t="str">
        <f>IF($I152="Complete","Green",IF($H152="","Amber",IF($H152&lt;'[2]Read Me'!$B$4,"Red",IF($H152-'[2]Read Me'!$B$4&lt;=21,"Amber","Green"))))</f>
        <v>Amber</v>
      </c>
      <c r="N152" s="3"/>
      <c r="O152" t="str">
        <f>IF($I152&lt;&gt;"Complete",IF(COUNTIFS($A$4:$A151,$A152,$B$4:$B151,$B152,$I$4:$I151,"&lt;&gt;Complete")=0,$A152&amp;"|"&amp;$B152,""),"")</f>
        <v>|</v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/>
      <c r="B153" s="2"/>
      <c r="C153" s="3"/>
      <c r="D153" s="3"/>
      <c r="E153" s="2"/>
      <c r="F153" s="2"/>
      <c r="G153" s="5"/>
      <c r="H153" s="5"/>
      <c r="I153" s="4"/>
      <c r="J153" s="6" t="str">
        <f t="shared" si="7"/>
        <v/>
      </c>
      <c r="K153" s="4" t="str">
        <f t="shared" ca="1" si="8"/>
        <v/>
      </c>
      <c r="L153" s="7" t="str">
        <f>IF(I153="Completed","0",IF($H153="","",$H153-'[2]Read Me'!$B$4))</f>
        <v/>
      </c>
      <c r="M153" s="4" t="str">
        <f>IF($I153="Complete","Green",IF($H153="","Amber",IF($H153&lt;'[2]Read Me'!$B$4,"Red",IF($H153-'[2]Read Me'!$B$4&lt;=21,"Amber","Green"))))</f>
        <v>Amber</v>
      </c>
      <c r="N153" s="3"/>
      <c r="O153" t="str">
        <f>IF($I153&lt;&gt;"Complete",IF(COUNTIFS($A$4:$A152,$A153,$B$4:$B152,$B153,$I$4:$I152,"&lt;&gt;Complete")=0,$A153&amp;"|"&amp;$B153,""),"")</f>
        <v>|</v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/>
      <c r="B154" s="2"/>
      <c r="C154" s="3"/>
      <c r="D154" s="3"/>
      <c r="E154" s="2"/>
      <c r="F154" s="2"/>
      <c r="G154" s="5"/>
      <c r="H154" s="5"/>
      <c r="I154" s="4"/>
      <c r="J154" s="6" t="str">
        <f t="shared" si="7"/>
        <v/>
      </c>
      <c r="K154" s="4" t="str">
        <f t="shared" ca="1" si="8"/>
        <v/>
      </c>
      <c r="L154" s="7" t="str">
        <f>IF(I154="Completed","0",IF($H154="","",$H154-'[2]Read Me'!$B$4))</f>
        <v/>
      </c>
      <c r="M154" s="4" t="str">
        <f>IF($I154="Complete","Green",IF($H154="","Amber",IF($H154&lt;'[2]Read Me'!$B$4,"Red",IF($H154-'[2]Read Me'!$B$4&lt;=21,"Amber","Green"))))</f>
        <v>Amber</v>
      </c>
      <c r="N154" s="3"/>
      <c r="O154" t="str">
        <f>IF($I154&lt;&gt;"Complete",IF(COUNTIFS($A$4:$A153,$A154,$B$4:$B153,$B154,$I$4:$I153,"&lt;&gt;Complete")=0,$A154&amp;"|"&amp;$B154,""),"")</f>
        <v>|</v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/>
      <c r="B155" s="2"/>
      <c r="C155" s="3"/>
      <c r="D155" s="3"/>
      <c r="E155" s="2"/>
      <c r="F155" s="2"/>
      <c r="G155" s="5"/>
      <c r="H155" s="5"/>
      <c r="I155" s="4"/>
      <c r="J155" s="6" t="str">
        <f t="shared" si="7"/>
        <v/>
      </c>
      <c r="K155" s="4" t="str">
        <f t="shared" ca="1" si="8"/>
        <v/>
      </c>
      <c r="L155" s="7" t="str">
        <f>IF(I155="Completed","0",IF($H155="","",$H155-'[2]Read Me'!$B$4))</f>
        <v/>
      </c>
      <c r="M155" s="4" t="str">
        <f>IF($I155="Complete","Green",IF($H155="","Amber",IF($H155&lt;'[2]Read Me'!$B$4,"Red",IF($H155-'[2]Read Me'!$B$4&lt;=21,"Amber","Green"))))</f>
        <v>Amber</v>
      </c>
      <c r="N155" s="3"/>
      <c r="O155" t="str">
        <f>IF($I155&lt;&gt;"Complete",IF(COUNTIFS($A$4:$A154,$A155,$B$4:$B154,$B155,$I$4:$I154,"&lt;&gt;Complete")=0,$A155&amp;"|"&amp;$B155,""),"")</f>
        <v>|</v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/>
      <c r="B156" s="2"/>
      <c r="C156" s="3"/>
      <c r="D156" s="3"/>
      <c r="E156" s="2"/>
      <c r="F156" s="2"/>
      <c r="G156" s="5"/>
      <c r="H156" s="5"/>
      <c r="I156" s="4"/>
      <c r="J156" s="6" t="str">
        <f t="shared" si="7"/>
        <v/>
      </c>
      <c r="K156" s="4" t="str">
        <f t="shared" ca="1" si="8"/>
        <v/>
      </c>
      <c r="L156" s="7" t="str">
        <f>IF(I156="Completed","0",IF($H156="","",$H156-'[2]Read Me'!$B$4))</f>
        <v/>
      </c>
      <c r="M156" s="4" t="str">
        <f>IF($I156="Complete","Green",IF($H156="","Amber",IF($H156&lt;'[2]Read Me'!$B$4,"Red",IF($H156-'[2]Read Me'!$B$4&lt;=21,"Amber","Green"))))</f>
        <v>Amber</v>
      </c>
      <c r="N156" s="3"/>
      <c r="O156" t="str">
        <f>IF($I156&lt;&gt;"Complete",IF(COUNTIFS($A$4:$A155,$A156,$B$4:$B155,$B156,$I$4:$I155,"&lt;&gt;Complete")=0,$A156&amp;"|"&amp;$B156,""),"")</f>
        <v>|</v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/>
      <c r="B157" s="2"/>
      <c r="C157" s="3"/>
      <c r="D157" s="3"/>
      <c r="E157" s="2"/>
      <c r="F157" s="2"/>
      <c r="G157" s="5"/>
      <c r="H157" s="5"/>
      <c r="I157" s="4"/>
      <c r="J157" s="6" t="str">
        <f t="shared" si="7"/>
        <v/>
      </c>
      <c r="K157" s="4" t="str">
        <f t="shared" ca="1" si="8"/>
        <v/>
      </c>
      <c r="L157" s="7" t="str">
        <f>IF(I157="Completed","0",IF($H157="","",$H157-'[2]Read Me'!$B$4))</f>
        <v/>
      </c>
      <c r="M157" s="4" t="str">
        <f>IF($I157="Complete","Green",IF($H157="","Amber",IF($H157&lt;'[2]Read Me'!$B$4,"Red",IF($H157-'[2]Read Me'!$B$4&lt;=21,"Amber","Green"))))</f>
        <v>Amber</v>
      </c>
      <c r="N157" s="3"/>
      <c r="O157" t="str">
        <f>IF($I157&lt;&gt;"Complete",IF(COUNTIFS($A$4:$A156,$A157,$B$4:$B156,$B157,$I$4:$I156,"&lt;&gt;Complete")=0,$A157&amp;"|"&amp;$B157,""),"")</f>
        <v>|</v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/>
      <c r="B158" s="2"/>
      <c r="C158" s="3"/>
      <c r="D158" s="3"/>
      <c r="E158" s="2"/>
      <c r="F158" s="2"/>
      <c r="G158" s="5"/>
      <c r="H158" s="5"/>
      <c r="I158" s="4"/>
      <c r="J158" s="6" t="str">
        <f t="shared" si="7"/>
        <v/>
      </c>
      <c r="K158" s="4" t="str">
        <f t="shared" ca="1" si="8"/>
        <v/>
      </c>
      <c r="L158" s="7" t="str">
        <f>IF(I158="Completed","0",IF($H158="","",$H158-'[2]Read Me'!$B$4))</f>
        <v/>
      </c>
      <c r="M158" s="4" t="str">
        <f>IF($I158="Complete","Green",IF($H158="","Amber",IF($H158&lt;'[2]Read Me'!$B$4,"Red",IF($H158-'[2]Read Me'!$B$4&lt;=21,"Amber","Green"))))</f>
        <v>Amber</v>
      </c>
      <c r="N158" s="3"/>
      <c r="O158" t="str">
        <f>IF($I158&lt;&gt;"Complete",IF(COUNTIFS($A$4:$A157,$A158,$B$4:$B157,$B158,$I$4:$I157,"&lt;&gt;Complete")=0,$A158&amp;"|"&amp;$B158,""),"")</f>
        <v>|</v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/>
      <c r="B159" s="2"/>
      <c r="C159" s="3"/>
      <c r="D159" s="3"/>
      <c r="E159" s="2"/>
      <c r="F159" s="2"/>
      <c r="G159" s="5"/>
      <c r="H159" s="5"/>
      <c r="I159" s="4"/>
      <c r="J159" s="6" t="str">
        <f t="shared" si="7"/>
        <v/>
      </c>
      <c r="K159" s="4" t="str">
        <f t="shared" ca="1" si="8"/>
        <v/>
      </c>
      <c r="L159" s="7" t="str">
        <f>IF(I159="Completed","0",IF($H159="","",$H159-'[2]Read Me'!$B$4))</f>
        <v/>
      </c>
      <c r="M159" s="4" t="str">
        <f>IF($I159="Complete","Green",IF($H159="","Amber",IF($H159&lt;'[2]Read Me'!$B$4,"Red",IF($H159-'[2]Read Me'!$B$4&lt;=21,"Amber","Green"))))</f>
        <v>Amber</v>
      </c>
      <c r="N159" s="3"/>
      <c r="O159" t="str">
        <f>IF($I159&lt;&gt;"Complete",IF(COUNTIFS($A$4:$A158,$A159,$B$4:$B158,$B159,$I$4:$I158,"&lt;&gt;Complete")=0,$A159&amp;"|"&amp;$B159,""),"")</f>
        <v>|</v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/>
      <c r="B160" s="2"/>
      <c r="C160" s="3"/>
      <c r="D160" s="3"/>
      <c r="E160" s="2"/>
      <c r="F160" s="2"/>
      <c r="G160" s="5"/>
      <c r="H160" s="5"/>
      <c r="I160" s="4"/>
      <c r="J160" s="6" t="str">
        <f t="shared" si="7"/>
        <v/>
      </c>
      <c r="K160" s="4" t="str">
        <f t="shared" ca="1" si="8"/>
        <v/>
      </c>
      <c r="L160" s="7" t="str">
        <f>IF(I160="Completed","0",IF($H160="","",$H160-'[2]Read Me'!$B$4))</f>
        <v/>
      </c>
      <c r="M160" s="4" t="str">
        <f>IF($I160="Complete","Green",IF($H160="","Amber",IF($H160&lt;'[2]Read Me'!$B$4,"Red",IF($H160-'[2]Read Me'!$B$4&lt;=21,"Amber","Green"))))</f>
        <v>Amber</v>
      </c>
      <c r="N160" s="3"/>
      <c r="O160" t="str">
        <f>IF($I160&lt;&gt;"Complete",IF(COUNTIFS($A$4:$A159,$A160,$B$4:$B159,$B160,$I$4:$I159,"&lt;&gt;Complete")=0,$A160&amp;"|"&amp;$B160,""),"")</f>
        <v>|</v>
      </c>
      <c r="P160" t="str">
        <f ca="1">IF($K160="Yes",COUNTIFS($K$4:$K160,"Yes"),"")</f>
        <v/>
      </c>
      <c r="Q160">
        <f t="shared" ca="1" si="9"/>
        <v>0</v>
      </c>
      <c r="R160" t="str">
        <f ca="1">IF($Q160=1,SUM($Q$4:$Q160),"")</f>
        <v/>
      </c>
    </row>
    <row r="161" spans="1:18" ht="33.75" customHeight="1" x14ac:dyDescent="0.3">
      <c r="A161" s="2"/>
      <c r="B161" s="2"/>
      <c r="C161" s="3"/>
      <c r="D161" s="3"/>
      <c r="E161" s="2"/>
      <c r="F161" s="2"/>
      <c r="G161" s="5"/>
      <c r="H161" s="5"/>
      <c r="I161" s="4"/>
      <c r="J161" s="6" t="str">
        <f t="shared" si="7"/>
        <v/>
      </c>
      <c r="K161" s="4" t="str">
        <f t="shared" ca="1" si="8"/>
        <v/>
      </c>
      <c r="L161" s="7" t="str">
        <f>IF(I161="Completed","0",IF($H161="","",$H161-'[2]Read Me'!$B$4))</f>
        <v/>
      </c>
      <c r="M161" s="4" t="str">
        <f>IF($I161="Complete","Green",IF($H161="","Amber",IF($H161&lt;'[2]Read Me'!$B$4,"Red",IF($H161-'[2]Read Me'!$B$4&lt;=21,"Amber","Green"))))</f>
        <v>Amber</v>
      </c>
      <c r="N161" s="3"/>
      <c r="O161" t="str">
        <f>IF($I161&lt;&gt;"Complete",IF(COUNTIFS($A$4:$A160,$A161,$B$4:$B160,$B161,$I$4:$I160,"&lt;&gt;Complete")=0,$A161&amp;"|"&amp;$B161,""),"")</f>
        <v>|</v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/>
      <c r="B162" s="2"/>
      <c r="C162" s="3"/>
      <c r="D162" s="3"/>
      <c r="E162" s="2"/>
      <c r="F162" s="2"/>
      <c r="G162" s="5"/>
      <c r="H162" s="5"/>
      <c r="I162" s="4"/>
      <c r="J162" s="6" t="str">
        <f t="shared" si="7"/>
        <v/>
      </c>
      <c r="K162" s="4" t="str">
        <f t="shared" ca="1" si="8"/>
        <v/>
      </c>
      <c r="L162" s="7" t="str">
        <f>IF(I162="Completed","0",IF($H162="","",$H162-'[2]Read Me'!$B$4))</f>
        <v/>
      </c>
      <c r="M162" s="4" t="str">
        <f>IF($I162="Complete","Green",IF($H162="","Amber",IF($H162&lt;'[2]Read Me'!$B$4,"Red",IF($H162-'[2]Read Me'!$B$4&lt;=21,"Amber","Green"))))</f>
        <v>Amber</v>
      </c>
      <c r="N162" s="3"/>
      <c r="O162" t="str">
        <f>IF($I162&lt;&gt;"Complete",IF(COUNTIFS($A$4:$A161,$A162,$B$4:$B161,$B162,$I$4:$I161,"&lt;&gt;Complete")=0,$A162&amp;"|"&amp;$B162,""),"")</f>
        <v>|</v>
      </c>
      <c r="P162" t="str">
        <f ca="1">IF($K162="Yes",COUNTIFS($K$4:$K162,"Yes"),"")</f>
        <v/>
      </c>
      <c r="Q162">
        <f t="shared" ca="1" si="9"/>
        <v>0</v>
      </c>
      <c r="R162" t="str">
        <f ca="1">IF($Q162=1,SUM($Q$4:$Q162),"")</f>
        <v/>
      </c>
    </row>
    <row r="163" spans="1:18" ht="33.75" customHeight="1" x14ac:dyDescent="0.3">
      <c r="A163" s="2"/>
      <c r="B163" s="2"/>
      <c r="C163" s="3"/>
      <c r="D163" s="3"/>
      <c r="E163" s="2"/>
      <c r="F163" s="2"/>
      <c r="G163" s="5"/>
      <c r="H163" s="5"/>
      <c r="I163" s="4"/>
      <c r="J163" s="6" t="str">
        <f t="shared" si="7"/>
        <v/>
      </c>
      <c r="K163" s="4" t="str">
        <f t="shared" ca="1" si="8"/>
        <v/>
      </c>
      <c r="L163" s="7" t="str">
        <f>IF(I163="Completed","0",IF($H163="","",$H163-'[2]Read Me'!$B$4))</f>
        <v/>
      </c>
      <c r="M163" s="4" t="str">
        <f>IF($I163="Complete","Green",IF($H163="","Amber",IF($H163&lt;'[2]Read Me'!$B$4,"Red",IF($H163-'[2]Read Me'!$B$4&lt;=21,"Amber","Green"))))</f>
        <v>Amber</v>
      </c>
      <c r="N163" s="3"/>
      <c r="O163" t="str">
        <f>IF($I163&lt;&gt;"Complete",IF(COUNTIFS($A$4:$A162,$A163,$B$4:$B162,$B163,$I$4:$I162,"&lt;&gt;Complete")=0,$A163&amp;"|"&amp;$B163,""),"")</f>
        <v>|</v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/>
      <c r="B164" s="2"/>
      <c r="C164" s="3"/>
      <c r="D164" s="3"/>
      <c r="E164" s="2"/>
      <c r="F164" s="2"/>
      <c r="G164" s="5"/>
      <c r="H164" s="5"/>
      <c r="I164" s="4"/>
      <c r="J164" s="6" t="str">
        <f t="shared" si="7"/>
        <v/>
      </c>
      <c r="K164" s="4" t="str">
        <f t="shared" ca="1" si="8"/>
        <v/>
      </c>
      <c r="L164" s="7" t="str">
        <f>IF(I164="Completed","0",IF($H164="","",$H164-'[2]Read Me'!$B$4))</f>
        <v/>
      </c>
      <c r="M164" s="4" t="str">
        <f>IF($I164="Complete","Green",IF($H164="","Amber",IF($H164&lt;'[2]Read Me'!$B$4,"Red",IF($H164-'[2]Read Me'!$B$4&lt;=21,"Amber","Green"))))</f>
        <v>Amber</v>
      </c>
      <c r="N164" s="3"/>
      <c r="O164" t="str">
        <f>IF($I164&lt;&gt;"Complete",IF(COUNTIFS($A$4:$A163,$A164,$B$4:$B163,$B164,$I$4:$I163,"&lt;&gt;Complete")=0,$A164&amp;"|"&amp;$B164,""),"")</f>
        <v>|</v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/>
      <c r="B165" s="2"/>
      <c r="C165" s="3"/>
      <c r="D165" s="3"/>
      <c r="E165" s="2"/>
      <c r="F165" s="2"/>
      <c r="G165" s="5"/>
      <c r="H165" s="5"/>
      <c r="I165" s="4"/>
      <c r="J165" s="6" t="str">
        <f t="shared" si="7"/>
        <v/>
      </c>
      <c r="K165" s="4" t="str">
        <f t="shared" ca="1" si="8"/>
        <v/>
      </c>
      <c r="L165" s="7" t="str">
        <f>IF(I165="Completed","0",IF($H165="","",$H165-'[2]Read Me'!$B$4))</f>
        <v/>
      </c>
      <c r="M165" s="4" t="str">
        <f>IF($I165="Complete","Green",IF($H165="","Amber",IF($H165&lt;'[2]Read Me'!$B$4,"Red",IF($H165-'[2]Read Me'!$B$4&lt;=21,"Amber","Green"))))</f>
        <v>Amber</v>
      </c>
      <c r="N165" s="3"/>
      <c r="O165" t="str">
        <f>IF($I165&lt;&gt;"Complete",IF(COUNTIFS($A$4:$A164,$A165,$B$4:$B164,$B165,$I$4:$I164,"&lt;&gt;Complete")=0,$A165&amp;"|"&amp;$B165,""),"")</f>
        <v>|</v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/>
      <c r="B166" s="2"/>
      <c r="C166" s="3"/>
      <c r="D166" s="3"/>
      <c r="E166" s="2"/>
      <c r="F166" s="2"/>
      <c r="G166" s="5"/>
      <c r="H166" s="5"/>
      <c r="I166" s="4"/>
      <c r="J166" s="6" t="str">
        <f t="shared" si="7"/>
        <v/>
      </c>
      <c r="K166" s="4" t="str">
        <f t="shared" ca="1" si="8"/>
        <v/>
      </c>
      <c r="L166" s="7" t="str">
        <f>IF(I166="Completed","0",IF($H166="","",$H166-'[2]Read Me'!$B$4))</f>
        <v/>
      </c>
      <c r="M166" s="4" t="str">
        <f>IF($I166="Complete","Green",IF($H166="","Amber",IF($H166&lt;'[2]Read Me'!$B$4,"Red",IF($H166-'[2]Read Me'!$B$4&lt;=21,"Amber","Green"))))</f>
        <v>Amber</v>
      </c>
      <c r="N166" s="3"/>
      <c r="O166" t="str">
        <f>IF($I166&lt;&gt;"Complete",IF(COUNTIFS($A$4:$A165,$A166,$B$4:$B165,$B166,$I$4:$I165,"&lt;&gt;Complete")=0,$A166&amp;"|"&amp;$B166,""),"")</f>
        <v>|</v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/>
      <c r="B167" s="2"/>
      <c r="C167" s="3"/>
      <c r="D167" s="3"/>
      <c r="E167" s="2"/>
      <c r="F167" s="2"/>
      <c r="G167" s="5"/>
      <c r="H167" s="5"/>
      <c r="I167" s="4"/>
      <c r="J167" s="6" t="str">
        <f t="shared" si="7"/>
        <v/>
      </c>
      <c r="K167" s="4" t="str">
        <f t="shared" ca="1" si="8"/>
        <v/>
      </c>
      <c r="L167" s="7" t="str">
        <f>IF(I167="Completed","0",IF($H167="","",$H167-'[2]Read Me'!$B$4))</f>
        <v/>
      </c>
      <c r="M167" s="4" t="str">
        <f>IF($I167="Complete","Green",IF($H167="","Amber",IF($H167&lt;'[2]Read Me'!$B$4,"Red",IF($H167-'[2]Read Me'!$B$4&lt;=21,"Amber","Green"))))</f>
        <v>Amber</v>
      </c>
      <c r="N167" s="3"/>
      <c r="O167" t="str">
        <f>IF($I167&lt;&gt;"Complete",IF(COUNTIFS($A$4:$A166,$A167,$B$4:$B166,$B167,$I$4:$I166,"&lt;&gt;Complete")=0,$A167&amp;"|"&amp;$B167,""),"")</f>
        <v>|</v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/>
      <c r="B168" s="2"/>
      <c r="C168" s="3"/>
      <c r="D168" s="3"/>
      <c r="E168" s="2"/>
      <c r="F168" s="2"/>
      <c r="G168" s="5"/>
      <c r="H168" s="5"/>
      <c r="I168" s="4"/>
      <c r="J168" s="6" t="str">
        <f t="shared" si="7"/>
        <v/>
      </c>
      <c r="K168" s="4" t="str">
        <f t="shared" ca="1" si="8"/>
        <v/>
      </c>
      <c r="L168" s="7" t="str">
        <f>IF(I168="Completed","0",IF($H168="","",$H168-'[2]Read Me'!$B$4))</f>
        <v/>
      </c>
      <c r="M168" s="4" t="str">
        <f>IF($I168="Complete","Green",IF($H168="","Amber",IF($H168&lt;'[2]Read Me'!$B$4,"Red",IF($H168-'[2]Read Me'!$B$4&lt;=21,"Amber","Green"))))</f>
        <v>Amber</v>
      </c>
      <c r="N168" s="3"/>
      <c r="O168" t="str">
        <f>IF($I168&lt;&gt;"Complete",IF(COUNTIFS($A$4:$A167,$A168,$B$4:$B167,$B168,$I$4:$I167,"&lt;&gt;Complete")=0,$A168&amp;"|"&amp;$B168,""),"")</f>
        <v>|</v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/>
      <c r="B169" s="2"/>
      <c r="C169" s="3"/>
      <c r="D169" s="3"/>
      <c r="E169" s="2"/>
      <c r="F169" s="2"/>
      <c r="G169" s="5"/>
      <c r="H169" s="5"/>
      <c r="I169" s="4"/>
      <c r="J169" s="6" t="str">
        <f t="shared" si="7"/>
        <v/>
      </c>
      <c r="K169" s="4" t="str">
        <f t="shared" ca="1" si="8"/>
        <v/>
      </c>
      <c r="L169" s="7" t="str">
        <f>IF(I169="Completed","0",IF($H169="","",$H169-'[2]Read Me'!$B$4))</f>
        <v/>
      </c>
      <c r="M169" s="4" t="str">
        <f>IF($I169="Complete","Green",IF($H169="","Amber",IF($H169&lt;'[2]Read Me'!$B$4,"Red",IF($H169-'[2]Read Me'!$B$4&lt;=21,"Amber","Green"))))</f>
        <v>Amber</v>
      </c>
      <c r="N169" s="3"/>
      <c r="O169" t="str">
        <f>IF($I169&lt;&gt;"Complete",IF(COUNTIFS($A$4:$A168,$A169,$B$4:$B168,$B169,$I$4:$I168,"&lt;&gt;Complete")=0,$A169&amp;"|"&amp;$B169,""),"")</f>
        <v>|</v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/>
      <c r="B170" s="2"/>
      <c r="C170" s="3"/>
      <c r="D170" s="3"/>
      <c r="E170" s="2"/>
      <c r="F170" s="2"/>
      <c r="G170" s="5"/>
      <c r="H170" s="5"/>
      <c r="I170" s="4"/>
      <c r="J170" s="6" t="str">
        <f t="shared" si="7"/>
        <v/>
      </c>
      <c r="K170" s="4" t="str">
        <f t="shared" ca="1" si="8"/>
        <v/>
      </c>
      <c r="L170" s="7" t="str">
        <f>IF(I170="Completed","0",IF($H170="","",$H170-'[2]Read Me'!$B$4))</f>
        <v/>
      </c>
      <c r="M170" s="4" t="str">
        <f>IF($I170="Complete","Green",IF($H170="","Amber",IF($H170&lt;'[2]Read Me'!$B$4,"Red",IF($H170-'[2]Read Me'!$B$4&lt;=21,"Amber","Green"))))</f>
        <v>Amber</v>
      </c>
      <c r="N170" s="3"/>
      <c r="O170" t="str">
        <f>IF($I170&lt;&gt;"Complete",IF(COUNTIFS($A$4:$A169,$A170,$B$4:$B169,$B170,$I$4:$I169,"&lt;&gt;Complete")=0,$A170&amp;"|"&amp;$B170,""),"")</f>
        <v>|</v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/>
      <c r="B171" s="2"/>
      <c r="C171" s="3"/>
      <c r="D171" s="3"/>
      <c r="E171" s="2"/>
      <c r="F171" s="2"/>
      <c r="G171" s="5"/>
      <c r="H171" s="5"/>
      <c r="I171" s="4"/>
      <c r="J171" s="6" t="str">
        <f t="shared" si="7"/>
        <v/>
      </c>
      <c r="K171" s="4" t="str">
        <f t="shared" ca="1" si="8"/>
        <v/>
      </c>
      <c r="L171" s="7" t="str">
        <f>IF(I171="Completed","0",IF($H171="","",$H171-'[2]Read Me'!$B$4))</f>
        <v/>
      </c>
      <c r="M171" s="4" t="str">
        <f>IF($I171="Complete","Green",IF($H171="","Amber",IF($H171&lt;'[2]Read Me'!$B$4,"Red",IF($H171-'[2]Read Me'!$B$4&lt;=21,"Amber","Green"))))</f>
        <v>Amber</v>
      </c>
      <c r="N171" s="3"/>
      <c r="O171" t="str">
        <f>IF($I171&lt;&gt;"Complete",IF(COUNTIFS($A$4:$A170,$A171,$B$4:$B170,$B171,$I$4:$I170,"&lt;&gt;Complete")=0,$A171&amp;"|"&amp;$B171,""),"")</f>
        <v>|</v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/>
      <c r="B172" s="2"/>
      <c r="C172" s="3"/>
      <c r="D172" s="3"/>
      <c r="E172" s="2"/>
      <c r="F172" s="2"/>
      <c r="G172" s="5"/>
      <c r="H172" s="5"/>
      <c r="I172" s="4"/>
      <c r="J172" s="6" t="str">
        <f t="shared" si="7"/>
        <v/>
      </c>
      <c r="K172" s="4" t="str">
        <f t="shared" ca="1" si="8"/>
        <v/>
      </c>
      <c r="L172" s="7" t="str">
        <f>IF(I172="Completed","0",IF($H172="","",$H172-'[2]Read Me'!$B$4))</f>
        <v/>
      </c>
      <c r="M172" s="4" t="str">
        <f>IF($I172="Complete","Green",IF($H172="","Amber",IF($H172&lt;'[2]Read Me'!$B$4,"Red",IF($H172-'[2]Read Me'!$B$4&lt;=21,"Amber","Green"))))</f>
        <v>Amber</v>
      </c>
      <c r="N172" s="3"/>
      <c r="O172" t="str">
        <f>IF($I172&lt;&gt;"Complete",IF(COUNTIFS($A$4:$A171,$A172,$B$4:$B171,$B172,$I$4:$I171,"&lt;&gt;Complete")=0,$A172&amp;"|"&amp;$B172,""),"")</f>
        <v>|</v>
      </c>
      <c r="P172" t="str">
        <f ca="1">IF($K172="Yes",COUNTIFS($K$4:$K172,"Yes"),"")</f>
        <v/>
      </c>
      <c r="Q172">
        <f t="shared" ca="1" si="9"/>
        <v>0</v>
      </c>
      <c r="R172" t="str">
        <f ca="1">IF($Q172=1,SUM($Q$4:$Q172),"")</f>
        <v/>
      </c>
    </row>
    <row r="173" spans="1:18" ht="33.75" customHeight="1" x14ac:dyDescent="0.3">
      <c r="A173" s="2"/>
      <c r="B173" s="2"/>
      <c r="C173" s="3"/>
      <c r="D173" s="3"/>
      <c r="E173" s="2"/>
      <c r="F173" s="2"/>
      <c r="G173" s="5"/>
      <c r="H173" s="5"/>
      <c r="I173" s="4"/>
      <c r="J173" s="6" t="str">
        <f t="shared" si="7"/>
        <v/>
      </c>
      <c r="K173" s="4" t="str">
        <f t="shared" ca="1" si="8"/>
        <v/>
      </c>
      <c r="L173" s="7" t="str">
        <f>IF(I173="Completed","0",IF($H173="","",$H173-'[2]Read Me'!$B$4))</f>
        <v/>
      </c>
      <c r="M173" s="4" t="str">
        <f>IF($I173="Complete","Green",IF($H173="","Amber",IF($H173&lt;'[2]Read Me'!$B$4,"Red",IF($H173-'[2]Read Me'!$B$4&lt;=21,"Amber","Green"))))</f>
        <v>Amber</v>
      </c>
      <c r="N173" s="3"/>
      <c r="O173" t="str">
        <f>IF($I173&lt;&gt;"Complete",IF(COUNTIFS($A$4:$A172,$A173,$B$4:$B172,$B173,$I$4:$I172,"&lt;&gt;Complete")=0,$A173&amp;"|"&amp;$B173,""),"")</f>
        <v>|</v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/>
      <c r="B174" s="2"/>
      <c r="C174" s="3"/>
      <c r="D174" s="3"/>
      <c r="E174" s="2"/>
      <c r="F174" s="2"/>
      <c r="G174" s="5"/>
      <c r="H174" s="5"/>
      <c r="I174" s="4"/>
      <c r="J174" s="6" t="str">
        <f t="shared" si="7"/>
        <v/>
      </c>
      <c r="K174" s="4" t="str">
        <f t="shared" ca="1" si="8"/>
        <v/>
      </c>
      <c r="L174" s="7" t="str">
        <f>IF(I174="Completed","0",IF($H174="","",$H174-'[2]Read Me'!$B$4))</f>
        <v/>
      </c>
      <c r="M174" s="4" t="str">
        <f>IF($I174="Complete","Green",IF($H174="","Amber",IF($H174&lt;'[2]Read Me'!$B$4,"Red",IF($H174-'[2]Read Me'!$B$4&lt;=21,"Amber","Green"))))</f>
        <v>Amber</v>
      </c>
      <c r="N174" s="3"/>
      <c r="O174" t="str">
        <f>IF($I174&lt;&gt;"Complete",IF(COUNTIFS($A$4:$A173,$A174,$B$4:$B173,$B174,$I$4:$I173,"&lt;&gt;Complete")=0,$A174&amp;"|"&amp;$B174,""),"")</f>
        <v>|</v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/>
      <c r="B175" s="2"/>
      <c r="C175" s="3"/>
      <c r="D175" s="3"/>
      <c r="E175" s="2"/>
      <c r="F175" s="2"/>
      <c r="G175" s="5"/>
      <c r="H175" s="5"/>
      <c r="I175" s="4"/>
      <c r="J175" s="6" t="str">
        <f t="shared" si="7"/>
        <v/>
      </c>
      <c r="K175" s="4" t="str">
        <f t="shared" ca="1" si="8"/>
        <v/>
      </c>
      <c r="L175" s="7" t="str">
        <f>IF(I175="Completed","0",IF($H175="","",$H175-'[2]Read Me'!$B$4))</f>
        <v/>
      </c>
      <c r="M175" s="4" t="str">
        <f>IF($I175="Complete","Green",IF($H175="","Amber",IF($H175&lt;'[2]Read Me'!$B$4,"Red",IF($H175-'[2]Read Me'!$B$4&lt;=21,"Amber","Green"))))</f>
        <v>Amber</v>
      </c>
      <c r="N175" s="3"/>
      <c r="O175" t="str">
        <f>IF($I175&lt;&gt;"Complete",IF(COUNTIFS($A$4:$A174,$A175,$B$4:$B174,$B175,$I$4:$I174,"&lt;&gt;Complete")=0,$A175&amp;"|"&amp;$B175,""),"")</f>
        <v>|</v>
      </c>
      <c r="P175" t="str">
        <f ca="1">IF($K175="Yes",COUNTIFS($K$4:$K175,"Yes"),"")</f>
        <v/>
      </c>
      <c r="Q175">
        <f t="shared" ca="1" si="9"/>
        <v>0</v>
      </c>
      <c r="R175" t="str">
        <f ca="1">IF($Q175=1,SUM($Q$4:$Q175),"")</f>
        <v/>
      </c>
    </row>
    <row r="176" spans="1:18" ht="22.5" customHeight="1" x14ac:dyDescent="0.3">
      <c r="A176" s="2"/>
      <c r="B176" s="2"/>
      <c r="C176" s="3"/>
      <c r="D176" s="3"/>
      <c r="E176" s="2"/>
      <c r="F176" s="2"/>
      <c r="G176" s="5"/>
      <c r="H176" s="5"/>
      <c r="I176" s="4"/>
      <c r="J176" s="6" t="str">
        <f t="shared" si="7"/>
        <v/>
      </c>
      <c r="K176" s="4" t="str">
        <f t="shared" ca="1" si="8"/>
        <v/>
      </c>
      <c r="L176" s="7" t="str">
        <f>IF(I176="Completed","0",IF($H176="","",$H176-'[2]Read Me'!$B$4))</f>
        <v/>
      </c>
      <c r="M176" s="4" t="str">
        <f>IF($I176="Complete","Green",IF($H176="","Amber",IF($H176&lt;'[2]Read Me'!$B$4,"Red",IF($H176-'[2]Read Me'!$B$4&lt;=21,"Amber","Green"))))</f>
        <v>Amber</v>
      </c>
      <c r="N176" s="3"/>
      <c r="O176" t="str">
        <f>IF($I176&lt;&gt;"Complete",IF(COUNTIFS($A$4:$A175,$A176,$B$4:$B175,$B176,$I$4:$I175,"&lt;&gt;Complete")=0,$A176&amp;"|"&amp;$B176,""),"")</f>
        <v>|</v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/>
      <c r="B177" s="2"/>
      <c r="C177" s="3"/>
      <c r="D177" s="3"/>
      <c r="E177" s="2"/>
      <c r="F177" s="2"/>
      <c r="G177" s="5"/>
      <c r="H177" s="5"/>
      <c r="I177" s="4"/>
      <c r="J177" s="6" t="str">
        <f t="shared" si="7"/>
        <v/>
      </c>
      <c r="K177" s="4" t="str">
        <f t="shared" ca="1" si="8"/>
        <v/>
      </c>
      <c r="L177" s="7" t="str">
        <f>IF(I177="Completed","0",IF($H177="","",$H177-'[2]Read Me'!$B$4))</f>
        <v/>
      </c>
      <c r="M177" s="4" t="str">
        <f>IF($I177="Complete","Green",IF($H177="","Amber",IF($H177&lt;'[2]Read Me'!$B$4,"Red",IF($H177-'[2]Read Me'!$B$4&lt;=21,"Amber","Green"))))</f>
        <v>Amber</v>
      </c>
      <c r="N177" s="3"/>
      <c r="O177" t="str">
        <f>IF($I177&lt;&gt;"Complete",IF(COUNTIFS($A$4:$A176,$A177,$B$4:$B176,$B177,$I$4:$I176,"&lt;&gt;Complete")=0,$A177&amp;"|"&amp;$B177,""),"")</f>
        <v>|</v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/>
      <c r="B178" s="2"/>
      <c r="C178" s="3"/>
      <c r="D178" s="3"/>
      <c r="E178" s="2"/>
      <c r="F178" s="2"/>
      <c r="G178" s="5"/>
      <c r="H178" s="5"/>
      <c r="I178" s="4"/>
      <c r="J178" s="6" t="str">
        <f t="shared" si="7"/>
        <v/>
      </c>
      <c r="K178" s="4" t="str">
        <f t="shared" ca="1" si="8"/>
        <v/>
      </c>
      <c r="L178" s="7" t="str">
        <f>IF(I178="Completed","0",IF($H178="","",$H178-'[2]Read Me'!$B$4))</f>
        <v/>
      </c>
      <c r="M178" s="4" t="str">
        <f>IF($I178="Complete","Green",IF($H178="","Amber",IF($H178&lt;'[2]Read Me'!$B$4,"Red",IF($H178-'[2]Read Me'!$B$4&lt;=21,"Amber","Green"))))</f>
        <v>Amber</v>
      </c>
      <c r="N178" s="3"/>
      <c r="O178" t="str">
        <f>IF($I178&lt;&gt;"Complete",IF(COUNTIFS($A$4:$A177,$A178,$B$4:$B177,$B178,$I$4:$I177,"&lt;&gt;Complete")=0,$A178&amp;"|"&amp;$B178,""),"")</f>
        <v>|</v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/>
      <c r="B179" s="2"/>
      <c r="C179" s="3"/>
      <c r="D179" s="3"/>
      <c r="E179" s="2"/>
      <c r="F179" s="2"/>
      <c r="G179" s="5"/>
      <c r="H179" s="5"/>
      <c r="I179" s="4"/>
      <c r="J179" s="6" t="str">
        <f t="shared" si="7"/>
        <v/>
      </c>
      <c r="K179" s="4" t="str">
        <f t="shared" ca="1" si="8"/>
        <v/>
      </c>
      <c r="L179" s="7" t="str">
        <f>IF(I179="Completed","0",IF($H179="","",$H179-'[2]Read Me'!$B$4))</f>
        <v/>
      </c>
      <c r="M179" s="4" t="str">
        <f>IF($I179="Complete","Green",IF($H179="","Amber",IF($H179&lt;'[2]Read Me'!$B$4,"Red",IF($H179-'[2]Read Me'!$B$4&lt;=21,"Amber","Green"))))</f>
        <v>Amber</v>
      </c>
      <c r="N179" s="3"/>
      <c r="O179" t="str">
        <f>IF($I179&lt;&gt;"Complete",IF(COUNTIFS($A$4:$A178,$A179,$B$4:$B178,$B179,$I$4:$I178,"&lt;&gt;Complete")=0,$A179&amp;"|"&amp;$B179,""),"")</f>
        <v>|</v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/>
      <c r="B180" s="2"/>
      <c r="C180" s="3"/>
      <c r="D180" s="3"/>
      <c r="E180" s="2"/>
      <c r="F180" s="2"/>
      <c r="G180" s="5"/>
      <c r="H180" s="5"/>
      <c r="I180" s="4"/>
      <c r="J180" s="6" t="str">
        <f t="shared" si="7"/>
        <v/>
      </c>
      <c r="K180" s="4" t="str">
        <f t="shared" ca="1" si="8"/>
        <v/>
      </c>
      <c r="L180" s="7" t="str">
        <f>IF(I180="Completed","0",IF($H180="","",$H180-'[2]Read Me'!$B$4))</f>
        <v/>
      </c>
      <c r="M180" s="4" t="str">
        <f>IF($I180="Complete","Green",IF($H180="","Amber",IF($H180&lt;'[2]Read Me'!$B$4,"Red",IF($H180-'[2]Read Me'!$B$4&lt;=21,"Amber","Green"))))</f>
        <v>Amber</v>
      </c>
      <c r="N180" s="3"/>
      <c r="O180" t="str">
        <f>IF($I180&lt;&gt;"Complete",IF(COUNTIFS($A$4:$A179,$A180,$B$4:$B179,$B180,$I$4:$I179,"&lt;&gt;Complete")=0,$A180&amp;"|"&amp;$B180,""),"")</f>
        <v>|</v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/>
      <c r="B181" s="2"/>
      <c r="C181" s="3"/>
      <c r="D181" s="3"/>
      <c r="E181" s="2"/>
      <c r="F181" s="2"/>
      <c r="G181" s="5"/>
      <c r="H181" s="5"/>
      <c r="I181" s="4"/>
      <c r="J181" s="6" t="str">
        <f t="shared" si="7"/>
        <v/>
      </c>
      <c r="K181" s="4" t="str">
        <f t="shared" ca="1" si="8"/>
        <v/>
      </c>
      <c r="L181" s="7" t="str">
        <f>IF(I181="Completed","0",IF($H181="","",$H181-'[2]Read Me'!$B$4))</f>
        <v/>
      </c>
      <c r="M181" s="4" t="str">
        <f>IF($I181="Complete","Green",IF($H181="","Amber",IF($H181&lt;'[2]Read Me'!$B$4,"Red",IF($H181-'[2]Read Me'!$B$4&lt;=21,"Amber","Green"))))</f>
        <v>Amber</v>
      </c>
      <c r="N181" s="3"/>
      <c r="O181" t="str">
        <f>IF($I181&lt;&gt;"Complete",IF(COUNTIFS($A$4:$A180,$A181,$B$4:$B180,$B181,$I$4:$I180,"&lt;&gt;Complete")=0,$A181&amp;"|"&amp;$B181,""),"")</f>
        <v>|</v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/>
      <c r="B182" s="2"/>
      <c r="C182" s="3"/>
      <c r="D182" s="3"/>
      <c r="E182" s="2"/>
      <c r="F182" s="2"/>
      <c r="G182" s="5"/>
      <c r="H182" s="5"/>
      <c r="I182" s="4"/>
      <c r="J182" s="6" t="str">
        <f t="shared" si="7"/>
        <v/>
      </c>
      <c r="K182" s="4" t="str">
        <f t="shared" ca="1" si="8"/>
        <v/>
      </c>
      <c r="L182" s="7" t="str">
        <f>IF(I182="Completed","0",IF($H182="","",$H182-'[2]Read Me'!$B$4))</f>
        <v/>
      </c>
      <c r="M182" s="4" t="str">
        <f>IF($I182="Complete","Green",IF($H182="","Amber",IF($H182&lt;'[2]Read Me'!$B$4,"Red",IF($H182-'[2]Read Me'!$B$4&lt;=21,"Amber","Green"))))</f>
        <v>Amber</v>
      </c>
      <c r="N182" s="3"/>
      <c r="O182" t="str">
        <f>IF($I182&lt;&gt;"Complete",IF(COUNTIFS($A$4:$A181,$A182,$B$4:$B181,$B182,$I$4:$I181,"&lt;&gt;Complete")=0,$A182&amp;"|"&amp;$B182,""),"")</f>
        <v>|</v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/>
      <c r="B183" s="2"/>
      <c r="C183" s="3"/>
      <c r="D183" s="3"/>
      <c r="E183" s="2"/>
      <c r="F183" s="2"/>
      <c r="G183" s="5"/>
      <c r="H183" s="5"/>
      <c r="I183" s="4"/>
      <c r="J183" s="6" t="str">
        <f t="shared" si="7"/>
        <v/>
      </c>
      <c r="K183" s="4" t="str">
        <f t="shared" ca="1" si="8"/>
        <v/>
      </c>
      <c r="L183" s="7" t="str">
        <f>IF(I183="Completed","0",IF($H183="","",$H183-'[2]Read Me'!$B$4))</f>
        <v/>
      </c>
      <c r="M183" s="4" t="str">
        <f>IF($I183="Complete","Green",IF($H183="","Amber",IF($H183&lt;'[2]Read Me'!$B$4,"Red",IF($H183-'[2]Read Me'!$B$4&lt;=21,"Amber","Green"))))</f>
        <v>Amber</v>
      </c>
      <c r="N183" s="3"/>
      <c r="O183" t="str">
        <f>IF($I183&lt;&gt;"Complete",IF(COUNTIFS($A$4:$A182,$A183,$B$4:$B182,$B183,$I$4:$I182,"&lt;&gt;Complete")=0,$A183&amp;"|"&amp;$B183,""),"")</f>
        <v>|</v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/>
      <c r="B184" s="2"/>
      <c r="C184" s="3"/>
      <c r="D184" s="3"/>
      <c r="E184" s="2"/>
      <c r="F184" s="2"/>
      <c r="G184" s="5"/>
      <c r="H184" s="5"/>
      <c r="I184" s="4"/>
      <c r="J184" s="6" t="str">
        <f t="shared" si="7"/>
        <v/>
      </c>
      <c r="K184" s="4" t="str">
        <f t="shared" ca="1" si="8"/>
        <v/>
      </c>
      <c r="L184" s="7" t="str">
        <f>IF(I184="Completed","0",IF($H184="","",$H184-'[2]Read Me'!$B$4))</f>
        <v/>
      </c>
      <c r="M184" s="4" t="str">
        <f>IF($I184="Complete","Green",IF($H184="","Amber",IF($H184&lt;'[2]Read Me'!$B$4,"Red",IF($H184-'[2]Read Me'!$B$4&lt;=21,"Amber","Green"))))</f>
        <v>Amber</v>
      </c>
      <c r="N184" s="3"/>
      <c r="O184" t="str">
        <f>IF($I184&lt;&gt;"Complete",IF(COUNTIFS($A$4:$A183,$A184,$B$4:$B183,$B184,$I$4:$I183,"&lt;&gt;Complete")=0,$A184&amp;"|"&amp;$B184,""),"")</f>
        <v>|</v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/>
      <c r="B185" s="2"/>
      <c r="C185" s="3"/>
      <c r="D185" s="3"/>
      <c r="E185" s="2"/>
      <c r="F185" s="2"/>
      <c r="G185" s="5"/>
      <c r="H185" s="5"/>
      <c r="I185" s="4"/>
      <c r="J185" s="6" t="str">
        <f t="shared" si="7"/>
        <v/>
      </c>
      <c r="K185" s="4" t="str">
        <f t="shared" ca="1" si="8"/>
        <v/>
      </c>
      <c r="L185" s="7" t="str">
        <f>IF(I185="Completed","0",IF($H185="","",$H185-'[2]Read Me'!$B$4))</f>
        <v/>
      </c>
      <c r="M185" s="4" t="str">
        <f>IF($I185="Complete","Green",IF($H185="","Amber",IF($H185&lt;'[2]Read Me'!$B$4,"Red",IF($H185-'[2]Read Me'!$B$4&lt;=21,"Amber","Green"))))</f>
        <v>Amber</v>
      </c>
      <c r="N185" s="3"/>
      <c r="O185" t="str">
        <f>IF($I185&lt;&gt;"Complete",IF(COUNTIFS($A$4:$A184,$A185,$B$4:$B184,$B185,$I$4:$I184,"&lt;&gt;Complete")=0,$A185&amp;"|"&amp;$B185,""),"")</f>
        <v>|</v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/>
      <c r="B186" s="2"/>
      <c r="C186" s="3"/>
      <c r="D186" s="3"/>
      <c r="E186" s="2"/>
      <c r="F186" s="2"/>
      <c r="G186" s="5"/>
      <c r="H186" s="5"/>
      <c r="I186" s="4"/>
      <c r="J186" s="6" t="str">
        <f t="shared" si="7"/>
        <v/>
      </c>
      <c r="K186" s="4" t="str">
        <f t="shared" ca="1" si="8"/>
        <v/>
      </c>
      <c r="L186" s="7" t="str">
        <f>IF(I186="Completed","0",IF($H186="","",$H186-'[2]Read Me'!$B$4))</f>
        <v/>
      </c>
      <c r="M186" s="4" t="str">
        <f>IF($I186="Complete","Green",IF($H186="","Amber",IF($H186&lt;'[2]Read Me'!$B$4,"Red",IF($H186-'[2]Read Me'!$B$4&lt;=21,"Amber","Green"))))</f>
        <v>Amber</v>
      </c>
      <c r="N186" s="3"/>
      <c r="O186" t="str">
        <f>IF($I186&lt;&gt;"Complete",IF(COUNTIFS($A$4:$A185,$A186,$B$4:$B185,$B186,$I$4:$I185,"&lt;&gt;Complete")=0,$A186&amp;"|"&amp;$B186,""),"")</f>
        <v>|</v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/>
      <c r="B187" s="2"/>
      <c r="C187" s="3"/>
      <c r="D187" s="3"/>
      <c r="E187" s="2"/>
      <c r="F187" s="2"/>
      <c r="G187" s="5"/>
      <c r="H187" s="5"/>
      <c r="I187" s="4"/>
      <c r="J187" s="6" t="str">
        <f t="shared" si="7"/>
        <v/>
      </c>
      <c r="K187" s="4" t="str">
        <f t="shared" ca="1" si="8"/>
        <v/>
      </c>
      <c r="L187" s="7" t="str">
        <f>IF(I187="Completed","0",IF($H187="","",$H187-'[2]Read Me'!$B$4))</f>
        <v/>
      </c>
      <c r="M187" s="4" t="str">
        <f>IF($I187="Complete","Green",IF($H187="","Amber",IF($H187&lt;'[2]Read Me'!$B$4,"Red",IF($H187-'[2]Read Me'!$B$4&lt;=21,"Amber","Green"))))</f>
        <v>Amber</v>
      </c>
      <c r="N187" s="3"/>
      <c r="O187" t="str">
        <f>IF($I187&lt;&gt;"Complete",IF(COUNTIFS($A$4:$A186,$A187,$B$4:$B186,$B187,$I$4:$I186,"&lt;&gt;Complete")=0,$A187&amp;"|"&amp;$B187,""),"")</f>
        <v>|</v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/>
      <c r="B188" s="2"/>
      <c r="C188" s="3"/>
      <c r="D188" s="3"/>
      <c r="E188" s="2"/>
      <c r="F188" s="2"/>
      <c r="G188" s="5"/>
      <c r="H188" s="5"/>
      <c r="I188" s="4"/>
      <c r="J188" s="6" t="str">
        <f t="shared" si="7"/>
        <v/>
      </c>
      <c r="K188" s="4" t="str">
        <f t="shared" ca="1" si="8"/>
        <v/>
      </c>
      <c r="L188" s="7" t="str">
        <f>IF(I188="Completed","0",IF($H188="","",$H188-'[2]Read Me'!$B$4))</f>
        <v/>
      </c>
      <c r="M188" s="4" t="str">
        <f>IF($I188="Complete","Green",IF($H188="","Amber",IF($H188&lt;'[2]Read Me'!$B$4,"Red",IF($H188-'[2]Read Me'!$B$4&lt;=21,"Amber","Green"))))</f>
        <v>Amber</v>
      </c>
      <c r="N188" s="3"/>
      <c r="O188" t="str">
        <f>IF($I188&lt;&gt;"Complete",IF(COUNTIFS($A$4:$A187,$A188,$B$4:$B187,$B188,$I$4:$I187,"&lt;&gt;Complete")=0,$A188&amp;"|"&amp;$B188,""),"")</f>
        <v>|</v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/>
      <c r="B189" s="2"/>
      <c r="C189" s="3"/>
      <c r="D189" s="3"/>
      <c r="E189" s="2"/>
      <c r="F189" s="2"/>
      <c r="G189" s="5"/>
      <c r="H189" s="5"/>
      <c r="I189" s="4"/>
      <c r="J189" s="6" t="str">
        <f t="shared" si="7"/>
        <v/>
      </c>
      <c r="K189" s="4" t="str">
        <f t="shared" ca="1" si="8"/>
        <v/>
      </c>
      <c r="L189" s="7" t="str">
        <f>IF($H189="","",$H189-'[2]Read Me'!$B$4)</f>
        <v/>
      </c>
      <c r="M189" s="4" t="str">
        <f>IF($I189="Complete","Green",IF($H189="","Amber",IF($H189&lt;'[2]Read Me'!$B$4,"Red",IF($H189-'[2]Read Me'!$B$4&lt;=21,"Amber","Green"))))</f>
        <v>Amber</v>
      </c>
      <c r="N189" s="3"/>
      <c r="O189" t="str">
        <f>IF($I189&lt;&gt;"Complete",IF(COUNTIFS($A$4:$A188,$A189,$B$4:$B188,$B189,$I$4:$I188,"&lt;&gt;Complete")=0,$A189&amp;"|"&amp;$B189,""),"")</f>
        <v>|</v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/>
      <c r="B190" s="2"/>
      <c r="C190" s="3"/>
      <c r="D190" s="3"/>
      <c r="E190" s="2"/>
      <c r="F190" s="2"/>
      <c r="G190" s="5"/>
      <c r="H190" s="5"/>
      <c r="I190" s="4"/>
      <c r="J190" s="6" t="str">
        <f t="shared" si="7"/>
        <v/>
      </c>
      <c r="K190" s="4" t="str">
        <f t="shared" ca="1" si="8"/>
        <v/>
      </c>
      <c r="L190" s="7" t="str">
        <f>IF($H190="","",$H190-'[2]Read Me'!$B$4)</f>
        <v/>
      </c>
      <c r="M190" s="4" t="str">
        <f>IF($I190="Complete","Green",IF($H190="","Amber",IF($H190&lt;'[2]Read Me'!$B$4,"Red",IF($H190-'[2]Read Me'!$B$4&lt;=21,"Amber","Green"))))</f>
        <v>Amber</v>
      </c>
      <c r="N190" s="3"/>
      <c r="O190" t="str">
        <f>IF($I190&lt;&gt;"Complete",IF(COUNTIFS($A$4:$A189,$A190,$B$4:$B189,$B190,$I$4:$I189,"&lt;&gt;Complete")=0,$A190&amp;"|"&amp;$B190,""),"")</f>
        <v>|</v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/>
      <c r="B191" s="2"/>
      <c r="C191" s="3"/>
      <c r="D191" s="3"/>
      <c r="E191" s="2"/>
      <c r="F191" s="2"/>
      <c r="G191" s="5"/>
      <c r="H191" s="5"/>
      <c r="I191" s="4"/>
      <c r="J191" s="6" t="str">
        <f t="shared" si="7"/>
        <v/>
      </c>
      <c r="K191" s="4" t="str">
        <f t="shared" ca="1" si="8"/>
        <v/>
      </c>
      <c r="L191" s="7" t="str">
        <f>IF($H191="","",$H191-'[2]Read Me'!$B$4)</f>
        <v/>
      </c>
      <c r="M191" s="4" t="str">
        <f>IF($I191="Complete","Green",IF($H191="","Amber",IF($H191&lt;'[2]Read Me'!$B$4,"Red",IF($H191-'[2]Read Me'!$B$4&lt;=21,"Amber","Green"))))</f>
        <v>Amber</v>
      </c>
      <c r="N191" s="3"/>
      <c r="O191" t="str">
        <f>IF($I191&lt;&gt;"Complete",IF(COUNTIFS($A$4:$A190,$A191,$B$4:$B190,$B191,$I$4:$I190,"&lt;&gt;Complete")=0,$A191&amp;"|"&amp;$B191,""),"")</f>
        <v>|</v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/>
      <c r="B192" s="2"/>
      <c r="C192" s="3"/>
      <c r="D192" s="3"/>
      <c r="E192" s="2"/>
      <c r="F192" s="2"/>
      <c r="G192" s="5"/>
      <c r="H192" s="5"/>
      <c r="I192" s="4"/>
      <c r="J192" s="6" t="str">
        <f t="shared" si="7"/>
        <v/>
      </c>
      <c r="K192" s="4" t="str">
        <f t="shared" ca="1" si="8"/>
        <v/>
      </c>
      <c r="L192" s="7" t="str">
        <f>IF($H192="","",$H192-'[2]Read Me'!$B$4)</f>
        <v/>
      </c>
      <c r="M192" s="4" t="str">
        <f>IF($I192="Complete","Green",IF($H192="","Amber",IF($H192&lt;'[2]Read Me'!$B$4,"Red",IF($H192-'[2]Read Me'!$B$4&lt;=21,"Amber","Green"))))</f>
        <v>Amber</v>
      </c>
      <c r="N192" s="3"/>
      <c r="O192" t="str">
        <f>IF($I192&lt;&gt;"Complete",IF(COUNTIFS($A$4:$A191,$A192,$B$4:$B191,$B192,$I$4:$I191,"&lt;&gt;Complete")=0,$A192&amp;"|"&amp;$B192,""),"")</f>
        <v>|</v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/>
      <c r="B193" s="2"/>
      <c r="C193" s="3"/>
      <c r="D193" s="3"/>
      <c r="E193" s="2"/>
      <c r="F193" s="2"/>
      <c r="G193" s="5"/>
      <c r="H193" s="5"/>
      <c r="I193" s="4"/>
      <c r="J193" s="6" t="str">
        <f t="shared" si="7"/>
        <v/>
      </c>
      <c r="K193" s="4" t="str">
        <f t="shared" ca="1" si="8"/>
        <v/>
      </c>
      <c r="L193" s="7" t="str">
        <f>IF($H193="","",$H193-'[2]Read Me'!$B$4)</f>
        <v/>
      </c>
      <c r="M193" s="4" t="str">
        <f>IF($I193="Complete","Green",IF($H193="","Amber",IF($H193&lt;'[2]Read Me'!$B$4,"Red",IF($H193-'[2]Read Me'!$B$4&lt;=21,"Amber","Green"))))</f>
        <v>Amber</v>
      </c>
      <c r="N193" s="3"/>
      <c r="O193" t="str">
        <f>IF($I193&lt;&gt;"Complete",IF(COUNTIFS($A$4:$A192,$A193,$B$4:$B192,$B193,$I$4:$I192,"&lt;&gt;Complete")=0,$A193&amp;"|"&amp;$B193,""),"")</f>
        <v>|</v>
      </c>
      <c r="P193" t="str">
        <f ca="1">IF($K193="Yes",COUNTIFS($K$4:$K193,"Yes"),"")</f>
        <v/>
      </c>
      <c r="Q193">
        <f t="shared" ca="1" si="9"/>
        <v>0</v>
      </c>
      <c r="R193" t="str">
        <f ca="1">IF($Q193=1,SUM($Q$4:$Q193),"")</f>
        <v/>
      </c>
    </row>
    <row r="194" spans="1:18" ht="33.75" customHeight="1" x14ac:dyDescent="0.3">
      <c r="A194" s="2"/>
      <c r="B194" s="2"/>
      <c r="C194" s="3"/>
      <c r="D194" s="3"/>
      <c r="E194" s="2"/>
      <c r="F194" s="2"/>
      <c r="G194" s="5"/>
      <c r="H194" s="5"/>
      <c r="I194" s="4"/>
      <c r="J194" s="6" t="str">
        <f t="shared" si="7"/>
        <v/>
      </c>
      <c r="K194" s="4" t="str">
        <f t="shared" ca="1" si="8"/>
        <v/>
      </c>
      <c r="L194" s="7" t="str">
        <f>IF($H194="","",$H194-'[2]Read Me'!$B$4)</f>
        <v/>
      </c>
      <c r="M194" s="4" t="str">
        <f>IF($I194="Complete","Green",IF($H194="","Amber",IF($H194&lt;'[2]Read Me'!$B$4,"Red",IF($H194-'[2]Read Me'!$B$4&lt;=21,"Amber","Green"))))</f>
        <v>Amber</v>
      </c>
      <c r="N194" s="3"/>
      <c r="O194" t="str">
        <f>IF($I194&lt;&gt;"Complete",IF(COUNTIFS($A$4:$A193,$A194,$B$4:$B193,$B194,$I$4:$I193,"&lt;&gt;Complete")=0,$A194&amp;"|"&amp;$B194,""),"")</f>
        <v>|</v>
      </c>
      <c r="P194" t="str">
        <f ca="1">IF($K194="Yes",COUNTIFS($K$4:$K194,"Yes"),"")</f>
        <v/>
      </c>
      <c r="Q194">
        <f t="shared" ca="1" si="9"/>
        <v>0</v>
      </c>
      <c r="R194" t="str">
        <f ca="1">IF($Q194=1,SUM($Q$4:$Q194),"")</f>
        <v/>
      </c>
    </row>
    <row r="195" spans="1:18" ht="33.75" customHeight="1" x14ac:dyDescent="0.3">
      <c r="A195" s="2"/>
      <c r="B195" s="2"/>
      <c r="C195" s="3"/>
      <c r="D195" s="3"/>
      <c r="E195" s="2"/>
      <c r="F195" s="2"/>
      <c r="G195" s="5"/>
      <c r="H195" s="5"/>
      <c r="I195" s="4"/>
      <c r="J195" s="6" t="str">
        <f t="shared" si="7"/>
        <v/>
      </c>
      <c r="K195" s="4" t="str">
        <f t="shared" ca="1" si="8"/>
        <v/>
      </c>
      <c r="L195" s="7" t="str">
        <f>IF($H195="","",$H195-'[2]Read Me'!$B$4)</f>
        <v/>
      </c>
      <c r="M195" s="4" t="str">
        <f>IF($I195="Complete","Green",IF($H195="","Amber",IF($H195&lt;'[2]Read Me'!$B$4,"Red",IF($H195-'[2]Read Me'!$B$4&lt;=21,"Amber","Green"))))</f>
        <v>Amber</v>
      </c>
      <c r="N195" s="3"/>
      <c r="O195" t="str">
        <f>IF($I195&lt;&gt;"Complete",IF(COUNTIFS($A$4:$A194,$A195,$B$4:$B194,$B195,$I$4:$I194,"&lt;&gt;Complete")=0,$A195&amp;"|"&amp;$B195,""),"")</f>
        <v>|</v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/>
      <c r="B196" s="2"/>
      <c r="C196" s="3"/>
      <c r="D196" s="3"/>
      <c r="E196" s="2"/>
      <c r="F196" s="2"/>
      <c r="G196" s="5"/>
      <c r="H196" s="5"/>
      <c r="I196" s="4"/>
      <c r="J196" s="6" t="str">
        <f t="shared" ref="J196:J259" si="10">IF(OR($G196="",$H196=""),"",$H196-$G196)</f>
        <v/>
      </c>
      <c r="K196" s="4" t="str">
        <f t="shared" ref="K196:K243" ca="1" si="11">IF(C196="","",IF(H196="","",IF($I196="completed","-",IF($H196&gt;TODAY(),"No","Yes"))))</f>
        <v/>
      </c>
      <c r="L196" s="7" t="str">
        <f>IF($H196="","",$H196-'[2]Read Me'!$B$4)</f>
        <v/>
      </c>
      <c r="M196" s="4" t="str">
        <f>IF($I196="Complete","Green",IF($H196="","Amber",IF($H196&lt;'[2]Read Me'!$B$4,"Red",IF($H196-'[2]Read Me'!$B$4&lt;=21,"Amber","Green"))))</f>
        <v>Amber</v>
      </c>
      <c r="N196" s="3"/>
      <c r="O196" t="str">
        <f>IF($I196&lt;&gt;"Complete",IF(COUNTIFS($A$4:$A195,$A196,$B$4:$B195,$B196,$I$4:$I195,"&lt;&gt;Complete")=0,$A196&amp;"|"&amp;$B196,""),"")</f>
        <v>|</v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/>
      <c r="B197" s="2"/>
      <c r="C197" s="3"/>
      <c r="D197" s="3"/>
      <c r="E197" s="2"/>
      <c r="F197" s="2"/>
      <c r="G197" s="5"/>
      <c r="H197" s="5"/>
      <c r="I197" s="4"/>
      <c r="J197" s="6" t="str">
        <f t="shared" si="10"/>
        <v/>
      </c>
      <c r="K197" s="4" t="str">
        <f t="shared" ca="1" si="11"/>
        <v/>
      </c>
      <c r="L197" s="7" t="str">
        <f>IF($H197="","",$H197-'[2]Read Me'!$B$4)</f>
        <v/>
      </c>
      <c r="M197" s="4" t="str">
        <f>IF($I197="Complete","Green",IF($H197="","Amber",IF($H197&lt;'[2]Read Me'!$B$4,"Red",IF($H197-'[2]Read Me'!$B$4&lt;=21,"Amber","Green"))))</f>
        <v>Amber</v>
      </c>
      <c r="N197" s="3"/>
      <c r="O197" t="str">
        <f>IF($I197&lt;&gt;"Complete",IF(COUNTIFS($A$4:$A196,$A197,$B$4:$B196,$B197,$I$4:$I196,"&lt;&gt;Complete")=0,$A197&amp;"|"&amp;$B197,""),"")</f>
        <v>|</v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/>
      <c r="B198" s="2"/>
      <c r="C198" s="3"/>
      <c r="D198" s="3"/>
      <c r="E198" s="2"/>
      <c r="F198" s="2"/>
      <c r="G198" s="5"/>
      <c r="H198" s="5"/>
      <c r="I198" s="4"/>
      <c r="J198" s="6" t="str">
        <f t="shared" si="10"/>
        <v/>
      </c>
      <c r="K198" s="4" t="str">
        <f t="shared" ca="1" si="11"/>
        <v/>
      </c>
      <c r="L198" s="7" t="str">
        <f>IF($H198="","",$H198-'[2]Read Me'!$B$4)</f>
        <v/>
      </c>
      <c r="M198" s="4" t="str">
        <f>IF($I198="Complete","Green",IF($H198="","Amber",IF($H198&lt;'[2]Read Me'!$B$4,"Red",IF($H198-'[2]Read Me'!$B$4&lt;=21,"Amber","Green"))))</f>
        <v>Amber</v>
      </c>
      <c r="N198" s="3"/>
      <c r="O198" t="str">
        <f>IF($I198&lt;&gt;"Complete",IF(COUNTIFS($A$4:$A197,$A198,$B$4:$B197,$B198,$I$4:$I197,"&lt;&gt;Complete")=0,$A198&amp;"|"&amp;$B198,""),"")</f>
        <v>|</v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/>
      <c r="B199" s="2"/>
      <c r="C199" s="3"/>
      <c r="D199" s="3"/>
      <c r="E199" s="2"/>
      <c r="F199" s="2"/>
      <c r="G199" s="5"/>
      <c r="H199" s="5"/>
      <c r="I199" s="4"/>
      <c r="J199" s="6" t="str">
        <f t="shared" si="10"/>
        <v/>
      </c>
      <c r="K199" s="4" t="str">
        <f t="shared" ca="1" si="11"/>
        <v/>
      </c>
      <c r="L199" s="7" t="str">
        <f>IF($H199="","",$H199-'[2]Read Me'!$B$4)</f>
        <v/>
      </c>
      <c r="M199" s="4" t="str">
        <f>IF($I199="Complete","Green",IF($H199="","Amber",IF($H199&lt;'[2]Read Me'!$B$4,"Red",IF($H199-'[2]Read Me'!$B$4&lt;=21,"Amber","Green"))))</f>
        <v>Amber</v>
      </c>
      <c r="N199" s="3"/>
      <c r="O199" t="str">
        <f>IF($I199&lt;&gt;"Complete",IF(COUNTIFS($A$4:$A198,$A199,$B$4:$B198,$B199,$I$4:$I198,"&lt;&gt;Complete")=0,$A199&amp;"|"&amp;$B199,""),"")</f>
        <v>|</v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/>
      <c r="B200" s="2"/>
      <c r="C200" s="3"/>
      <c r="D200" s="3"/>
      <c r="E200" s="2"/>
      <c r="F200" s="2"/>
      <c r="G200" s="5"/>
      <c r="H200" s="5"/>
      <c r="I200" s="4"/>
      <c r="J200" s="6" t="str">
        <f t="shared" si="10"/>
        <v/>
      </c>
      <c r="K200" s="4" t="str">
        <f t="shared" ca="1" si="11"/>
        <v/>
      </c>
      <c r="L200" s="7" t="str">
        <f>IF($H200="","",$H200-'[2]Read Me'!$B$4)</f>
        <v/>
      </c>
      <c r="M200" s="4" t="str">
        <f>IF($I200="Complete","Green",IF($H200="","Amber",IF($H200&lt;'[2]Read Me'!$B$4,"Red",IF($H200-'[2]Read Me'!$B$4&lt;=21,"Amber","Green"))))</f>
        <v>Amber</v>
      </c>
      <c r="N200" s="3"/>
      <c r="O200" t="str">
        <f>IF($I200&lt;&gt;"Complete",IF(COUNTIFS($A$4:$A199,$A200,$B$4:$B199,$B200,$I$4:$I199,"&lt;&gt;Complete")=0,$A200&amp;"|"&amp;$B200,""),"")</f>
        <v>|</v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/>
      <c r="B201" s="2"/>
      <c r="C201" s="3"/>
      <c r="D201" s="3"/>
      <c r="E201" s="2"/>
      <c r="F201" s="2"/>
      <c r="G201" s="5"/>
      <c r="H201" s="5"/>
      <c r="I201" s="4"/>
      <c r="J201" s="6" t="str">
        <f t="shared" si="10"/>
        <v/>
      </c>
      <c r="K201" s="4" t="str">
        <f t="shared" ca="1" si="11"/>
        <v/>
      </c>
      <c r="L201" s="7" t="str">
        <f>IF($H201="","",$H201-'[2]Read Me'!$B$4)</f>
        <v/>
      </c>
      <c r="M201" s="4" t="str">
        <f>IF($I201="Complete","Green",IF($H201="","Amber",IF($H201&lt;'[2]Read Me'!$B$4,"Red",IF($H201-'[2]Read Me'!$B$4&lt;=21,"Amber","Green"))))</f>
        <v>Amber</v>
      </c>
      <c r="N201" s="3"/>
      <c r="O201" t="str">
        <f>IF($I201&lt;&gt;"Complete",IF(COUNTIFS($A$4:$A200,$A201,$B$4:$B200,$B201,$I$4:$I200,"&lt;&gt;Complete")=0,$A201&amp;"|"&amp;$B201,""),"")</f>
        <v>|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/>
      <c r="B202" s="2"/>
      <c r="C202" s="3"/>
      <c r="D202" s="3"/>
      <c r="E202" s="2"/>
      <c r="F202" s="2"/>
      <c r="G202" s="5"/>
      <c r="H202" s="5"/>
      <c r="I202" s="4"/>
      <c r="J202" s="6" t="str">
        <f t="shared" si="10"/>
        <v/>
      </c>
      <c r="K202" s="4" t="str">
        <f t="shared" ca="1" si="11"/>
        <v/>
      </c>
      <c r="L202" s="7" t="str">
        <f>IF($H202="","",$H202-'[2]Read Me'!$B$4)</f>
        <v/>
      </c>
      <c r="M202" s="4" t="str">
        <f>IF($I202="Complete","Green",IF($H202="","Amber",IF($H202&lt;'[2]Read Me'!$B$4,"Red",IF($H202-'[2]Read Me'!$B$4&lt;=21,"Amber","Green"))))</f>
        <v>Amber</v>
      </c>
      <c r="N202" s="3"/>
      <c r="O202" t="str">
        <f>IF($I202&lt;&gt;"Complete",IF(COUNTIFS($A$4:$A201,$A202,$B$4:$B201,$B202,$I$4:$I201,"&lt;&gt;Complete")=0,$A202&amp;"|"&amp;$B202,""),"")</f>
        <v>|</v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/>
      <c r="B203" s="2"/>
      <c r="C203" s="3"/>
      <c r="D203" s="3"/>
      <c r="E203" s="2"/>
      <c r="F203" s="2"/>
      <c r="G203" s="5"/>
      <c r="H203" s="5"/>
      <c r="I203" s="4"/>
      <c r="J203" s="6" t="str">
        <f t="shared" si="10"/>
        <v/>
      </c>
      <c r="K203" s="4" t="str">
        <f t="shared" ca="1" si="11"/>
        <v/>
      </c>
      <c r="L203" s="7" t="str">
        <f>IF($H203="","",$H203-'[2]Read Me'!$B$4)</f>
        <v/>
      </c>
      <c r="M203" s="4" t="str">
        <f>IF($I203="Complete","Green",IF($H203="","Amber",IF($H203&lt;'[2]Read Me'!$B$4,"Red",IF($H203-'[2]Read Me'!$B$4&lt;=21,"Amber","Green"))))</f>
        <v>Amber</v>
      </c>
      <c r="N203" s="3"/>
      <c r="O203" t="str">
        <f>IF($I203&lt;&gt;"Complete",IF(COUNTIFS($A$4:$A202,$A203,$B$4:$B202,$B203,$I$4:$I202,"&lt;&gt;Complete")=0,$A203&amp;"|"&amp;$B203,""),"")</f>
        <v>|</v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/>
      <c r="B204" s="2"/>
      <c r="C204" s="3"/>
      <c r="D204" s="3"/>
      <c r="E204" s="2"/>
      <c r="F204" s="2"/>
      <c r="G204" s="5"/>
      <c r="H204" s="5"/>
      <c r="I204" s="4"/>
      <c r="J204" s="6" t="str">
        <f t="shared" si="10"/>
        <v/>
      </c>
      <c r="K204" s="4" t="str">
        <f t="shared" ca="1" si="11"/>
        <v/>
      </c>
      <c r="L204" s="7" t="str">
        <f>IF($H204="","",$H204-'[2]Read Me'!$B$4)</f>
        <v/>
      </c>
      <c r="M204" s="4" t="str">
        <f>IF($I204="Complete","Green",IF($H204="","Amber",IF($H204&lt;'[2]Read Me'!$B$4,"Red",IF($H204-'[2]Read Me'!$B$4&lt;=21,"Amber","Green"))))</f>
        <v>Amber</v>
      </c>
      <c r="N204" s="3"/>
      <c r="O204" t="str">
        <f>IF($I204&lt;&gt;"Complete",IF(COUNTIFS($A$4:$A203,$A204,$B$4:$B203,$B204,$I$4:$I203,"&lt;&gt;Complete")=0,$A204&amp;"|"&amp;$B204,""),"")</f>
        <v>|</v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/>
      <c r="B205" s="2"/>
      <c r="C205" s="3"/>
      <c r="D205" s="3"/>
      <c r="E205" s="2"/>
      <c r="F205" s="2"/>
      <c r="G205" s="5"/>
      <c r="H205" s="5"/>
      <c r="I205" s="4"/>
      <c r="J205" s="6" t="str">
        <f t="shared" si="10"/>
        <v/>
      </c>
      <c r="K205" s="4" t="str">
        <f t="shared" ca="1" si="11"/>
        <v/>
      </c>
      <c r="L205" s="7" t="str">
        <f>IF($H205="","",$H205-'[2]Read Me'!$B$4)</f>
        <v/>
      </c>
      <c r="M205" s="4" t="str">
        <f>IF($I205="Complete","Green",IF($H205="","Amber",IF($H205&lt;'[2]Read Me'!$B$4,"Red",IF($H205-'[2]Read Me'!$B$4&lt;=21,"Amber","Green"))))</f>
        <v>Amber</v>
      </c>
      <c r="N205" s="3"/>
      <c r="O205" t="str">
        <f>IF($I205&lt;&gt;"Complete",IF(COUNTIFS($A$4:$A204,$A205,$B$4:$B204,$B205,$I$4:$I204,"&lt;&gt;Complete")=0,$A205&amp;"|"&amp;$B205,""),"")</f>
        <v>|</v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/>
      <c r="B206" s="2"/>
      <c r="C206" s="3"/>
      <c r="D206" s="3"/>
      <c r="E206" s="2"/>
      <c r="F206" s="2"/>
      <c r="G206" s="5"/>
      <c r="H206" s="5"/>
      <c r="I206" s="4"/>
      <c r="J206" s="6" t="str">
        <f t="shared" si="10"/>
        <v/>
      </c>
      <c r="K206" s="4" t="str">
        <f t="shared" ca="1" si="11"/>
        <v/>
      </c>
      <c r="L206" s="7" t="str">
        <f>IF($H206="","",$H206-'[2]Read Me'!$B$4)</f>
        <v/>
      </c>
      <c r="M206" s="4" t="str">
        <f>IF($I206="Complete","Green",IF($H206="","Amber",IF($H206&lt;'[2]Read Me'!$B$4,"Red",IF($H206-'[2]Read Me'!$B$4&lt;=21,"Amber","Green"))))</f>
        <v>Amber</v>
      </c>
      <c r="N206" s="3"/>
      <c r="O206" t="str">
        <f>IF($I206&lt;&gt;"Complete",IF(COUNTIFS($A$4:$A205,$A206,$B$4:$B205,$B206,$I$4:$I205,"&lt;&gt;Complete")=0,$A206&amp;"|"&amp;$B206,""),"")</f>
        <v>|</v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/>
      <c r="B207" s="2"/>
      <c r="C207" s="3"/>
      <c r="D207" s="3"/>
      <c r="E207" s="2"/>
      <c r="F207" s="2"/>
      <c r="G207" s="5"/>
      <c r="H207" s="5"/>
      <c r="I207" s="4"/>
      <c r="J207" s="6" t="str">
        <f t="shared" si="10"/>
        <v/>
      </c>
      <c r="K207" s="4" t="str">
        <f t="shared" ca="1" si="11"/>
        <v/>
      </c>
      <c r="L207" s="7" t="str">
        <f>IF($H207="","",$H207-'[2]Read Me'!$B$4)</f>
        <v/>
      </c>
      <c r="M207" s="4" t="str">
        <f>IF($I207="Complete","Green",IF($H207="","Amber",IF($H207&lt;'[2]Read Me'!$B$4,"Red",IF($H207-'[2]Read Me'!$B$4&lt;=21,"Amber","Green"))))</f>
        <v>Amber</v>
      </c>
      <c r="N207" s="3"/>
      <c r="O207" t="str">
        <f>IF($I207&lt;&gt;"Complete",IF(COUNTIFS($A$4:$A206,$A207,$B$4:$B206,$B207,$I$4:$I206,"&lt;&gt;Complete")=0,$A207&amp;"|"&amp;$B207,""),"")</f>
        <v>|</v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/>
      <c r="B208" s="2"/>
      <c r="C208" s="3"/>
      <c r="D208" s="3"/>
      <c r="E208" s="2"/>
      <c r="F208" s="2"/>
      <c r="G208" s="5"/>
      <c r="H208" s="5"/>
      <c r="I208" s="4"/>
      <c r="J208" s="6" t="str">
        <f t="shared" si="10"/>
        <v/>
      </c>
      <c r="K208" s="4" t="str">
        <f t="shared" ca="1" si="11"/>
        <v/>
      </c>
      <c r="L208" s="7" t="str">
        <f>IF($H208="","",$H208-'[2]Read Me'!$B$4)</f>
        <v/>
      </c>
      <c r="M208" s="4" t="str">
        <f>IF($I208="Complete","Green",IF($H208="","Amber",IF($H208&lt;'[2]Read Me'!$B$4,"Red",IF($H208-'[2]Read Me'!$B$4&lt;=21,"Amber","Green"))))</f>
        <v>Amber</v>
      </c>
      <c r="N208" s="3"/>
      <c r="O208" t="str">
        <f>IF($I208&lt;&gt;"Complete",IF(COUNTIFS($A$4:$A207,$A208,$B$4:$B207,$B208,$I$4:$I207,"&lt;&gt;Complete")=0,$A208&amp;"|"&amp;$B208,""),"")</f>
        <v>|</v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/>
      <c r="B209" s="2"/>
      <c r="C209" s="3"/>
      <c r="D209" s="3"/>
      <c r="E209" s="2"/>
      <c r="F209" s="2"/>
      <c r="G209" s="5"/>
      <c r="H209" s="5"/>
      <c r="I209" s="4"/>
      <c r="J209" s="6" t="str">
        <f t="shared" si="10"/>
        <v/>
      </c>
      <c r="K209" s="4" t="str">
        <f t="shared" ca="1" si="11"/>
        <v/>
      </c>
      <c r="L209" s="7" t="str">
        <f>IF($H209="","",$H209-'[2]Read Me'!$B$4)</f>
        <v/>
      </c>
      <c r="M209" s="4" t="str">
        <f>IF($I209="Complete","Green",IF($H209="","Amber",IF($H209&lt;'[2]Read Me'!$B$4,"Red",IF($H209-'[2]Read Me'!$B$4&lt;=21,"Amber","Green"))))</f>
        <v>Amber</v>
      </c>
      <c r="N209" s="3"/>
      <c r="O209" t="str">
        <f>IF($I209&lt;&gt;"Complete",IF(COUNTIFS($A$4:$A208,$A209,$B$4:$B208,$B209,$I$4:$I208,"&lt;&gt;Complete")=0,$A209&amp;"|"&amp;$B209,""),"")</f>
        <v>|</v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/>
      <c r="B210" s="2"/>
      <c r="C210" s="3"/>
      <c r="D210" s="3"/>
      <c r="E210" s="2"/>
      <c r="F210" s="2"/>
      <c r="G210" s="5"/>
      <c r="H210" s="5"/>
      <c r="I210" s="4"/>
      <c r="J210" s="6" t="str">
        <f t="shared" si="10"/>
        <v/>
      </c>
      <c r="K210" s="4" t="str">
        <f t="shared" ca="1" si="11"/>
        <v/>
      </c>
      <c r="L210" s="7" t="str">
        <f>IF($H210="","",$H210-'[2]Read Me'!$B$4)</f>
        <v/>
      </c>
      <c r="M210" s="4" t="str">
        <f>IF($I210="Complete","Green",IF($H210="","Amber",IF($H210&lt;'[2]Read Me'!$B$4,"Red",IF($H210-'[2]Read Me'!$B$4&lt;=21,"Amber","Green"))))</f>
        <v>Amber</v>
      </c>
      <c r="N210" s="3"/>
      <c r="O210" t="str">
        <f>IF($I210&lt;&gt;"Complete",IF(COUNTIFS($A$4:$A209,$A210,$B$4:$B209,$B210,$I$4:$I209,"&lt;&gt;Complete")=0,$A210&amp;"|"&amp;$B210,""),"")</f>
        <v>|</v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/>
      <c r="B211" s="2"/>
      <c r="C211" s="3"/>
      <c r="D211" s="3"/>
      <c r="E211" s="2"/>
      <c r="F211" s="2"/>
      <c r="G211" s="5"/>
      <c r="H211" s="5"/>
      <c r="I211" s="4"/>
      <c r="J211" s="6" t="str">
        <f t="shared" si="10"/>
        <v/>
      </c>
      <c r="K211" s="4" t="str">
        <f t="shared" ca="1" si="11"/>
        <v/>
      </c>
      <c r="L211" s="7" t="str">
        <f>IF($H211="","",$H211-'[2]Read Me'!$B$4)</f>
        <v/>
      </c>
      <c r="M211" s="4" t="str">
        <f>IF($I211="Complete","Green",IF($H211="","Amber",IF($H211&lt;'[2]Read Me'!$B$4,"Red",IF($H211-'[2]Read Me'!$B$4&lt;=21,"Amber","Green"))))</f>
        <v>Amber</v>
      </c>
      <c r="N211" s="3"/>
      <c r="O211" t="str">
        <f>IF($I211&lt;&gt;"Complete",IF(COUNTIFS($A$4:$A210,$A211,$B$4:$B210,$B211,$I$4:$I210,"&lt;&gt;Complete")=0,$A211&amp;"|"&amp;$B211,""),"")</f>
        <v>|</v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/>
      <c r="B212" s="2"/>
      <c r="C212" s="3"/>
      <c r="D212" s="3"/>
      <c r="E212" s="2"/>
      <c r="F212" s="2"/>
      <c r="G212" s="5"/>
      <c r="H212" s="5"/>
      <c r="I212" s="4"/>
      <c r="J212" s="6" t="str">
        <f t="shared" si="10"/>
        <v/>
      </c>
      <c r="K212" s="4" t="str">
        <f t="shared" ca="1" si="11"/>
        <v/>
      </c>
      <c r="L212" s="7" t="str">
        <f>IF($H212="","",$H212-'[2]Read Me'!$B$4)</f>
        <v/>
      </c>
      <c r="M212" s="4" t="str">
        <f>IF($I212="Complete","Green",IF($H212="","Amber",IF($H212&lt;'[2]Read Me'!$B$4,"Red",IF($H212-'[2]Read Me'!$B$4&lt;=21,"Amber","Green"))))</f>
        <v>Amber</v>
      </c>
      <c r="N212" s="3"/>
      <c r="O212" t="str">
        <f>IF($I212&lt;&gt;"Complete",IF(COUNTIFS($A$4:$A211,$A212,$B$4:$B211,$B212,$I$4:$I211,"&lt;&gt;Complete")=0,$A212&amp;"|"&amp;$B212,""),"")</f>
        <v>|</v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/>
      <c r="B213" s="2"/>
      <c r="C213" s="3"/>
      <c r="D213" s="3"/>
      <c r="E213" s="2"/>
      <c r="F213" s="2"/>
      <c r="G213" s="5"/>
      <c r="H213" s="5"/>
      <c r="I213" s="4"/>
      <c r="J213" s="6" t="str">
        <f t="shared" si="10"/>
        <v/>
      </c>
      <c r="K213" s="4" t="str">
        <f t="shared" ca="1" si="11"/>
        <v/>
      </c>
      <c r="L213" s="7" t="str">
        <f>IF($H213="","",$H213-'[2]Read Me'!$B$4)</f>
        <v/>
      </c>
      <c r="M213" s="4" t="str">
        <f>IF($I213="Complete","Green",IF($H213="","Amber",IF($H213&lt;'[2]Read Me'!$B$4,"Red",IF($H213-'[2]Read Me'!$B$4&lt;=21,"Amber","Green"))))</f>
        <v>Amber</v>
      </c>
      <c r="N213" s="3"/>
      <c r="O213" t="str">
        <f>IF($I213&lt;&gt;"Complete",IF(COUNTIFS($A$4:$A212,$A213,$B$4:$B212,$B213,$I$4:$I212,"&lt;&gt;Complete")=0,$A213&amp;"|"&amp;$B213,""),"")</f>
        <v>|</v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/>
      <c r="B214" s="2"/>
      <c r="C214" s="3"/>
      <c r="D214" s="3"/>
      <c r="E214" s="2"/>
      <c r="F214" s="2"/>
      <c r="G214" s="5"/>
      <c r="H214" s="5"/>
      <c r="I214" s="4"/>
      <c r="J214" s="6" t="str">
        <f t="shared" si="10"/>
        <v/>
      </c>
      <c r="K214" s="4" t="str">
        <f t="shared" ca="1" si="11"/>
        <v/>
      </c>
      <c r="L214" s="7" t="str">
        <f>IF($H214="","",$H214-'[2]Read Me'!$B$4)</f>
        <v/>
      </c>
      <c r="M214" s="4" t="str">
        <f>IF($I214="Complete","Green",IF($H214="","Amber",IF($H214&lt;'[2]Read Me'!$B$4,"Red",IF($H214-'[2]Read Me'!$B$4&lt;=21,"Amber","Green"))))</f>
        <v>Amber</v>
      </c>
      <c r="N214" s="3"/>
      <c r="O214" t="str">
        <f>IF($I214&lt;&gt;"Complete",IF(COUNTIFS($A$4:$A213,$A214,$B$4:$B213,$B214,$I$4:$I213,"&lt;&gt;Complete")=0,$A214&amp;"|"&amp;$B214,""),"")</f>
        <v>|</v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/>
      <c r="B215" s="2"/>
      <c r="C215" s="3"/>
      <c r="D215" s="3"/>
      <c r="E215" s="2"/>
      <c r="F215" s="2"/>
      <c r="G215" s="5"/>
      <c r="H215" s="5"/>
      <c r="I215" s="4"/>
      <c r="J215" s="6" t="str">
        <f t="shared" si="10"/>
        <v/>
      </c>
      <c r="K215" s="4" t="str">
        <f t="shared" ca="1" si="11"/>
        <v/>
      </c>
      <c r="L215" s="7" t="str">
        <f>IF($H215="","",$H215-'[2]Read Me'!$B$4)</f>
        <v/>
      </c>
      <c r="M215" s="4" t="str">
        <f>IF($I215="Complete","Green",IF($H215="","Amber",IF($H215&lt;'[2]Read Me'!$B$4,"Red",IF($H215-'[2]Read Me'!$B$4&lt;=21,"Amber","Green"))))</f>
        <v>Amber</v>
      </c>
      <c r="N215" s="3"/>
      <c r="O215" t="str">
        <f>IF($I215&lt;&gt;"Complete",IF(COUNTIFS($A$4:$A214,$A215,$B$4:$B214,$B215,$I$4:$I214,"&lt;&gt;Complete")=0,$A215&amp;"|"&amp;$B215,""),"")</f>
        <v>|</v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/>
      <c r="B216" s="2"/>
      <c r="C216" s="3"/>
      <c r="D216" s="3"/>
      <c r="E216" s="2"/>
      <c r="F216" s="2"/>
      <c r="G216" s="5"/>
      <c r="H216" s="5"/>
      <c r="I216" s="4"/>
      <c r="J216" s="6" t="str">
        <f t="shared" si="10"/>
        <v/>
      </c>
      <c r="K216" s="4" t="str">
        <f t="shared" ca="1" si="11"/>
        <v/>
      </c>
      <c r="L216" s="7" t="str">
        <f>IF($H216="","",$H216-'[2]Read Me'!$B$4)</f>
        <v/>
      </c>
      <c r="M216" s="4" t="str">
        <f>IF($I216="Complete","Green",IF($H216="","Amber",IF($H216&lt;'[2]Read Me'!$B$4,"Red",IF($H216-'[2]Read Me'!$B$4&lt;=21,"Amber","Green"))))</f>
        <v>Amber</v>
      </c>
      <c r="N216" s="3"/>
      <c r="O216" t="str">
        <f>IF($I216&lt;&gt;"Complete",IF(COUNTIFS($A$4:$A215,$A216,$B$4:$B215,$B216,$I$4:$I215,"&lt;&gt;Complete")=0,$A216&amp;"|"&amp;$B216,""),"")</f>
        <v>|</v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/>
      <c r="B217" s="2"/>
      <c r="C217" s="3"/>
      <c r="D217" s="3"/>
      <c r="E217" s="2"/>
      <c r="F217" s="2"/>
      <c r="G217" s="5"/>
      <c r="H217" s="5"/>
      <c r="I217" s="4"/>
      <c r="J217" s="6" t="str">
        <f t="shared" si="10"/>
        <v/>
      </c>
      <c r="K217" s="4" t="str">
        <f t="shared" ca="1" si="11"/>
        <v/>
      </c>
      <c r="L217" s="7" t="str">
        <f>IF($H217="","",$H217-'[2]Read Me'!$B$4)</f>
        <v/>
      </c>
      <c r="M217" s="4" t="str">
        <f>IF($I217="Complete","Green",IF($H217="","Amber",IF($H217&lt;'[2]Read Me'!$B$4,"Red",IF($H217-'[2]Read Me'!$B$4&lt;=21,"Amber","Green"))))</f>
        <v>Amber</v>
      </c>
      <c r="N217" s="3"/>
      <c r="O217" t="str">
        <f>IF($I217&lt;&gt;"Complete",IF(COUNTIFS($A$4:$A216,$A217,$B$4:$B216,$B217,$I$4:$I216,"&lt;&gt;Complete")=0,$A217&amp;"|"&amp;$B217,""),"")</f>
        <v>|</v>
      </c>
      <c r="P217" t="str">
        <f ca="1">IF($K217="Yes",COUNTIFS($K$4:$K217,"Yes"),"")</f>
        <v/>
      </c>
      <c r="Q217">
        <f t="shared" ca="1" si="12"/>
        <v>0</v>
      </c>
      <c r="R217" t="str">
        <f ca="1">IF($Q217=1,SUM($Q$4:$Q217),"")</f>
        <v/>
      </c>
    </row>
    <row r="218" spans="1:18" ht="22.5" customHeight="1" x14ac:dyDescent="0.3">
      <c r="A218" s="2"/>
      <c r="B218" s="2"/>
      <c r="C218" s="3"/>
      <c r="D218" s="3"/>
      <c r="E218" s="2"/>
      <c r="F218" s="2"/>
      <c r="G218" s="5"/>
      <c r="H218" s="5"/>
      <c r="I218" s="4"/>
      <c r="J218" s="6" t="str">
        <f t="shared" si="10"/>
        <v/>
      </c>
      <c r="K218" s="4" t="str">
        <f t="shared" ca="1" si="11"/>
        <v/>
      </c>
      <c r="L218" s="7" t="str">
        <f>IF($H218="","",$H218-'[2]Read Me'!$B$4)</f>
        <v/>
      </c>
      <c r="M218" s="4" t="str">
        <f>IF($I218="Complete","Green",IF($H218="","Amber",IF($H218&lt;'[2]Read Me'!$B$4,"Red",IF($H218-'[2]Read Me'!$B$4&lt;=21,"Amber","Green"))))</f>
        <v>Amber</v>
      </c>
      <c r="N218" s="3"/>
      <c r="O218" t="str">
        <f>IF($I218&lt;&gt;"Complete",IF(COUNTIFS($A$4:$A217,$A218,$B$4:$B217,$B218,$I$4:$I217,"&lt;&gt;Complete")=0,$A218&amp;"|"&amp;$B218,""),"")</f>
        <v>|</v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/>
      <c r="B219" s="2"/>
      <c r="C219" s="3"/>
      <c r="D219" s="3"/>
      <c r="E219" s="2"/>
      <c r="F219" s="2"/>
      <c r="G219" s="5"/>
      <c r="H219" s="5"/>
      <c r="I219" s="4"/>
      <c r="J219" s="6" t="str">
        <f t="shared" si="10"/>
        <v/>
      </c>
      <c r="K219" s="4" t="str">
        <f t="shared" ca="1" si="11"/>
        <v/>
      </c>
      <c r="L219" s="7" t="str">
        <f>IF($H219="","",$H219-'[2]Read Me'!$B$4)</f>
        <v/>
      </c>
      <c r="M219" s="4" t="str">
        <f>IF($I219="Complete","Green",IF($H219="","Amber",IF($H219&lt;'[2]Read Me'!$B$4,"Red",IF($H219-'[2]Read Me'!$B$4&lt;=21,"Amber","Green"))))</f>
        <v>Amber</v>
      </c>
      <c r="N219" s="3"/>
      <c r="O219" t="str">
        <f>IF($I219&lt;&gt;"Complete",IF(COUNTIFS($A$4:$A218,$A219,$B$4:$B218,$B219,$I$4:$I218,"&lt;&gt;Complete")=0,$A219&amp;"|"&amp;$B219,""),"")</f>
        <v>|</v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/>
      <c r="B220" s="2"/>
      <c r="C220" s="3"/>
      <c r="D220" s="3"/>
      <c r="E220" s="2"/>
      <c r="F220" s="2"/>
      <c r="G220" s="5"/>
      <c r="H220" s="5"/>
      <c r="I220" s="4"/>
      <c r="J220" s="6" t="str">
        <f t="shared" si="10"/>
        <v/>
      </c>
      <c r="K220" s="4" t="str">
        <f t="shared" ca="1" si="11"/>
        <v/>
      </c>
      <c r="L220" s="7" t="str">
        <f>IF($H220="","",$H220-'[2]Read Me'!$B$4)</f>
        <v/>
      </c>
      <c r="M220" s="4" t="str">
        <f>IF($I220="Complete","Green",IF($H220="","Amber",IF($H220&lt;'[2]Read Me'!$B$4,"Red",IF($H220-'[2]Read Me'!$B$4&lt;=21,"Amber","Green"))))</f>
        <v>Amber</v>
      </c>
      <c r="N220" s="3"/>
      <c r="O220" t="str">
        <f>IF($I220&lt;&gt;"Complete",IF(COUNTIFS($A$4:$A219,$A220,$B$4:$B219,$B220,$I$4:$I219,"&lt;&gt;Complete")=0,$A220&amp;"|"&amp;$B220,""),"")</f>
        <v>|</v>
      </c>
      <c r="P220" t="str">
        <f ca="1">IF($K220="Yes",COUNTIFS($K$4:$K220,"Yes"),"")</f>
        <v/>
      </c>
      <c r="Q220">
        <f t="shared" ca="1" si="12"/>
        <v>0</v>
      </c>
      <c r="R220" t="str">
        <f ca="1">IF($Q220=1,SUM($Q$4:$Q220),"")</f>
        <v/>
      </c>
    </row>
    <row r="221" spans="1:18" ht="22.5" customHeight="1" x14ac:dyDescent="0.3">
      <c r="A221" s="2"/>
      <c r="B221" s="2"/>
      <c r="C221" s="3"/>
      <c r="D221" s="3"/>
      <c r="E221" s="2"/>
      <c r="F221" s="2"/>
      <c r="G221" s="5"/>
      <c r="H221" s="5"/>
      <c r="I221" s="4"/>
      <c r="J221" s="6" t="str">
        <f t="shared" si="10"/>
        <v/>
      </c>
      <c r="K221" s="4" t="str">
        <f t="shared" ca="1" si="11"/>
        <v/>
      </c>
      <c r="L221" s="7" t="str">
        <f>IF($H221="","",$H221-'[2]Read Me'!$B$4)</f>
        <v/>
      </c>
      <c r="M221" s="4" t="str">
        <f>IF($I221="Complete","Green",IF($H221="","Amber",IF($H221&lt;'[2]Read Me'!$B$4,"Red",IF($H221-'[2]Read Me'!$B$4&lt;=21,"Amber","Green"))))</f>
        <v>Amber</v>
      </c>
      <c r="N221" s="3"/>
      <c r="O221" t="str">
        <f>IF($I221&lt;&gt;"Complete",IF(COUNTIFS($A$4:$A220,$A221,$B$4:$B220,$B221,$I$4:$I220,"&lt;&gt;Complete")=0,$A221&amp;"|"&amp;$B221,""),"")</f>
        <v>|</v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/>
      <c r="B222" s="2"/>
      <c r="C222" s="3"/>
      <c r="D222" s="3"/>
      <c r="E222" s="2"/>
      <c r="F222" s="2"/>
      <c r="G222" s="5"/>
      <c r="H222" s="5"/>
      <c r="I222" s="4"/>
      <c r="J222" s="6" t="str">
        <f t="shared" si="10"/>
        <v/>
      </c>
      <c r="K222" s="4" t="str">
        <f t="shared" ca="1" si="11"/>
        <v/>
      </c>
      <c r="L222" s="7" t="str">
        <f>IF($H222="","",$H222-'[2]Read Me'!$B$4)</f>
        <v/>
      </c>
      <c r="M222" s="4" t="str">
        <f>IF($I222="Complete","Green",IF($H222="","Amber",IF($H222&lt;'[2]Read Me'!$B$4,"Red",IF($H222-'[2]Read Me'!$B$4&lt;=21,"Amber","Green"))))</f>
        <v>Amber</v>
      </c>
      <c r="N222" s="3"/>
      <c r="O222" t="str">
        <f>IF($I222&lt;&gt;"Complete",IF(COUNTIFS($A$4:$A221,$A222,$B$4:$B221,$B222,$I$4:$I221,"&lt;&gt;Complete")=0,$A222&amp;"|"&amp;$B222,""),"")</f>
        <v>|</v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/>
      <c r="B223" s="2"/>
      <c r="C223" s="3"/>
      <c r="D223" s="3"/>
      <c r="E223" s="2"/>
      <c r="F223" s="2"/>
      <c r="G223" s="5"/>
      <c r="H223" s="5"/>
      <c r="I223" s="4"/>
      <c r="J223" s="6" t="str">
        <f t="shared" si="10"/>
        <v/>
      </c>
      <c r="K223" s="4" t="str">
        <f t="shared" ca="1" si="11"/>
        <v/>
      </c>
      <c r="L223" s="7" t="str">
        <f>IF($H223="","",$H223-'[2]Read Me'!$B$4)</f>
        <v/>
      </c>
      <c r="M223" s="4" t="str">
        <f>IF($I223="Complete","Green",IF($H223="","Amber",IF($H223&lt;'[2]Read Me'!$B$4,"Red",IF($H223-'[2]Read Me'!$B$4&lt;=21,"Amber","Green"))))</f>
        <v>Amber</v>
      </c>
      <c r="N223" s="3"/>
      <c r="O223" t="str">
        <f>IF($I223&lt;&gt;"Complete",IF(COUNTIFS($A$4:$A222,$A223,$B$4:$B222,$B223,$I$4:$I222,"&lt;&gt;Complete")=0,$A223&amp;"|"&amp;$B223,""),"")</f>
        <v>|</v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/>
      <c r="B224" s="2"/>
      <c r="C224" s="3"/>
      <c r="D224" s="3"/>
      <c r="E224" s="2"/>
      <c r="F224" s="2"/>
      <c r="G224" s="5"/>
      <c r="H224" s="5"/>
      <c r="I224" s="4"/>
      <c r="J224" s="6" t="str">
        <f t="shared" si="10"/>
        <v/>
      </c>
      <c r="K224" s="4" t="str">
        <f t="shared" ca="1" si="11"/>
        <v/>
      </c>
      <c r="L224" s="7" t="str">
        <f>IF($H224="","",$H224-'[2]Read Me'!$B$4)</f>
        <v/>
      </c>
      <c r="M224" s="4" t="str">
        <f>IF($I224="Complete","Green",IF($H224="","Amber",IF($H224&lt;'[2]Read Me'!$B$4,"Red",IF($H224-'[2]Read Me'!$B$4&lt;=21,"Amber","Green"))))</f>
        <v>Amber</v>
      </c>
      <c r="N224" s="3"/>
      <c r="O224" t="str">
        <f>IF($I224&lt;&gt;"Complete",IF(COUNTIFS($A$4:$A223,$A224,$B$4:$B223,$B224,$I$4:$I223,"&lt;&gt;Complete")=0,$A224&amp;"|"&amp;$B224,""),"")</f>
        <v>|</v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/>
      <c r="B225" s="2"/>
      <c r="C225" s="3"/>
      <c r="D225" s="3"/>
      <c r="E225" s="2"/>
      <c r="F225" s="2"/>
      <c r="G225" s="5"/>
      <c r="H225" s="5"/>
      <c r="I225" s="4"/>
      <c r="J225" s="6" t="str">
        <f t="shared" si="10"/>
        <v/>
      </c>
      <c r="K225" s="4" t="str">
        <f t="shared" ca="1" si="11"/>
        <v/>
      </c>
      <c r="L225" s="7" t="str">
        <f>IF($H225="","",$H225-'[2]Read Me'!$B$4)</f>
        <v/>
      </c>
      <c r="M225" s="4" t="str">
        <f>IF($I225="Complete","Green",IF($H225="","Amber",IF($H225&lt;'[2]Read Me'!$B$4,"Red",IF($H225-'[2]Read Me'!$B$4&lt;=21,"Amber","Green"))))</f>
        <v>Amber</v>
      </c>
      <c r="N225" s="3"/>
      <c r="O225" t="str">
        <f>IF($I225&lt;&gt;"Complete",IF(COUNTIFS($A$4:$A224,$A225,$B$4:$B224,$B225,$I$4:$I224,"&lt;&gt;Complete")=0,$A225&amp;"|"&amp;$B225,""),"")</f>
        <v>|</v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/>
      <c r="B226" s="2"/>
      <c r="C226" s="3"/>
      <c r="D226" s="3"/>
      <c r="E226" s="2"/>
      <c r="F226" s="2"/>
      <c r="G226" s="5"/>
      <c r="H226" s="5"/>
      <c r="I226" s="4"/>
      <c r="J226" s="6" t="str">
        <f t="shared" si="10"/>
        <v/>
      </c>
      <c r="K226" s="4" t="str">
        <f t="shared" ca="1" si="11"/>
        <v/>
      </c>
      <c r="L226" s="7" t="str">
        <f>IF($H226="","",$H226-'[2]Read Me'!$B$4)</f>
        <v/>
      </c>
      <c r="M226" s="4" t="str">
        <f>IF($I226="Complete","Green",IF($H226="","Amber",IF($H226&lt;'[2]Read Me'!$B$4,"Red",IF($H226-'[2]Read Me'!$B$4&lt;=21,"Amber","Green"))))</f>
        <v>Amber</v>
      </c>
      <c r="N226" s="3"/>
      <c r="O226" t="str">
        <f>IF($I226&lt;&gt;"Complete",IF(COUNTIFS($A$4:$A225,$A226,$B$4:$B225,$B226,$I$4:$I225,"&lt;&gt;Complete")=0,$A226&amp;"|"&amp;$B226,""),"")</f>
        <v>|</v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/>
      <c r="B227" s="2"/>
      <c r="C227" s="3"/>
      <c r="D227" s="3"/>
      <c r="E227" s="2"/>
      <c r="F227" s="2"/>
      <c r="G227" s="5"/>
      <c r="H227" s="5"/>
      <c r="I227" s="4"/>
      <c r="J227" s="6" t="str">
        <f t="shared" si="10"/>
        <v/>
      </c>
      <c r="K227" s="4" t="str">
        <f t="shared" ca="1" si="11"/>
        <v/>
      </c>
      <c r="L227" s="7" t="str">
        <f>IF($H227="","",$H227-'[2]Read Me'!$B$4)</f>
        <v/>
      </c>
      <c r="M227" s="4" t="str">
        <f>IF($I227="Complete","Green",IF($H227="","Amber",IF($H227&lt;'[2]Read Me'!$B$4,"Red",IF($H227-'[2]Read Me'!$B$4&lt;=21,"Amber","Green"))))</f>
        <v>Amber</v>
      </c>
      <c r="N227" s="3"/>
      <c r="O227" t="str">
        <f>IF($I227&lt;&gt;"Complete",IF(COUNTIFS($A$4:$A226,$A227,$B$4:$B226,$B227,$I$4:$I226,"&lt;&gt;Complete")=0,$A227&amp;"|"&amp;$B227,""),"")</f>
        <v>|</v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/>
      <c r="B228" s="2"/>
      <c r="C228" s="3"/>
      <c r="D228" s="3"/>
      <c r="E228" s="2"/>
      <c r="F228" s="2"/>
      <c r="G228" s="5"/>
      <c r="H228" s="5"/>
      <c r="I228" s="4"/>
      <c r="J228" s="6" t="str">
        <f t="shared" si="10"/>
        <v/>
      </c>
      <c r="K228" s="4" t="str">
        <f t="shared" ca="1" si="11"/>
        <v/>
      </c>
      <c r="L228" s="7" t="str">
        <f>IF($H228="","",$H228-'[2]Read Me'!$B$4)</f>
        <v/>
      </c>
      <c r="M228" s="4" t="str">
        <f>IF($I228="Complete","Green",IF($H228="","Amber",IF($H228&lt;'[2]Read Me'!$B$4,"Red",IF($H228-'[2]Read Me'!$B$4&lt;=21,"Amber","Green"))))</f>
        <v>Amber</v>
      </c>
      <c r="N228" s="3"/>
      <c r="O228" t="str">
        <f>IF($I228&lt;&gt;"Complete",IF(COUNTIFS($A$4:$A227,$A228,$B$4:$B227,$B228,$I$4:$I227,"&lt;&gt;Complete")=0,$A228&amp;"|"&amp;$B228,""),"")</f>
        <v>|</v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/>
      <c r="B229" s="2"/>
      <c r="C229" s="3"/>
      <c r="D229" s="3"/>
      <c r="E229" s="2"/>
      <c r="F229" s="2"/>
      <c r="G229" s="5"/>
      <c r="H229" s="5"/>
      <c r="I229" s="4"/>
      <c r="J229" s="6" t="str">
        <f t="shared" si="10"/>
        <v/>
      </c>
      <c r="K229" s="4" t="str">
        <f t="shared" ca="1" si="11"/>
        <v/>
      </c>
      <c r="L229" s="7" t="str">
        <f>IF($H229="","",$H229-'[2]Read Me'!$B$4)</f>
        <v/>
      </c>
      <c r="M229" s="4" t="str">
        <f>IF($I229="Complete","Green",IF($H229="","Amber",IF($H229&lt;'[2]Read Me'!$B$4,"Red",IF($H229-'[2]Read Me'!$B$4&lt;=21,"Amber","Green"))))</f>
        <v>Amber</v>
      </c>
      <c r="N229" s="3"/>
      <c r="O229" t="str">
        <f>IF($I229&lt;&gt;"Complete",IF(COUNTIFS($A$4:$A228,$A229,$B$4:$B228,$B229,$I$4:$I228,"&lt;&gt;Complete")=0,$A229&amp;"|"&amp;$B229,""),"")</f>
        <v>|</v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/>
      <c r="B230" s="2"/>
      <c r="C230" s="3"/>
      <c r="D230" s="3"/>
      <c r="E230" s="2"/>
      <c r="F230" s="2"/>
      <c r="G230" s="5"/>
      <c r="H230" s="5"/>
      <c r="I230" s="4"/>
      <c r="J230" s="6" t="str">
        <f t="shared" si="10"/>
        <v/>
      </c>
      <c r="K230" s="4" t="str">
        <f t="shared" ca="1" si="11"/>
        <v/>
      </c>
      <c r="L230" s="7" t="str">
        <f>IF($H230="","",$H230-'[2]Read Me'!$B$4)</f>
        <v/>
      </c>
      <c r="M230" s="4" t="str">
        <f>IF($I230="Complete","Green",IF($H230="","Amber",IF($H230&lt;'[2]Read Me'!$B$4,"Red",IF($H230-'[2]Read Me'!$B$4&lt;=21,"Amber","Green"))))</f>
        <v>Amber</v>
      </c>
      <c r="N230" s="3"/>
      <c r="O230" t="str">
        <f>IF($I230&lt;&gt;"Complete",IF(COUNTIFS($A$4:$A229,$A230,$B$4:$B229,$B230,$I$4:$I229,"&lt;&gt;Complete")=0,$A230&amp;"|"&amp;$B230,""),"")</f>
        <v>|</v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/>
      <c r="B231" s="2"/>
      <c r="C231" s="3"/>
      <c r="D231" s="3"/>
      <c r="E231" s="2"/>
      <c r="F231" s="2"/>
      <c r="G231" s="5"/>
      <c r="H231" s="5"/>
      <c r="I231" s="4"/>
      <c r="J231" s="6" t="str">
        <f t="shared" si="10"/>
        <v/>
      </c>
      <c r="K231" s="4" t="str">
        <f t="shared" ca="1" si="11"/>
        <v/>
      </c>
      <c r="L231" s="7" t="str">
        <f>IF($H231="","",$H231-'[2]Read Me'!$B$4)</f>
        <v/>
      </c>
      <c r="M231" s="4" t="str">
        <f>IF($I231="Complete","Green",IF($H231="","Amber",IF($H231&lt;'[2]Read Me'!$B$4,"Red",IF($H231-'[2]Read Me'!$B$4&lt;=21,"Amber","Green"))))</f>
        <v>Amber</v>
      </c>
      <c r="N231" s="3"/>
      <c r="O231" t="str">
        <f>IF($I231&lt;&gt;"Complete",IF(COUNTIFS($A$4:$A230,$A231,$B$4:$B230,$B231,$I$4:$I230,"&lt;&gt;Complete")=0,$A231&amp;"|"&amp;$B231,""),"")</f>
        <v>|</v>
      </c>
      <c r="P231" t="str">
        <f ca="1">IF($K231="Yes",COUNTIFS($K$4:$K231,"Yes"),"")</f>
        <v/>
      </c>
      <c r="Q231">
        <f t="shared" ca="1" si="12"/>
        <v>0</v>
      </c>
      <c r="R231" t="str">
        <f ca="1">IF($Q231=1,SUM($Q$4:$Q231),"")</f>
        <v/>
      </c>
    </row>
    <row r="232" spans="1:18" ht="22.5" customHeight="1" x14ac:dyDescent="0.3">
      <c r="A232" s="2"/>
      <c r="B232" s="2"/>
      <c r="C232" s="3"/>
      <c r="D232" s="3"/>
      <c r="E232" s="2"/>
      <c r="F232" s="2"/>
      <c r="G232" s="5"/>
      <c r="H232" s="5"/>
      <c r="I232" s="4"/>
      <c r="J232" s="6" t="str">
        <f t="shared" si="10"/>
        <v/>
      </c>
      <c r="K232" s="4" t="str">
        <f t="shared" ca="1" si="11"/>
        <v/>
      </c>
      <c r="L232" s="7" t="str">
        <f>IF($H232="","",$H232-'[2]Read Me'!$B$4)</f>
        <v/>
      </c>
      <c r="M232" s="4" t="str">
        <f>IF($I232="Complete","Green",IF($H232="","Amber",IF($H232&lt;'[2]Read Me'!$B$4,"Red",IF($H232-'[2]Read Me'!$B$4&lt;=21,"Amber","Green"))))</f>
        <v>Amber</v>
      </c>
      <c r="N232" s="3"/>
      <c r="O232" t="str">
        <f>IF($I232&lt;&gt;"Complete",IF(COUNTIFS($A$4:$A231,$A232,$B$4:$B231,$B232,$I$4:$I231,"&lt;&gt;Complete")=0,$A232&amp;"|"&amp;$B232,""),"")</f>
        <v>|</v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/>
      <c r="B233" s="2"/>
      <c r="C233" s="3"/>
      <c r="D233" s="3"/>
      <c r="E233" s="2"/>
      <c r="F233" s="2"/>
      <c r="G233" s="5"/>
      <c r="H233" s="5"/>
      <c r="I233" s="4"/>
      <c r="J233" s="6" t="str">
        <f t="shared" si="10"/>
        <v/>
      </c>
      <c r="K233" s="4" t="str">
        <f t="shared" ca="1" si="11"/>
        <v/>
      </c>
      <c r="L233" s="7" t="str">
        <f>IF($H233="","",$H233-'[2]Read Me'!$B$4)</f>
        <v/>
      </c>
      <c r="M233" s="4" t="str">
        <f>IF($I233="Complete","Green",IF($H233="","Amber",IF($H233&lt;'[2]Read Me'!$B$4,"Red",IF($H233-'[2]Read Me'!$B$4&lt;=21,"Amber","Green"))))</f>
        <v>Amber</v>
      </c>
      <c r="N233" s="3"/>
      <c r="O233" t="str">
        <f>IF($I233&lt;&gt;"Complete",IF(COUNTIFS($A$4:$A232,$A233,$B$4:$B232,$B233,$I$4:$I232,"&lt;&gt;Complete")=0,$A233&amp;"|"&amp;$B233,""),"")</f>
        <v>|</v>
      </c>
      <c r="P233" t="str">
        <f ca="1">IF($K233="Yes",COUNTIFS($K$4:$K233,"Yes"),"")</f>
        <v/>
      </c>
      <c r="Q233">
        <f t="shared" ca="1" si="12"/>
        <v>0</v>
      </c>
      <c r="R233" t="str">
        <f ca="1">IF($Q233=1,SUM($Q$4:$Q233),"")</f>
        <v/>
      </c>
    </row>
    <row r="234" spans="1:18" ht="22.5" customHeight="1" x14ac:dyDescent="0.3">
      <c r="A234" s="2"/>
      <c r="B234" s="2"/>
      <c r="C234" s="3"/>
      <c r="D234" s="3"/>
      <c r="E234" s="2"/>
      <c r="F234" s="2"/>
      <c r="G234" s="5"/>
      <c r="H234" s="5"/>
      <c r="I234" s="4"/>
      <c r="J234" s="6" t="str">
        <f t="shared" si="10"/>
        <v/>
      </c>
      <c r="K234" s="4" t="str">
        <f t="shared" ca="1" si="11"/>
        <v/>
      </c>
      <c r="L234" s="7" t="str">
        <f>IF($H234="","",$H234-'[2]Read Me'!$B$4)</f>
        <v/>
      </c>
      <c r="M234" s="4" t="str">
        <f>IF($I234="Complete","Green",IF($H234="","Amber",IF($H234&lt;'[2]Read Me'!$B$4,"Red",IF($H234-'[2]Read Me'!$B$4&lt;=21,"Amber","Green"))))</f>
        <v>Amber</v>
      </c>
      <c r="N234" s="3"/>
      <c r="O234" t="str">
        <f>IF($I234&lt;&gt;"Complete",IF(COUNTIFS($A$4:$A233,$A234,$B$4:$B233,$B234,$I$4:$I233,"&lt;&gt;Complete")=0,$A234&amp;"|"&amp;$B234,""),"")</f>
        <v>|</v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/>
      <c r="B235" s="2"/>
      <c r="C235" s="3"/>
      <c r="D235" s="3"/>
      <c r="E235" s="2"/>
      <c r="F235" s="2"/>
      <c r="G235" s="5"/>
      <c r="H235" s="5"/>
      <c r="I235" s="4"/>
      <c r="J235" s="6" t="str">
        <f t="shared" si="10"/>
        <v/>
      </c>
      <c r="K235" s="4" t="str">
        <f t="shared" ca="1" si="11"/>
        <v/>
      </c>
      <c r="L235" s="7" t="str">
        <f>IF($H235="","",$H235-'[2]Read Me'!$B$4)</f>
        <v/>
      </c>
      <c r="M235" s="4" t="str">
        <f>IF($I235="Complete","Green",IF($H235="","Amber",IF($H235&lt;'[2]Read Me'!$B$4,"Red",IF($H235-'[2]Read Me'!$B$4&lt;=21,"Amber","Green"))))</f>
        <v>Amber</v>
      </c>
      <c r="N235" s="3"/>
      <c r="O235" t="str">
        <f>IF($I235&lt;&gt;"Complete",IF(COUNTIFS($A$4:$A234,$A235,$B$4:$B234,$B235,$I$4:$I234,"&lt;&gt;Complete")=0,$A235&amp;"|"&amp;$B235,""),"")</f>
        <v>|</v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/>
      <c r="B236" s="2"/>
      <c r="C236" s="3"/>
      <c r="D236" s="3"/>
      <c r="E236" s="2"/>
      <c r="F236" s="2"/>
      <c r="G236" s="5"/>
      <c r="H236" s="5"/>
      <c r="I236" s="4"/>
      <c r="J236" s="6" t="str">
        <f t="shared" si="10"/>
        <v/>
      </c>
      <c r="K236" s="4" t="str">
        <f t="shared" ca="1" si="11"/>
        <v/>
      </c>
      <c r="L236" s="7" t="str">
        <f>IF($H236="","",$H236-'[2]Read Me'!$B$4)</f>
        <v/>
      </c>
      <c r="M236" s="4" t="str">
        <f>IF($I236="Complete","Green",IF($H236="","Amber",IF($H236&lt;'[2]Read Me'!$B$4,"Red",IF($H236-'[2]Read Me'!$B$4&lt;=21,"Amber","Green"))))</f>
        <v>Amber</v>
      </c>
      <c r="N236" s="3"/>
      <c r="O236" t="str">
        <f>IF($I236&lt;&gt;"Complete",IF(COUNTIFS($A$4:$A235,$A236,$B$4:$B235,$B236,$I$4:$I235,"&lt;&gt;Complete")=0,$A236&amp;"|"&amp;$B236,""),"")</f>
        <v>|</v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/>
      <c r="B237" s="2"/>
      <c r="C237" s="3"/>
      <c r="D237" s="3"/>
      <c r="E237" s="2"/>
      <c r="F237" s="2"/>
      <c r="G237" s="5"/>
      <c r="H237" s="5"/>
      <c r="I237" s="4"/>
      <c r="J237" s="6" t="str">
        <f t="shared" si="10"/>
        <v/>
      </c>
      <c r="K237" s="4" t="str">
        <f t="shared" ca="1" si="11"/>
        <v/>
      </c>
      <c r="L237" s="7" t="str">
        <f>IF($H237="","",$H237-'[2]Read Me'!$B$4)</f>
        <v/>
      </c>
      <c r="M237" s="4" t="str">
        <f>IF($I237="Complete","Green",IF($H237="","Amber",IF($H237&lt;'[2]Read Me'!$B$4,"Red",IF($H237-'[2]Read Me'!$B$4&lt;=21,"Amber","Green"))))</f>
        <v>Amber</v>
      </c>
      <c r="N237" s="3"/>
      <c r="O237" t="str">
        <f>IF($I237&lt;&gt;"Complete",IF(COUNTIFS($A$4:$A236,$A237,$B$4:$B236,$B237,$I$4:$I236,"&lt;&gt;Complete")=0,$A237&amp;"|"&amp;$B237,""),"")</f>
        <v>|</v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/>
      <c r="B238" s="2"/>
      <c r="C238" s="3"/>
      <c r="D238" s="3"/>
      <c r="E238" s="2"/>
      <c r="F238" s="2"/>
      <c r="G238" s="5"/>
      <c r="H238" s="5"/>
      <c r="I238" s="4"/>
      <c r="J238" s="6" t="str">
        <f t="shared" si="10"/>
        <v/>
      </c>
      <c r="K238" s="4" t="str">
        <f t="shared" ca="1" si="11"/>
        <v/>
      </c>
      <c r="L238" s="7" t="str">
        <f>IF($H238="","",$H238-'[2]Read Me'!$B$4)</f>
        <v/>
      </c>
      <c r="M238" s="4" t="str">
        <f>IF($I238="Complete","Green",IF($H238="","Amber",IF($H238&lt;'[2]Read Me'!$B$4,"Red",IF($H238-'[2]Read Me'!$B$4&lt;=21,"Amber","Green"))))</f>
        <v>Amber</v>
      </c>
      <c r="N238" s="3"/>
      <c r="O238" t="str">
        <f>IF($I238&lt;&gt;"Complete",IF(COUNTIFS($A$4:$A237,$A238,$B$4:$B237,$B238,$I$4:$I237,"&lt;&gt;Complete")=0,$A238&amp;"|"&amp;$B238,""),"")</f>
        <v>|</v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/>
      <c r="B239" s="2"/>
      <c r="C239" s="3"/>
      <c r="D239" s="3"/>
      <c r="E239" s="2"/>
      <c r="F239" s="2"/>
      <c r="G239" s="5"/>
      <c r="H239" s="5"/>
      <c r="I239" s="4"/>
      <c r="J239" s="6" t="str">
        <f t="shared" si="10"/>
        <v/>
      </c>
      <c r="K239" s="4" t="str">
        <f t="shared" ca="1" si="11"/>
        <v/>
      </c>
      <c r="L239" s="7" t="str">
        <f>IF($H239="","",$H239-'[2]Read Me'!$B$4)</f>
        <v/>
      </c>
      <c r="M239" s="4" t="str">
        <f>IF($I239="Complete","Green",IF($H239="","Amber",IF($H239&lt;'[2]Read Me'!$B$4,"Red",IF($H239-'[2]Read Me'!$B$4&lt;=21,"Amber","Green"))))</f>
        <v>Amber</v>
      </c>
      <c r="N239" s="3"/>
      <c r="O239" t="str">
        <f>IF($I239&lt;&gt;"Complete",IF(COUNTIFS($A$4:$A238,$A239,$B$4:$B238,$B239,$I$4:$I238,"&lt;&gt;Complete")=0,$A239&amp;"|"&amp;$B239,""),"")</f>
        <v>|</v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/>
      <c r="B240" s="2"/>
      <c r="C240" s="3"/>
      <c r="D240" s="3"/>
      <c r="E240" s="2"/>
      <c r="F240" s="2"/>
      <c r="G240" s="5"/>
      <c r="H240" s="5"/>
      <c r="I240" s="4"/>
      <c r="J240" s="6" t="str">
        <f t="shared" si="10"/>
        <v/>
      </c>
      <c r="K240" s="4" t="str">
        <f t="shared" ca="1" si="11"/>
        <v/>
      </c>
      <c r="L240" s="7" t="str">
        <f>IF($H240="","",$H240-'[2]Read Me'!$B$4)</f>
        <v/>
      </c>
      <c r="M240" s="4" t="str">
        <f>IF($I240="Complete","Green",IF($H240="","Amber",IF($H240&lt;'[2]Read Me'!$B$4,"Red",IF($H240-'[2]Read Me'!$B$4&lt;=21,"Amber","Green"))))</f>
        <v>Amber</v>
      </c>
      <c r="N240" s="3"/>
      <c r="O240" t="str">
        <f>IF($I240&lt;&gt;"Complete",IF(COUNTIFS($A$4:$A239,$A240,$B$4:$B239,$B240,$I$4:$I239,"&lt;&gt;Complete")=0,$A240&amp;"|"&amp;$B240,""),"")</f>
        <v>|</v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/>
      <c r="B241" s="2"/>
      <c r="C241" s="3"/>
      <c r="D241" s="3"/>
      <c r="E241" s="2"/>
      <c r="F241" s="2"/>
      <c r="G241" s="5"/>
      <c r="H241" s="5"/>
      <c r="I241" s="4"/>
      <c r="J241" s="6" t="str">
        <f t="shared" si="10"/>
        <v/>
      </c>
      <c r="K241" s="4" t="str">
        <f t="shared" ca="1" si="11"/>
        <v/>
      </c>
      <c r="L241" s="7" t="str">
        <f>IF($H241="","",$H241-'[2]Read Me'!$B$4)</f>
        <v/>
      </c>
      <c r="M241" s="4" t="str">
        <f>IF($I241="Complete","Green",IF($H241="","Amber",IF($H241&lt;'[2]Read Me'!$B$4,"Red",IF($H241-'[2]Read Me'!$B$4&lt;=21,"Amber","Green"))))</f>
        <v>Amber</v>
      </c>
      <c r="N241" s="3"/>
      <c r="O241" t="str">
        <f>IF($I241&lt;&gt;"Complete",IF(COUNTIFS($A$4:$A240,$A241,$B$4:$B240,$B241,$I$4:$I240,"&lt;&gt;Complete")=0,$A241&amp;"|"&amp;$B241,""),"")</f>
        <v>|</v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/>
      <c r="B242" s="2"/>
      <c r="C242" s="3"/>
      <c r="D242" s="3"/>
      <c r="E242" s="2"/>
      <c r="F242" s="2"/>
      <c r="G242" s="5"/>
      <c r="H242" s="5"/>
      <c r="I242" s="4"/>
      <c r="J242" s="6" t="str">
        <f t="shared" si="10"/>
        <v/>
      </c>
      <c r="K242" s="4" t="str">
        <f t="shared" ca="1" si="11"/>
        <v/>
      </c>
      <c r="L242" s="7" t="str">
        <f>IF($H242="","",$H242-'[2]Read Me'!$B$4)</f>
        <v/>
      </c>
      <c r="M242" s="4" t="str">
        <f>IF($I242="Complete","Green",IF($H242="","Amber",IF($H242&lt;'[2]Read Me'!$B$4,"Red",IF($H242-'[2]Read Me'!$B$4&lt;=21,"Amber","Green"))))</f>
        <v>Amber</v>
      </c>
      <c r="N242" s="3"/>
      <c r="O242" t="str">
        <f>IF($I242&lt;&gt;"Complete",IF(COUNTIFS($A$4:$A241,$A242,$B$4:$B241,$B242,$I$4:$I241,"&lt;&gt;Complete")=0,$A242&amp;"|"&amp;$B242,""),"")</f>
        <v>|</v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/>
      <c r="B243" s="2"/>
      <c r="C243" s="3"/>
      <c r="D243" s="3"/>
      <c r="E243" s="2"/>
      <c r="F243" s="2"/>
      <c r="G243" s="5"/>
      <c r="H243" s="5"/>
      <c r="I243" s="4"/>
      <c r="J243" s="6" t="str">
        <f t="shared" si="10"/>
        <v/>
      </c>
      <c r="K243" s="4" t="str">
        <f t="shared" ca="1" si="11"/>
        <v/>
      </c>
      <c r="L243" s="7" t="str">
        <f>IF($H243="","",$H243-'[2]Read Me'!$B$4)</f>
        <v/>
      </c>
      <c r="M243" s="4" t="str">
        <f>IF($I243="Complete","Green",IF($H243="","Amber",IF($H243&lt;'[2]Read Me'!$B$4,"Red",IF($H243-'[2]Read Me'!$B$4&lt;=21,"Amber","Green"))))</f>
        <v>Amber</v>
      </c>
      <c r="N243" s="3"/>
      <c r="O243" t="str">
        <f>IF($I243&lt;&gt;"Complete",IF(COUNTIFS($A$4:$A242,$A243,$B$4:$B242,$B243,$I$4:$I242,"&lt;&gt;Complete")=0,$A243&amp;"|"&amp;$B243,""),"")</f>
        <v>|</v>
      </c>
      <c r="P243" t="str">
        <f ca="1">IF($K243="Yes",COUNTIFS($K$4:$K243,"Yes"),"")</f>
        <v/>
      </c>
      <c r="Q243">
        <f t="shared" ca="1" si="12"/>
        <v>0</v>
      </c>
      <c r="R243" t="str">
        <f ca="1">IF($Q243=1,SUM($Q$4:$Q243),"")</f>
        <v/>
      </c>
    </row>
    <row r="244" spans="1:18" ht="22.5" customHeight="1" x14ac:dyDescent="0.3">
      <c r="A244" s="2"/>
      <c r="B244" s="2"/>
      <c r="C244" s="3"/>
      <c r="D244" s="3"/>
      <c r="E244" s="2"/>
      <c r="F244" s="2"/>
      <c r="G244" s="5"/>
      <c r="H244" s="5"/>
      <c r="I244" s="4"/>
      <c r="J244" s="6" t="str">
        <f t="shared" si="10"/>
        <v/>
      </c>
      <c r="K244" s="4" t="str">
        <f t="shared" ref="K244:K260" ca="1" si="13">IF($H244="","",IF($H244&gt;TODAY(),"No","Yes"))</f>
        <v/>
      </c>
      <c r="L244" s="7" t="str">
        <f>IF($H244="","",$H244-'[2]Read Me'!$B$4)</f>
        <v/>
      </c>
      <c r="M244" s="4" t="str">
        <f>IF($I244="Complete","Green",IF($H244="","Amber",IF($H244&lt;'[2]Read Me'!$B$4,"Red",IF($H244-'[2]Read Me'!$B$4&lt;=21,"Amber","Green"))))</f>
        <v>Amber</v>
      </c>
      <c r="N244" s="3"/>
      <c r="O244" t="str">
        <f>IF($I244&lt;&gt;"Complete",IF(COUNTIFS($A$4:$A243,$A244,$B$4:$B243,$B244,$I$4:$I243,"&lt;&gt;Complete")=0,$A244&amp;"|"&amp;$B244,""),"")</f>
        <v>|</v>
      </c>
      <c r="P244" t="str">
        <f ca="1">IF($K244="Yes",COUNTIFS($K$4:$K244,"Yes"),"")</f>
        <v/>
      </c>
      <c r="Q244">
        <f t="shared" ca="1" si="12"/>
        <v>0</v>
      </c>
      <c r="R244" t="str">
        <f ca="1">IF($Q244=1,SUM($Q$4:$Q244),"")</f>
        <v/>
      </c>
    </row>
    <row r="245" spans="1:18" ht="22.5" customHeight="1" x14ac:dyDescent="0.3">
      <c r="A245" s="2"/>
      <c r="B245" s="2"/>
      <c r="C245" s="3"/>
      <c r="D245" s="3"/>
      <c r="E245" s="2"/>
      <c r="F245" s="2"/>
      <c r="G245" s="5"/>
      <c r="H245" s="5"/>
      <c r="I245" s="4"/>
      <c r="J245" s="6" t="str">
        <f t="shared" si="10"/>
        <v/>
      </c>
      <c r="K245" s="4" t="str">
        <f t="shared" ca="1" si="13"/>
        <v/>
      </c>
      <c r="L245" s="7" t="str">
        <f>IF($H245="","",$H245-'[2]Read Me'!$B$4)</f>
        <v/>
      </c>
      <c r="M245" s="4" t="str">
        <f>IF($I245="Complete","Green",IF($H245="","Amber",IF($H245&lt;'[2]Read Me'!$B$4,"Red",IF($H245-'[2]Read Me'!$B$4&lt;=21,"Amber","Green"))))</f>
        <v>Amber</v>
      </c>
      <c r="N245" s="3"/>
      <c r="O245" t="str">
        <f>IF($I245&lt;&gt;"Complete",IF(COUNTIFS($A$4:$A244,$A245,$B$4:$B244,$B245,$I$4:$I244,"&lt;&gt;Complete")=0,$A245&amp;"|"&amp;$B245,""),"")</f>
        <v>|</v>
      </c>
      <c r="P245" t="str">
        <f ca="1">IF($K245="Yes",COUNTIFS($K$4:$K245,"Yes"),"")</f>
        <v/>
      </c>
      <c r="Q245">
        <f t="shared" ca="1" si="12"/>
        <v>0</v>
      </c>
      <c r="R245" t="str">
        <f ca="1">IF($Q245=1,SUM($Q$4:$Q245),"")</f>
        <v/>
      </c>
    </row>
    <row r="246" spans="1:18" ht="22.5" customHeight="1" x14ac:dyDescent="0.3">
      <c r="A246" s="2"/>
      <c r="B246" s="2"/>
      <c r="C246" s="3"/>
      <c r="D246" s="3"/>
      <c r="E246" s="2"/>
      <c r="F246" s="2"/>
      <c r="G246" s="5"/>
      <c r="H246" s="5"/>
      <c r="I246" s="4"/>
      <c r="J246" s="6" t="str">
        <f t="shared" si="10"/>
        <v/>
      </c>
      <c r="K246" s="4" t="str">
        <f t="shared" ca="1" si="13"/>
        <v/>
      </c>
      <c r="L246" s="7" t="str">
        <f>IF($H246="","",$H246-'[2]Read Me'!$B$4)</f>
        <v/>
      </c>
      <c r="M246" s="4" t="str">
        <f>IF($I246="Complete","Green",IF($H246="","Amber",IF($H246&lt;'[2]Read Me'!$B$4,"Red",IF($H246-'[2]Read Me'!$B$4&lt;=21,"Amber","Green"))))</f>
        <v>Amber</v>
      </c>
      <c r="N246" s="3"/>
      <c r="O246" t="str">
        <f>IF($I246&lt;&gt;"Complete",IF(COUNTIFS($A$4:$A245,$A246,$B$4:$B245,$B246,$I$4:$I245,"&lt;&gt;Complete")=0,$A246&amp;"|"&amp;$B246,""),"")</f>
        <v>|</v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/>
      <c r="B247" s="2"/>
      <c r="C247" s="3"/>
      <c r="D247" s="3"/>
      <c r="E247" s="2"/>
      <c r="F247" s="2"/>
      <c r="G247" s="5"/>
      <c r="H247" s="5"/>
      <c r="I247" s="4"/>
      <c r="J247" s="6" t="str">
        <f t="shared" si="10"/>
        <v/>
      </c>
      <c r="K247" s="4" t="str">
        <f t="shared" ca="1" si="13"/>
        <v/>
      </c>
      <c r="L247" s="7" t="str">
        <f>IF($H247="","",$H247-'[2]Read Me'!$B$4)</f>
        <v/>
      </c>
      <c r="M247" s="4" t="str">
        <f>IF($I247="Complete","Green",IF($H247="","Amber",IF($H247&lt;'[2]Read Me'!$B$4,"Red",IF($H247-'[2]Read Me'!$B$4&lt;=21,"Amber","Green"))))</f>
        <v>Amber</v>
      </c>
      <c r="N247" s="3"/>
      <c r="O247" t="str">
        <f>IF($I247&lt;&gt;"Complete",IF(COUNTIFS($A$4:$A246,$A247,$B$4:$B246,$B247,$I$4:$I246,"&lt;&gt;Complete")=0,$A247&amp;"|"&amp;$B247,""),"")</f>
        <v>|</v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/>
      <c r="B248" s="2"/>
      <c r="C248" s="3"/>
      <c r="D248" s="3"/>
      <c r="E248" s="2"/>
      <c r="F248" s="2"/>
      <c r="G248" s="5"/>
      <c r="H248" s="5"/>
      <c r="I248" s="4"/>
      <c r="J248" s="6" t="str">
        <f t="shared" si="10"/>
        <v/>
      </c>
      <c r="K248" s="4" t="str">
        <f t="shared" ca="1" si="13"/>
        <v/>
      </c>
      <c r="L248" s="7" t="str">
        <f>IF($H248="","",$H248-'[2]Read Me'!$B$4)</f>
        <v/>
      </c>
      <c r="M248" s="4" t="str">
        <f>IF($I248="Complete","Green",IF($H248="","Amber",IF($H248&lt;'[2]Read Me'!$B$4,"Red",IF($H248-'[2]Read Me'!$B$4&lt;=21,"Amber","Green"))))</f>
        <v>Amber</v>
      </c>
      <c r="N248" s="3"/>
      <c r="O248" t="str">
        <f>IF($I248&lt;&gt;"Complete",IF(COUNTIFS($A$4:$A247,$A248,$B$4:$B247,$B248,$I$4:$I247,"&lt;&gt;Complete")=0,$A248&amp;"|"&amp;$B248,""),"")</f>
        <v>|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/>
      <c r="B249" s="2"/>
      <c r="C249" s="3"/>
      <c r="D249" s="3"/>
      <c r="E249" s="2"/>
      <c r="F249" s="2"/>
      <c r="G249" s="5"/>
      <c r="H249" s="5"/>
      <c r="I249" s="4"/>
      <c r="J249" s="6" t="str">
        <f t="shared" si="10"/>
        <v/>
      </c>
      <c r="K249" s="4" t="str">
        <f t="shared" ca="1" si="13"/>
        <v/>
      </c>
      <c r="L249" s="7" t="str">
        <f>IF($H249="","",$H249-'[2]Read Me'!$B$4)</f>
        <v/>
      </c>
      <c r="M249" s="4" t="str">
        <f>IF($I249="Complete","Green",IF($H249="","Amber",IF($H249&lt;'[2]Read Me'!$B$4,"Red",IF($H249-'[2]Read Me'!$B$4&lt;=21,"Amber","Green"))))</f>
        <v>Amber</v>
      </c>
      <c r="N249" s="3"/>
      <c r="O249" t="str">
        <f>IF($I249&lt;&gt;"Complete",IF(COUNTIFS($A$4:$A248,$A249,$B$4:$B248,$B249,$I$4:$I248,"&lt;&gt;Complete")=0,$A249&amp;"|"&amp;$B249,""),"")</f>
        <v>|</v>
      </c>
      <c r="P249" t="str">
        <f ca="1">IF($K249="Yes",COUNTIFS($K$4:$K249,"Yes"),"")</f>
        <v/>
      </c>
      <c r="Q249">
        <f t="shared" ca="1" si="12"/>
        <v>0</v>
      </c>
      <c r="R249" t="str">
        <f ca="1">IF($Q249=1,SUM($Q$4:$Q249),"")</f>
        <v/>
      </c>
    </row>
    <row r="250" spans="1:18" ht="22.5" customHeight="1" x14ac:dyDescent="0.3">
      <c r="A250" s="2"/>
      <c r="B250" s="2"/>
      <c r="C250" s="3"/>
      <c r="D250" s="3"/>
      <c r="E250" s="2"/>
      <c r="F250" s="2"/>
      <c r="G250" s="5"/>
      <c r="H250" s="5"/>
      <c r="I250" s="4"/>
      <c r="J250" s="6" t="str">
        <f t="shared" si="10"/>
        <v/>
      </c>
      <c r="K250" s="4" t="str">
        <f t="shared" ca="1" si="13"/>
        <v/>
      </c>
      <c r="L250" s="7" t="str">
        <f>IF($H250="","",$H250-'[2]Read Me'!$B$4)</f>
        <v/>
      </c>
      <c r="M250" s="4" t="str">
        <f>IF($I250="Complete","Green",IF($H250="","Amber",IF($H250&lt;'[2]Read Me'!$B$4,"Red",IF($H250-'[2]Read Me'!$B$4&lt;=21,"Amber","Green"))))</f>
        <v>Amber</v>
      </c>
      <c r="N250" s="8"/>
      <c r="O250" t="str">
        <f>IF($I250&lt;&gt;"Complete",IF(COUNTIFS($A$4:$A249,$A250,$B$4:$B249,$B250,$I$4:$I249,"&lt;&gt;Complete")=0,$A250&amp;"|"&amp;$B250,""),"")</f>
        <v>|</v>
      </c>
      <c r="P250" t="str">
        <f ca="1">IF($K250="Yes",COUNTIFS($K$4:$K250,"Yes"),"")</f>
        <v/>
      </c>
      <c r="Q250">
        <f t="shared" ca="1" si="12"/>
        <v>0</v>
      </c>
      <c r="R250" t="str">
        <f ca="1">IF($Q250=1,SUM($Q$4:$Q250),"")</f>
        <v/>
      </c>
    </row>
    <row r="251" spans="1:18" ht="22.5" customHeight="1" x14ac:dyDescent="0.3">
      <c r="A251" s="2"/>
      <c r="B251" s="2"/>
      <c r="C251" s="3"/>
      <c r="D251" s="3"/>
      <c r="E251" s="2"/>
      <c r="F251" s="2"/>
      <c r="G251" s="5"/>
      <c r="H251" s="5"/>
      <c r="I251" s="4"/>
      <c r="J251" s="6" t="str">
        <f t="shared" si="10"/>
        <v/>
      </c>
      <c r="K251" s="4" t="str">
        <f t="shared" ca="1" si="13"/>
        <v/>
      </c>
      <c r="L251" s="7" t="str">
        <f>IF($H251="","",$H251-'[2]Read Me'!$B$4)</f>
        <v/>
      </c>
      <c r="M251" s="4" t="str">
        <f>IF($I251="Complete","Green",IF($H251="","Amber",IF($H251&lt;'[2]Read Me'!$B$4,"Red",IF($H251-'[2]Read Me'!$B$4&lt;=21,"Amber","Green"))))</f>
        <v>Amber</v>
      </c>
      <c r="N251" s="3"/>
      <c r="O251" t="str">
        <f>IF($I251&lt;&gt;"Complete",IF(COUNTIFS($A$4:$A250,$A251,$B$4:$B250,$B251,$I$4:$I250,"&lt;&gt;Complete")=0,$A251&amp;"|"&amp;$B251,""),"")</f>
        <v>|</v>
      </c>
      <c r="P251" t="str">
        <f ca="1">IF($K251="Yes",COUNTIFS($K$4:$K251,"Yes"),"")</f>
        <v/>
      </c>
      <c r="Q251">
        <f t="shared" ca="1" si="12"/>
        <v>0</v>
      </c>
      <c r="R251" t="str">
        <f ca="1">IF($Q251=1,SUM($Q$4:$Q251),"")</f>
        <v/>
      </c>
    </row>
    <row r="252" spans="1:18" ht="22.5" customHeight="1" x14ac:dyDescent="0.3">
      <c r="A252" s="2"/>
      <c r="B252" s="2"/>
      <c r="C252" s="3"/>
      <c r="D252" s="3"/>
      <c r="E252" s="2"/>
      <c r="F252" s="2"/>
      <c r="G252" s="5"/>
      <c r="H252" s="5"/>
      <c r="I252" s="4"/>
      <c r="J252" s="6" t="str">
        <f t="shared" si="10"/>
        <v/>
      </c>
      <c r="K252" s="4" t="str">
        <f t="shared" ca="1" si="13"/>
        <v/>
      </c>
      <c r="L252" s="7" t="str">
        <f>IF($H252="","",$H252-'[2]Read Me'!$B$4)</f>
        <v/>
      </c>
      <c r="M252" s="4" t="str">
        <f>IF($I252="Complete","Green",IF($H252="","Amber",IF($H252&lt;'[2]Read Me'!$B$4,"Red",IF($H252-'[2]Read Me'!$B$4&lt;=21,"Amber","Green"))))</f>
        <v>Amber</v>
      </c>
      <c r="N252" s="3"/>
      <c r="O252" t="str">
        <f>IF($I252&lt;&gt;"Complete",IF(COUNTIFS($A$4:$A251,$A252,$B$4:$B251,$B252,$I$4:$I251,"&lt;&gt;Complete")=0,$A252&amp;"|"&amp;$B252,""),"")</f>
        <v>|</v>
      </c>
      <c r="P252" t="str">
        <f ca="1">IF($K252="Yes",COUNTIFS($K$4:$K252,"Yes"),"")</f>
        <v/>
      </c>
      <c r="Q252">
        <f t="shared" ca="1" si="12"/>
        <v>0</v>
      </c>
      <c r="R252" t="str">
        <f ca="1">IF($Q252=1,SUM($Q$4:$Q252),"")</f>
        <v/>
      </c>
    </row>
    <row r="253" spans="1:18" ht="22.5" customHeight="1" x14ac:dyDescent="0.3">
      <c r="A253" s="2"/>
      <c r="B253" s="2"/>
      <c r="C253" s="3"/>
      <c r="D253" s="3"/>
      <c r="E253" s="2"/>
      <c r="F253" s="2"/>
      <c r="G253" s="5"/>
      <c r="H253" s="5"/>
      <c r="I253" s="4"/>
      <c r="J253" s="6" t="str">
        <f t="shared" si="10"/>
        <v/>
      </c>
      <c r="K253" s="4" t="str">
        <f t="shared" ca="1" si="13"/>
        <v/>
      </c>
      <c r="L253" s="7" t="str">
        <f>IF($H253="","",$H253-'[2]Read Me'!$B$4)</f>
        <v/>
      </c>
      <c r="M253" s="4" t="str">
        <f>IF($I253="Complete","Green",IF($H253="","Amber",IF($H253&lt;'[2]Read Me'!$B$4,"Red",IF($H253-'[2]Read Me'!$B$4&lt;=21,"Amber","Green"))))</f>
        <v>Amber</v>
      </c>
      <c r="N253" s="3"/>
      <c r="O253" t="str">
        <f>IF($I253&lt;&gt;"Complete",IF(COUNTIFS($A$4:$A252,$A253,$B$4:$B252,$B253,$I$4:$I252,"&lt;&gt;Complete")=0,$A253&amp;"|"&amp;$B253,""),"")</f>
        <v>|</v>
      </c>
      <c r="P253" t="str">
        <f ca="1">IF($K253="Yes",COUNTIFS($K$4:$K253,"Yes"),"")</f>
        <v/>
      </c>
      <c r="Q253">
        <f t="shared" ca="1" si="12"/>
        <v>0</v>
      </c>
      <c r="R253" t="str">
        <f ca="1">IF($Q253=1,SUM($Q$4:$Q253),"")</f>
        <v/>
      </c>
    </row>
    <row r="254" spans="1:18" ht="22.5" customHeight="1" x14ac:dyDescent="0.3">
      <c r="A254" s="2"/>
      <c r="B254" s="2"/>
      <c r="C254" s="3"/>
      <c r="D254" s="3"/>
      <c r="E254" s="2"/>
      <c r="F254" s="2"/>
      <c r="G254" s="5"/>
      <c r="H254" s="5"/>
      <c r="I254" s="4"/>
      <c r="J254" s="6" t="str">
        <f t="shared" si="10"/>
        <v/>
      </c>
      <c r="K254" s="4" t="str">
        <f t="shared" ca="1" si="13"/>
        <v/>
      </c>
      <c r="L254" s="7" t="str">
        <f>IF($H254="","",$H254-'[2]Read Me'!$B$4)</f>
        <v/>
      </c>
      <c r="M254" s="4" t="str">
        <f>IF($I254="Complete","Green",IF($H254="","Amber",IF($H254&lt;'[2]Read Me'!$B$4,"Red",IF($H254-'[2]Read Me'!$B$4&lt;=21,"Amber","Green"))))</f>
        <v>Amber</v>
      </c>
      <c r="N254" s="3"/>
      <c r="O254" t="str">
        <f>IF($I254&lt;&gt;"Complete",IF(COUNTIFS($A$4:$A253,$A254,$B$4:$B253,$B254,$I$4:$I253,"&lt;&gt;Complete")=0,$A254&amp;"|"&amp;$B254,""),"")</f>
        <v>|</v>
      </c>
      <c r="P254" t="str">
        <f ca="1">IF($K254="Yes",COUNTIFS($K$4:$K254,"Yes"),"")</f>
        <v/>
      </c>
      <c r="Q254">
        <f t="shared" ca="1" si="12"/>
        <v>0</v>
      </c>
      <c r="R254" t="str">
        <f ca="1">IF($Q254=1,SUM($Q$4:$Q254),"")</f>
        <v/>
      </c>
    </row>
    <row r="255" spans="1:18" ht="22.5" customHeight="1" x14ac:dyDescent="0.3">
      <c r="A255" s="2"/>
      <c r="B255" s="2"/>
      <c r="C255" s="3"/>
      <c r="D255" s="3"/>
      <c r="E255" s="2"/>
      <c r="F255" s="2"/>
      <c r="G255" s="5"/>
      <c r="H255" s="5"/>
      <c r="I255" s="4"/>
      <c r="J255" s="6" t="str">
        <f t="shared" si="10"/>
        <v/>
      </c>
      <c r="K255" s="4" t="str">
        <f t="shared" ca="1" si="13"/>
        <v/>
      </c>
      <c r="L255" s="7" t="str">
        <f>IF($H255="","",$H255-'[2]Read Me'!$B$4)</f>
        <v/>
      </c>
      <c r="M255" s="4" t="str">
        <f>IF($I255="Complete","Green",IF($H255="","Amber",IF($H255&lt;'[2]Read Me'!$B$4,"Red",IF($H255-'[2]Read Me'!$B$4&lt;=21,"Amber","Green"))))</f>
        <v>Amber</v>
      </c>
      <c r="N255" s="3"/>
      <c r="O255" t="str">
        <f>IF($I255&lt;&gt;"Complete",IF(COUNTIFS($A$4:$A254,$A255,$B$4:$B254,$B255,$I$4:$I254,"&lt;&gt;Complete")=0,$A255&amp;"|"&amp;$B255,""),"")</f>
        <v>|</v>
      </c>
      <c r="P255" t="str">
        <f ca="1">IF($K255="Yes",COUNTIFS($K$4:$K255,"Yes"),"")</f>
        <v/>
      </c>
      <c r="Q255">
        <f t="shared" ca="1" si="12"/>
        <v>0</v>
      </c>
      <c r="R255" t="str">
        <f ca="1">IF($Q255=1,SUM($Q$4:$Q255),"")</f>
        <v/>
      </c>
    </row>
    <row r="256" spans="1:18" ht="22.5" customHeight="1" x14ac:dyDescent="0.3">
      <c r="A256" s="2"/>
      <c r="B256" s="2"/>
      <c r="C256" s="3"/>
      <c r="D256" s="3"/>
      <c r="E256" s="2"/>
      <c r="F256" s="2"/>
      <c r="G256" s="5"/>
      <c r="H256" s="5"/>
      <c r="I256" s="4"/>
      <c r="J256" s="6" t="str">
        <f t="shared" si="10"/>
        <v/>
      </c>
      <c r="K256" s="4" t="str">
        <f t="shared" ca="1" si="13"/>
        <v/>
      </c>
      <c r="L256" s="7" t="str">
        <f>IF($H256="","",$H256-'[2]Read Me'!$B$4)</f>
        <v/>
      </c>
      <c r="M256" s="4" t="str">
        <f>IF($I256="Complete","Green",IF($H256="","Amber",IF($H256&lt;'[2]Read Me'!$B$4,"Red",IF($H256-'[2]Read Me'!$B$4&lt;=21,"Amber","Green"))))</f>
        <v>Amber</v>
      </c>
      <c r="N256" s="3"/>
      <c r="O256" t="str">
        <f>IF($I256&lt;&gt;"Complete",IF(COUNTIFS($A$4:$A255,$A256,$B$4:$B255,$B256,$I$4:$I255,"&lt;&gt;Complete")=0,$A256&amp;"|"&amp;$B256,""),"")</f>
        <v>|</v>
      </c>
      <c r="P256" t="str">
        <f ca="1">IF($K256="Yes",COUNTIFS($K$4:$K256,"Yes"),"")</f>
        <v/>
      </c>
      <c r="Q256">
        <f t="shared" ca="1" si="12"/>
        <v>0</v>
      </c>
      <c r="R256" t="str">
        <f ca="1">IF($Q256=1,SUM($Q$4:$Q256),"")</f>
        <v/>
      </c>
    </row>
    <row r="257" spans="1:18" ht="22.5" customHeight="1" x14ac:dyDescent="0.3">
      <c r="A257" s="2"/>
      <c r="B257" s="2"/>
      <c r="C257" s="3"/>
      <c r="D257" s="3"/>
      <c r="E257" s="2"/>
      <c r="F257" s="2"/>
      <c r="G257" s="5"/>
      <c r="H257" s="5"/>
      <c r="I257" s="4"/>
      <c r="J257" s="6" t="str">
        <f t="shared" si="10"/>
        <v/>
      </c>
      <c r="K257" s="4" t="str">
        <f t="shared" ca="1" si="13"/>
        <v/>
      </c>
      <c r="L257" s="7" t="str">
        <f>IF($H257="","",$H257-'[2]Read Me'!$B$4)</f>
        <v/>
      </c>
      <c r="M257" s="4" t="str">
        <f>IF($I257="Complete","Green",IF($H257="","Amber",IF($H257&lt;'[2]Read Me'!$B$4,"Red",IF($H257-'[2]Read Me'!$B$4&lt;=21,"Amber","Green"))))</f>
        <v>Amber</v>
      </c>
      <c r="N257" s="3"/>
      <c r="O257" t="str">
        <f>IF($I257&lt;&gt;"Complete",IF(COUNTIFS($A$4:$A256,$A257,$B$4:$B256,$B257,$I$4:$I256,"&lt;&gt;Complete")=0,$A257&amp;"|"&amp;$B257,""),"")</f>
        <v>|</v>
      </c>
      <c r="P257" t="str">
        <f ca="1">IF($K257="Yes",COUNTIFS($K$4:$K257,"Yes"),"")</f>
        <v/>
      </c>
      <c r="Q257">
        <f t="shared" ca="1" si="12"/>
        <v>0</v>
      </c>
      <c r="R257" t="str">
        <f ca="1">IF($Q257=1,SUM($Q$4:$Q257),"")</f>
        <v/>
      </c>
    </row>
    <row r="258" spans="1:18" ht="45" customHeight="1" x14ac:dyDescent="0.3">
      <c r="A258" s="2"/>
      <c r="B258" s="2"/>
      <c r="C258" s="3"/>
      <c r="D258" s="3"/>
      <c r="E258" s="2"/>
      <c r="F258" s="2"/>
      <c r="G258" s="5"/>
      <c r="H258" s="5"/>
      <c r="I258" s="4"/>
      <c r="J258" s="6" t="str">
        <f t="shared" si="10"/>
        <v/>
      </c>
      <c r="K258" s="4" t="str">
        <f t="shared" ca="1" si="13"/>
        <v/>
      </c>
      <c r="L258" s="7" t="str">
        <f>IF($H258="","",$H258-'[2]Read Me'!$B$4)</f>
        <v/>
      </c>
      <c r="M258" s="4" t="str">
        <f>IF($I258="Complete","Green",IF($H258="","Amber",IF($H258&lt;'[2]Read Me'!$B$4,"Red",IF($H258-'[2]Read Me'!$B$4&lt;=21,"Amber","Green"))))</f>
        <v>Amber</v>
      </c>
      <c r="N258" s="3"/>
      <c r="O258" t="str">
        <f>IF($I258&lt;&gt;"Complete",IF(COUNTIFS($A$4:$A257,$A258,$B$4:$B257,$B258,$I$4:$I257,"&lt;&gt;Complete")=0,$A258&amp;"|"&amp;$B258,""),"")</f>
        <v>|</v>
      </c>
      <c r="P258" t="str">
        <f ca="1">IF($K258="Yes",COUNTIFS($K$4:$K258,"Yes"),"")</f>
        <v/>
      </c>
      <c r="Q258">
        <f t="shared" ca="1" si="12"/>
        <v>0</v>
      </c>
      <c r="R258" t="str">
        <f ca="1">IF($Q258=1,SUM($Q$4:$Q258),"")</f>
        <v/>
      </c>
    </row>
    <row r="259" spans="1:18" ht="45" customHeight="1" x14ac:dyDescent="0.3">
      <c r="A259" s="2"/>
      <c r="B259" s="2"/>
      <c r="C259" s="3"/>
      <c r="D259" s="3"/>
      <c r="E259" s="2"/>
      <c r="F259" s="2"/>
      <c r="G259" s="5"/>
      <c r="H259" s="5"/>
      <c r="I259" s="4"/>
      <c r="J259" s="6" t="str">
        <f t="shared" si="10"/>
        <v/>
      </c>
      <c r="K259" s="4" t="str">
        <f t="shared" ca="1" si="13"/>
        <v/>
      </c>
      <c r="L259" s="7" t="str">
        <f>IF($H259="","",$H259-'[2]Read Me'!$B$4)</f>
        <v/>
      </c>
      <c r="M259" s="4" t="str">
        <f>IF($I259="Complete","Green",IF($H259="","Amber",IF($H259&lt;'[2]Read Me'!$B$4,"Red",IF($H259-'[2]Read Me'!$B$4&lt;=21,"Amber","Green"))))</f>
        <v>Amber</v>
      </c>
      <c r="N259" s="3"/>
      <c r="O259" t="str">
        <f>IF($I259&lt;&gt;"Complete",IF(COUNTIFS($A$4:$A258,$A259,$B$4:$B258,$B259,$I$4:$I258,"&lt;&gt;Complete")=0,$A259&amp;"|"&amp;$B259,""),"")</f>
        <v>|</v>
      </c>
      <c r="P259" t="str">
        <f ca="1">IF($K259="Yes",COUNTIFS($K$4:$K259,"Yes"),"")</f>
        <v/>
      </c>
      <c r="Q259">
        <f t="shared" ca="1" si="12"/>
        <v>0</v>
      </c>
      <c r="R259" t="str">
        <f ca="1">IF($Q259=1,SUM($Q$4:$Q259),"")</f>
        <v/>
      </c>
    </row>
    <row r="260" spans="1:18" ht="45" customHeight="1" x14ac:dyDescent="0.3">
      <c r="A260" s="2"/>
      <c r="B260" s="2"/>
      <c r="C260" s="3"/>
      <c r="D260" s="3"/>
      <c r="E260" s="2"/>
      <c r="F260" s="2"/>
      <c r="G260" s="5"/>
      <c r="H260" s="5"/>
      <c r="I260" s="4"/>
      <c r="J260" s="6" t="str">
        <f t="shared" ref="J260:J312" si="14">IF(OR($G260="",$H260=""),"",$H260-$G260)</f>
        <v/>
      </c>
      <c r="K260" s="4" t="str">
        <f t="shared" ca="1" si="13"/>
        <v/>
      </c>
      <c r="L260" s="7" t="str">
        <f>IF($H260="","",$H260-'[2]Read Me'!$B$4)</f>
        <v/>
      </c>
      <c r="M260" s="4" t="str">
        <f>IF($I260="Complete","Green",IF($H260="","Amber",IF($H260&lt;'[2]Read Me'!$B$4,"Red",IF($H260-'[2]Read Me'!$B$4&lt;=21,"Amber","Green"))))</f>
        <v>Amber</v>
      </c>
      <c r="N260" s="3"/>
      <c r="O260" t="str">
        <f>IF($I260&lt;&gt;"Complete",IF(COUNTIFS($A$4:$A259,$A260,$B$4:$B259,$B260,$I$4:$I259,"&lt;&gt;Complete")=0,$A260&amp;"|"&amp;$B260,""),"")</f>
        <v>|</v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/>
      <c r="B261" s="2"/>
      <c r="C261" s="3"/>
      <c r="D261" s="3"/>
      <c r="E261" s="2"/>
      <c r="F261" s="2"/>
      <c r="G261" s="5"/>
      <c r="H261" s="5"/>
      <c r="I261" s="4"/>
      <c r="J261" s="6" t="str">
        <f t="shared" si="14"/>
        <v/>
      </c>
      <c r="K261" s="4" t="str">
        <f t="shared" ref="K261:K264" ca="1" si="16">IF($H261="","",IF($H261&gt;TODAY(),"No","Yes"))</f>
        <v/>
      </c>
      <c r="L261" s="7" t="str">
        <f>IF($H261="","",$H261-'[2]Read Me'!$B$4)</f>
        <v/>
      </c>
      <c r="M261" s="4" t="str">
        <f>IF($I261="Complete","Green",IF($H261="","Amber",IF($H261&lt;'[2]Read Me'!$B$4,"Red",IF($H261-'[2]Read Me'!$B$4&lt;=21,"Amber","Green"))))</f>
        <v>Amber</v>
      </c>
      <c r="N261" s="3"/>
      <c r="O261" t="str">
        <f>IF($I261&lt;&gt;"Complete",IF(COUNTIFS($A$4:$A260,$A261,$B$4:$B260,$B261,$I$4:$I260,"&lt;&gt;Complete")=0,$A261&amp;"|"&amp;$B261,""),"")</f>
        <v>|</v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/>
      <c r="B262" s="2"/>
      <c r="C262" s="3"/>
      <c r="D262" s="3"/>
      <c r="E262" s="2"/>
      <c r="F262" s="2"/>
      <c r="G262" s="5"/>
      <c r="H262" s="5"/>
      <c r="I262" s="4"/>
      <c r="J262" s="6" t="str">
        <f t="shared" si="14"/>
        <v/>
      </c>
      <c r="K262" s="4" t="str">
        <f t="shared" ca="1" si="16"/>
        <v/>
      </c>
      <c r="L262" s="7" t="str">
        <f>IF($H262="","",$H262-'[2]Read Me'!$B$4)</f>
        <v/>
      </c>
      <c r="M262" s="4" t="str">
        <f>IF($I262="Complete","Green",IF($H262="","Amber",IF($H262&lt;'[2]Read Me'!$B$4,"Red",IF($H262-'[2]Read Me'!$B$4&lt;=21,"Amber","Green"))))</f>
        <v>Amber</v>
      </c>
      <c r="N262" s="3"/>
      <c r="O262" t="str">
        <f>IF($I262&lt;&gt;"Complete",IF(COUNTIFS($A$4:$A261,$A262,$B$4:$B261,$B262,$I$4:$I261,"&lt;&gt;Complete")=0,$A262&amp;"|"&amp;$B262,""),"")</f>
        <v>|</v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/>
      <c r="B263" s="2"/>
      <c r="C263" s="3"/>
      <c r="D263" s="3"/>
      <c r="E263" s="2"/>
      <c r="F263" s="2"/>
      <c r="G263" s="5"/>
      <c r="H263" s="5"/>
      <c r="I263" s="4"/>
      <c r="J263" s="6" t="str">
        <f t="shared" si="14"/>
        <v/>
      </c>
      <c r="K263" s="4" t="str">
        <f t="shared" ca="1" si="16"/>
        <v/>
      </c>
      <c r="L263" s="7" t="str">
        <f>IF($H263="","",$H263-'[2]Read Me'!$B$4)</f>
        <v/>
      </c>
      <c r="M263" s="4" t="str">
        <f>IF($I263="Complete","Green",IF($H263="","Amber",IF($H263&lt;'[2]Read Me'!$B$4,"Red",IF($H263-'[2]Read Me'!$B$4&lt;=21,"Amber","Green"))))</f>
        <v>Amber</v>
      </c>
      <c r="N263" s="3"/>
      <c r="O263" t="str">
        <f>IF($I263&lt;&gt;"Complete",IF(COUNTIFS($A$4:$A262,$A263,$B$4:$B262,$B263,$I$4:$I262,"&lt;&gt;Complete")=0,$A263&amp;"|"&amp;$B263,""),"")</f>
        <v>|</v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/>
      <c r="B264" s="2"/>
      <c r="C264" s="3"/>
      <c r="D264" s="3"/>
      <c r="E264" s="2"/>
      <c r="F264" s="2"/>
      <c r="G264" s="5"/>
      <c r="H264" s="5"/>
      <c r="I264" s="4"/>
      <c r="J264" s="6" t="str">
        <f t="shared" si="14"/>
        <v/>
      </c>
      <c r="K264" s="4" t="str">
        <f t="shared" ca="1" si="16"/>
        <v/>
      </c>
      <c r="L264" s="7" t="str">
        <f>IF($H264="","",$H264-'[2]Read Me'!$B$4)</f>
        <v/>
      </c>
      <c r="M264" s="4" t="str">
        <f>IF($I264="Complete","Green",IF($H264="","Amber",IF($H264&lt;'[2]Read Me'!$B$4,"Red",IF($H264-'[2]Read Me'!$B$4&lt;=21,"Amber","Green"))))</f>
        <v>Amber</v>
      </c>
      <c r="N264" s="3"/>
      <c r="O264" t="str">
        <f>IF($I264&lt;&gt;"Complete",IF(COUNTIFS($A$4:$A263,$A264,$B$4:$B263,$B264,$I$4:$I263,"&lt;&gt;Complete")=0,$A264&amp;"|"&amp;$B264,""),"")</f>
        <v>|</v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/>
      <c r="B265" s="2"/>
      <c r="C265" s="3"/>
      <c r="D265" s="3"/>
      <c r="E265" s="2"/>
      <c r="F265" s="2"/>
      <c r="G265" s="5"/>
      <c r="H265" s="5"/>
      <c r="I265" s="4"/>
      <c r="J265" s="6" t="str">
        <f t="shared" si="14"/>
        <v/>
      </c>
      <c r="K265" s="4" t="str">
        <f t="shared" ref="K265:K312" ca="1" si="17">IF($H265="","",IF($H265&lt;TODAY(),"No","Yes"))</f>
        <v/>
      </c>
      <c r="L265" s="7" t="str">
        <f>IF($H265="","",$H265-'[2]Read Me'!$B$4)</f>
        <v/>
      </c>
      <c r="M265" s="4" t="str">
        <f>IF($I265="Complete","Green",IF($H265="","Amber",IF($H265&lt;'[2]Read Me'!$B$4,"Red",IF($H265-'[2]Read Me'!$B$4&lt;=21,"Amber","Green"))))</f>
        <v>Amber</v>
      </c>
      <c r="N265" s="3"/>
      <c r="O265" t="str">
        <f>IF($I265&lt;&gt;"Complete",IF(COUNTIFS($A$4:$A264,$A265,$B$4:$B264,$B265,$I$4:$I264,"&lt;&gt;Complete")=0,$A265&amp;"|"&amp;$B265,""),"")</f>
        <v>|</v>
      </c>
      <c r="P265" t="str">
        <f ca="1">IF($K265="Yes",COUNTIFS($K$4:$K265,"Yes"),"")</f>
        <v/>
      </c>
      <c r="Q265">
        <f t="shared" ca="1" si="15"/>
        <v>0</v>
      </c>
      <c r="R265" t="str">
        <f ca="1">IF($Q265=1,SUM($Q$4:$Q265),"")</f>
        <v/>
      </c>
    </row>
    <row r="266" spans="1:18" ht="45" customHeight="1" x14ac:dyDescent="0.3">
      <c r="A266" s="2"/>
      <c r="B266" s="2"/>
      <c r="C266" s="3"/>
      <c r="D266" s="3"/>
      <c r="E266" s="2"/>
      <c r="F266" s="2"/>
      <c r="G266" s="5"/>
      <c r="H266" s="5"/>
      <c r="I266" s="4"/>
      <c r="J266" s="6" t="str">
        <f t="shared" si="14"/>
        <v/>
      </c>
      <c r="K266" s="4" t="str">
        <f t="shared" ca="1" si="17"/>
        <v/>
      </c>
      <c r="L266" s="7" t="str">
        <f>IF($H266="","",$H266-'[2]Read Me'!$B$4)</f>
        <v/>
      </c>
      <c r="M266" s="4" t="str">
        <f>IF($I266="Complete","Green",IF($H266="","Amber",IF($H266&lt;'[2]Read Me'!$B$4,"Red",IF($H266-'[2]Read Me'!$B$4&lt;=21,"Amber","Green"))))</f>
        <v>Amber</v>
      </c>
      <c r="N266" s="3"/>
      <c r="O266" t="str">
        <f>IF($I266&lt;&gt;"Complete",IF(COUNTIFS($A$4:$A265,$A266,$B$4:$B265,$B266,$I$4:$I265,"&lt;&gt;Complete")=0,$A266&amp;"|"&amp;$B266,""),"")</f>
        <v>|</v>
      </c>
      <c r="P266" t="str">
        <f ca="1">IF($K266="Yes",COUNTIFS($K$4:$K266,"Yes"),"")</f>
        <v/>
      </c>
      <c r="Q266">
        <f t="shared" ca="1" si="15"/>
        <v>0</v>
      </c>
      <c r="R266" t="str">
        <f ca="1">IF($Q266=1,SUM($Q$4:$Q266),"")</f>
        <v/>
      </c>
    </row>
    <row r="267" spans="1:18" ht="45" customHeight="1" x14ac:dyDescent="0.3">
      <c r="A267" s="2"/>
      <c r="B267" s="2"/>
      <c r="C267" s="3"/>
      <c r="D267" s="3"/>
      <c r="E267" s="2"/>
      <c r="F267" s="2"/>
      <c r="G267" s="5"/>
      <c r="H267" s="5"/>
      <c r="I267" s="4"/>
      <c r="J267" s="6" t="str">
        <f t="shared" si="14"/>
        <v/>
      </c>
      <c r="K267" s="4" t="str">
        <f t="shared" ca="1" si="17"/>
        <v/>
      </c>
      <c r="L267" s="7" t="str">
        <f>IF($H267="","",$H267-'[2]Read Me'!$B$4)</f>
        <v/>
      </c>
      <c r="M267" s="4" t="str">
        <f>IF($I267="Complete","Green",IF($H267="","Amber",IF($H267&lt;'[2]Read Me'!$B$4,"Red",IF($H267-'[2]Read Me'!$B$4&lt;=21,"Amber","Green"))))</f>
        <v>Amber</v>
      </c>
      <c r="N267" s="3"/>
      <c r="O267" t="str">
        <f>IF($I267&lt;&gt;"Complete",IF(COUNTIFS($A$4:$A266,$A267,$B$4:$B266,$B267,$I$4:$I266,"&lt;&gt;Complete")=0,$A267&amp;"|"&amp;$B267,""),"")</f>
        <v>|</v>
      </c>
      <c r="P267" t="str">
        <f ca="1">IF($K267="Yes",COUNTIFS($K$4:$K267,"Yes"),"")</f>
        <v/>
      </c>
      <c r="Q267">
        <f t="shared" ca="1" si="15"/>
        <v>0</v>
      </c>
      <c r="R267" t="str">
        <f ca="1">IF($Q267=1,SUM($Q$4:$Q267),"")</f>
        <v/>
      </c>
    </row>
    <row r="268" spans="1:18" ht="14.25" customHeight="1" x14ac:dyDescent="0.3">
      <c r="A268" s="2"/>
      <c r="B268" s="2"/>
      <c r="C268" s="3"/>
      <c r="D268" s="3"/>
      <c r="E268" s="2"/>
      <c r="F268" s="2"/>
      <c r="G268" s="5"/>
      <c r="H268" s="5"/>
      <c r="I268" s="4"/>
      <c r="J268" s="6" t="str">
        <f t="shared" si="14"/>
        <v/>
      </c>
      <c r="K268" s="4" t="str">
        <f t="shared" ca="1" si="17"/>
        <v/>
      </c>
      <c r="L268" s="7" t="str">
        <f>IF($H268="","",$H268-'[2]Read Me'!$B$4)</f>
        <v/>
      </c>
      <c r="M268" s="4" t="str">
        <f>IF($I268="Complete","Green",IF($H268="","Amber",IF($H268&lt;'[2]Read Me'!$B$4,"Red",IF($H268-'[2]Read Me'!$B$4&lt;=21,"Amber","Green"))))</f>
        <v>Amber</v>
      </c>
      <c r="N268" s="3"/>
      <c r="O268" t="str">
        <f>IF($I268&lt;&gt;"Complete",IF(COUNTIFS($A$4:$A267,$A268,$B$4:$B267,$B268,$I$4:$I267,"&lt;&gt;Complete")=0,$A268&amp;"|"&amp;$B268,""),"")</f>
        <v>|</v>
      </c>
      <c r="P268" t="str">
        <f ca="1">IF($K268="Yes",COUNTIFS($K$4:$K268,"Yes"),"")</f>
        <v/>
      </c>
      <c r="Q268">
        <f t="shared" ca="1" si="15"/>
        <v>0</v>
      </c>
      <c r="R268" t="str">
        <f ca="1">IF($Q268=1,SUM($Q$4:$Q268),"")</f>
        <v/>
      </c>
    </row>
    <row r="269" spans="1:18" ht="14.25" customHeight="1" x14ac:dyDescent="0.3">
      <c r="A269" s="2"/>
      <c r="B269" s="2"/>
      <c r="C269" s="3"/>
      <c r="D269" s="3"/>
      <c r="E269" s="2"/>
      <c r="F269" s="2"/>
      <c r="G269" s="5"/>
      <c r="H269" s="5"/>
      <c r="I269" s="4"/>
      <c r="J269" s="6" t="str">
        <f t="shared" si="14"/>
        <v/>
      </c>
      <c r="K269" s="4" t="str">
        <f t="shared" ca="1" si="17"/>
        <v/>
      </c>
      <c r="L269" s="7" t="str">
        <f>IF($H269="","",$H269-'[2]Read Me'!$B$4)</f>
        <v/>
      </c>
      <c r="M269" s="4" t="str">
        <f>IF($I269="Complete","Green",IF($H269="","Amber",IF($H269&lt;'[2]Read Me'!$B$4,"Red",IF($H269-'[2]Read Me'!$B$4&lt;=21,"Amber","Green"))))</f>
        <v>Amber</v>
      </c>
      <c r="N269" s="3"/>
      <c r="O269" t="str">
        <f>IF($I269&lt;&gt;"Complete",IF(COUNTIFS($A$4:$A268,$A269,$B$4:$B268,$B269,$I$4:$I268,"&lt;&gt;Complete")=0,$A269&amp;"|"&amp;$B269,""),"")</f>
        <v>|</v>
      </c>
      <c r="P269" t="str">
        <f ca="1">IF($K269="Yes",COUNTIFS($K$4:$K269,"Yes"),"")</f>
        <v/>
      </c>
      <c r="Q269">
        <f t="shared" ca="1" si="15"/>
        <v>0</v>
      </c>
      <c r="R269" t="str">
        <f ca="1">IF($Q269=1,SUM($Q$4:$Q269),"")</f>
        <v/>
      </c>
    </row>
    <row r="270" spans="1:18" ht="14.25" customHeight="1" x14ac:dyDescent="0.3">
      <c r="A270" s="2"/>
      <c r="B270" s="2"/>
      <c r="C270" s="3"/>
      <c r="D270" s="3"/>
      <c r="E270" s="2"/>
      <c r="F270" s="2"/>
      <c r="G270" s="5"/>
      <c r="H270" s="5"/>
      <c r="I270" s="4"/>
      <c r="J270" s="6" t="str">
        <f t="shared" si="14"/>
        <v/>
      </c>
      <c r="K270" s="4" t="str">
        <f t="shared" ca="1" si="17"/>
        <v/>
      </c>
      <c r="L270" s="7" t="str">
        <f>IF($H270="","",$H270-'[2]Read Me'!$B$4)</f>
        <v/>
      </c>
      <c r="M270" s="4" t="str">
        <f>IF($I270="Complete","Green",IF($H270="","Amber",IF($H270&lt;'[2]Read Me'!$B$4,"Red",IF($H270-'[2]Read Me'!$B$4&lt;=21,"Amber","Green"))))</f>
        <v>Amber</v>
      </c>
      <c r="N270" s="3"/>
      <c r="O270" t="str">
        <f>IF($I270&lt;&gt;"Complete",IF(COUNTIFS($A$4:$A269,$A270,$B$4:$B269,$B270,$I$4:$I269,"&lt;&gt;Complete")=0,$A270&amp;"|"&amp;$B270,""),"")</f>
        <v>|</v>
      </c>
      <c r="P270" t="str">
        <f ca="1">IF($K270="Yes",COUNTIFS($K$4:$K270,"Yes"),"")</f>
        <v/>
      </c>
      <c r="Q270">
        <f t="shared" ca="1" si="15"/>
        <v>0</v>
      </c>
      <c r="R270" t="str">
        <f ca="1">IF($Q270=1,SUM($Q$4:$Q270),"")</f>
        <v/>
      </c>
    </row>
    <row r="271" spans="1:18" ht="14.25" customHeight="1" x14ac:dyDescent="0.3">
      <c r="A271" s="2"/>
      <c r="B271" s="2"/>
      <c r="C271" s="3"/>
      <c r="D271" s="3"/>
      <c r="E271" s="2"/>
      <c r="F271" s="2"/>
      <c r="G271" s="5"/>
      <c r="H271" s="5"/>
      <c r="I271" s="4"/>
      <c r="J271" s="6" t="str">
        <f t="shared" si="14"/>
        <v/>
      </c>
      <c r="K271" s="4" t="str">
        <f t="shared" ca="1" si="17"/>
        <v/>
      </c>
      <c r="L271" s="7" t="str">
        <f>IF($H271="","",$H271-'[2]Read Me'!$B$4)</f>
        <v/>
      </c>
      <c r="M271" s="4" t="str">
        <f>IF($I271="Complete","Green",IF($H271="","Amber",IF($H271&lt;'[2]Read Me'!$B$4,"Red",IF($H271-'[2]Read Me'!$B$4&lt;=21,"Amber","Green"))))</f>
        <v>Amber</v>
      </c>
      <c r="N271" s="3"/>
      <c r="O271" t="str">
        <f>IF($I271&lt;&gt;"Complete",IF(COUNTIFS($A$4:$A270,$A271,$B$4:$B270,$B271,$I$4:$I270,"&lt;&gt;Complete")=0,$A271&amp;"|"&amp;$B271,""),"")</f>
        <v>|</v>
      </c>
      <c r="P271" t="str">
        <f ca="1">IF($K271="Yes",COUNTIFS($K$4:$K271,"Yes"),"")</f>
        <v/>
      </c>
      <c r="Q271">
        <f t="shared" ca="1" si="15"/>
        <v>0</v>
      </c>
      <c r="R271" t="str">
        <f ca="1">IF($Q271=1,SUM($Q$4:$Q271),"")</f>
        <v/>
      </c>
    </row>
    <row r="272" spans="1:18" ht="14.25" customHeight="1" x14ac:dyDescent="0.3">
      <c r="A272" s="2"/>
      <c r="B272" s="2"/>
      <c r="C272" s="3"/>
      <c r="D272" s="3"/>
      <c r="E272" s="2"/>
      <c r="F272" s="2"/>
      <c r="G272" s="5"/>
      <c r="H272" s="5"/>
      <c r="I272" s="4"/>
      <c r="J272" s="6" t="str">
        <f t="shared" si="14"/>
        <v/>
      </c>
      <c r="K272" s="4" t="str">
        <f t="shared" ca="1" si="17"/>
        <v/>
      </c>
      <c r="L272" s="7" t="str">
        <f>IF($H272="","",$H272-'[2]Read Me'!$B$4)</f>
        <v/>
      </c>
      <c r="M272" s="4" t="str">
        <f>IF($I272="Complete","Green",IF($H272="","Amber",IF($H272&lt;'[2]Read Me'!$B$4,"Red",IF($H272-'[2]Read Me'!$B$4&lt;=21,"Amber","Green"))))</f>
        <v>Amber</v>
      </c>
      <c r="N272" s="3"/>
      <c r="O272" t="str">
        <f>IF($I272&lt;&gt;"Complete",IF(COUNTIFS($A$4:$A271,$A272,$B$4:$B271,$B272,$I$4:$I271,"&lt;&gt;Complete")=0,$A272&amp;"|"&amp;$B272,""),"")</f>
        <v>|</v>
      </c>
      <c r="P272" t="str">
        <f ca="1">IF($K272="Yes",COUNTIFS($K$4:$K272,"Yes"),"")</f>
        <v/>
      </c>
      <c r="Q272">
        <f t="shared" ca="1" si="15"/>
        <v>0</v>
      </c>
      <c r="R272" t="str">
        <f ca="1">IF($Q272=1,SUM($Q$4:$Q272),"")</f>
        <v/>
      </c>
    </row>
    <row r="273" spans="1:18" ht="14.25" customHeight="1" x14ac:dyDescent="0.3">
      <c r="A273" s="2"/>
      <c r="B273" s="2"/>
      <c r="C273" s="3"/>
      <c r="D273" s="3"/>
      <c r="E273" s="2"/>
      <c r="F273" s="2"/>
      <c r="G273" s="5"/>
      <c r="H273" s="5"/>
      <c r="I273" s="4"/>
      <c r="J273" s="6" t="str">
        <f t="shared" si="14"/>
        <v/>
      </c>
      <c r="K273" s="4" t="str">
        <f t="shared" ca="1" si="17"/>
        <v/>
      </c>
      <c r="L273" s="7" t="str">
        <f>IF($H273="","",$H273-'[2]Read Me'!$B$4)</f>
        <v/>
      </c>
      <c r="M273" s="4" t="str">
        <f>IF($I273="Complete","Green",IF($H273="","Amber",IF($H273&lt;'[2]Read Me'!$B$4,"Red",IF($H273-'[2]Read Me'!$B$4&lt;=21,"Amber","Green"))))</f>
        <v>Amber</v>
      </c>
      <c r="N273" s="3"/>
      <c r="O273" t="str">
        <f>IF($I273&lt;&gt;"Complete",IF(COUNTIFS($A$4:$A272,$A273,$B$4:$B272,$B273,$I$4:$I272,"&lt;&gt;Complete")=0,$A273&amp;"|"&amp;$B273,""),"")</f>
        <v>|</v>
      </c>
      <c r="P273" t="str">
        <f ca="1">IF($K273="Yes",COUNTIFS($K$4:$K273,"Yes"),"")</f>
        <v/>
      </c>
      <c r="Q273">
        <f t="shared" ca="1" si="15"/>
        <v>0</v>
      </c>
      <c r="R273" t="str">
        <f ca="1">IF($Q273=1,SUM($Q$4:$Q273),"")</f>
        <v/>
      </c>
    </row>
    <row r="274" spans="1:18" ht="14.25" customHeight="1" x14ac:dyDescent="0.3">
      <c r="A274" s="2"/>
      <c r="B274" s="2"/>
      <c r="C274" s="3"/>
      <c r="D274" s="3"/>
      <c r="E274" s="2"/>
      <c r="F274" s="2"/>
      <c r="G274" s="5"/>
      <c r="H274" s="5"/>
      <c r="I274" s="4"/>
      <c r="J274" s="6" t="str">
        <f t="shared" si="14"/>
        <v/>
      </c>
      <c r="K274" s="4" t="str">
        <f t="shared" ca="1" si="17"/>
        <v/>
      </c>
      <c r="L274" s="7" t="str">
        <f>IF($H274="","",$H274-'[2]Read Me'!$B$4)</f>
        <v/>
      </c>
      <c r="M274" s="4" t="str">
        <f>IF($I274="Complete","Green",IF($H274="","Amber",IF($H274&lt;'[2]Read Me'!$B$4,"Red",IF($H274-'[2]Read Me'!$B$4&lt;=21,"Amber","Green"))))</f>
        <v>Amber</v>
      </c>
      <c r="N274" s="3"/>
      <c r="O274" t="str">
        <f>IF($I274&lt;&gt;"Complete",IF(COUNTIFS($A$4:$A273,$A274,$B$4:$B273,$B274,$I$4:$I273,"&lt;&gt;Complete")=0,$A274&amp;"|"&amp;$B274,""),"")</f>
        <v>|</v>
      </c>
      <c r="P274" t="str">
        <f ca="1">IF($K274="Yes",COUNTIFS($K$4:$K274,"Yes"),"")</f>
        <v/>
      </c>
      <c r="Q274">
        <f t="shared" ca="1" si="15"/>
        <v>0</v>
      </c>
      <c r="R274" t="str">
        <f ca="1">IF($Q274=1,SUM($Q$4:$Q274),"")</f>
        <v/>
      </c>
    </row>
    <row r="275" spans="1:18" ht="14.25" customHeight="1" x14ac:dyDescent="0.3">
      <c r="A275" s="2"/>
      <c r="B275" s="2"/>
      <c r="C275" s="3"/>
      <c r="D275" s="3"/>
      <c r="E275" s="2"/>
      <c r="F275" s="2"/>
      <c r="G275" s="5"/>
      <c r="H275" s="5"/>
      <c r="I275" s="4"/>
      <c r="J275" s="6" t="str">
        <f t="shared" si="14"/>
        <v/>
      </c>
      <c r="K275" s="4" t="str">
        <f t="shared" ca="1" si="17"/>
        <v/>
      </c>
      <c r="L275" s="7" t="str">
        <f>IF($H275="","",$H275-'[2]Read Me'!$B$4)</f>
        <v/>
      </c>
      <c r="M275" s="4" t="str">
        <f>IF($I275="Complete","Green",IF($H275="","Amber",IF($H275&lt;'[2]Read Me'!$B$4,"Red",IF($H275-'[2]Read Me'!$B$4&lt;=21,"Amber","Green"))))</f>
        <v>Amber</v>
      </c>
      <c r="N275" s="3"/>
      <c r="O275" t="str">
        <f>IF($I275&lt;&gt;"Complete",IF(COUNTIFS($A$4:$A274,$A275,$B$4:$B274,$B275,$I$4:$I274,"&lt;&gt;Complete")=0,$A275&amp;"|"&amp;$B275,""),"")</f>
        <v>|</v>
      </c>
      <c r="P275" t="str">
        <f ca="1">IF($K275="Yes",COUNTIFS($K$4:$K275,"Yes"),"")</f>
        <v/>
      </c>
      <c r="Q275">
        <f t="shared" ca="1" si="15"/>
        <v>0</v>
      </c>
      <c r="R275" t="str">
        <f ca="1">IF($Q275=1,SUM($Q$4:$Q275),"")</f>
        <v/>
      </c>
    </row>
    <row r="276" spans="1:18" ht="14.25" customHeight="1" x14ac:dyDescent="0.3">
      <c r="A276" s="2"/>
      <c r="B276" s="2"/>
      <c r="C276" s="3"/>
      <c r="D276" s="3"/>
      <c r="E276" s="2"/>
      <c r="F276" s="2"/>
      <c r="G276" s="5"/>
      <c r="H276" s="5"/>
      <c r="I276" s="4"/>
      <c r="J276" s="6" t="str">
        <f t="shared" si="14"/>
        <v/>
      </c>
      <c r="K276" s="4" t="str">
        <f t="shared" ca="1" si="17"/>
        <v/>
      </c>
      <c r="L276" s="7" t="str">
        <f>IF($H276="","",$H276-'[2]Read Me'!$B$4)</f>
        <v/>
      </c>
      <c r="M276" s="4" t="str">
        <f>IF($I276="Complete","Green",IF($H276="","Amber",IF($H276&lt;'[2]Read Me'!$B$4,"Red",IF($H276-'[2]Read Me'!$B$4&lt;=21,"Amber","Green"))))</f>
        <v>Amber</v>
      </c>
      <c r="N276" s="3"/>
      <c r="O276" t="str">
        <f>IF($I276&lt;&gt;"Complete",IF(COUNTIFS($A$4:$A275,$A276,$B$4:$B275,$B276,$I$4:$I275,"&lt;&gt;Complete")=0,$A276&amp;"|"&amp;$B276,""),"")</f>
        <v>|</v>
      </c>
      <c r="P276" t="str">
        <f ca="1">IF($K276="Yes",COUNTIFS($K$4:$K276,"Yes"),"")</f>
        <v/>
      </c>
      <c r="Q276">
        <f t="shared" ca="1" si="15"/>
        <v>0</v>
      </c>
      <c r="R276" t="str">
        <f ca="1">IF($Q276=1,SUM($Q$4:$Q276),"")</f>
        <v/>
      </c>
    </row>
    <row r="277" spans="1:18" ht="14.25" customHeight="1" x14ac:dyDescent="0.3">
      <c r="A277" s="2"/>
      <c r="B277" s="2"/>
      <c r="C277" s="3"/>
      <c r="D277" s="3"/>
      <c r="E277" s="2"/>
      <c r="F277" s="2"/>
      <c r="G277" s="5"/>
      <c r="H277" s="5"/>
      <c r="I277" s="4"/>
      <c r="J277" s="6" t="str">
        <f t="shared" si="14"/>
        <v/>
      </c>
      <c r="K277" s="4" t="str">
        <f t="shared" ca="1" si="17"/>
        <v/>
      </c>
      <c r="L277" s="7" t="str">
        <f>IF($H277="","",$H277-'[2]Read Me'!$B$4)</f>
        <v/>
      </c>
      <c r="M277" s="4" t="str">
        <f>IF($I277="Complete","Green",IF($H277="","Amber",IF($H277&lt;'[2]Read Me'!$B$4,"Red",IF($H277-'[2]Read Me'!$B$4&lt;=21,"Amber","Green"))))</f>
        <v>Amber</v>
      </c>
      <c r="N277" s="3"/>
      <c r="O277" t="str">
        <f>IF($I277&lt;&gt;"Complete",IF(COUNTIFS($A$4:$A276,$A277,$B$4:$B276,$B277,$I$4:$I276,"&lt;&gt;Complete")=0,$A277&amp;"|"&amp;$B277,""),"")</f>
        <v>|</v>
      </c>
      <c r="P277" t="str">
        <f ca="1">IF($K277="Yes",COUNTIFS($K$4:$K277,"Yes"),"")</f>
        <v/>
      </c>
      <c r="Q277">
        <f t="shared" ca="1" si="15"/>
        <v>0</v>
      </c>
      <c r="R277" t="str">
        <f ca="1">IF($Q277=1,SUM($Q$4:$Q277),"")</f>
        <v/>
      </c>
    </row>
    <row r="278" spans="1:18" ht="14.25" customHeight="1" x14ac:dyDescent="0.3">
      <c r="A278" s="2"/>
      <c r="B278" s="2"/>
      <c r="C278" s="3"/>
      <c r="D278" s="3"/>
      <c r="E278" s="2"/>
      <c r="F278" s="2"/>
      <c r="G278" s="5"/>
      <c r="H278" s="5"/>
      <c r="I278" s="4"/>
      <c r="J278" s="6" t="str">
        <f t="shared" si="14"/>
        <v/>
      </c>
      <c r="K278" s="4" t="str">
        <f t="shared" ca="1" si="17"/>
        <v/>
      </c>
      <c r="L278" s="7" t="str">
        <f>IF($H278="","",$H278-'[2]Read Me'!$B$4)</f>
        <v/>
      </c>
      <c r="M278" s="4" t="str">
        <f>IF($I278="Complete","Green",IF($H278="","Amber",IF($H278&lt;'[2]Read Me'!$B$4,"Red",IF($H278-'[2]Read Me'!$B$4&lt;=21,"Amber","Green"))))</f>
        <v>Amber</v>
      </c>
      <c r="N278" s="3"/>
      <c r="O278" t="str">
        <f>IF($I278&lt;&gt;"Complete",IF(COUNTIFS($A$4:$A277,$A278,$B$4:$B277,$B278,$I$4:$I277,"&lt;&gt;Complete")=0,$A278&amp;"|"&amp;$B278,""),"")</f>
        <v>|</v>
      </c>
      <c r="P278" t="str">
        <f ca="1">IF($K278="Yes",COUNTIFS($K$4:$K278,"Yes"),"")</f>
        <v/>
      </c>
      <c r="Q278">
        <f t="shared" ca="1" si="15"/>
        <v>0</v>
      </c>
      <c r="R278" t="str">
        <f ca="1">IF($Q278=1,SUM($Q$4:$Q278),"")</f>
        <v/>
      </c>
    </row>
    <row r="279" spans="1:18" ht="14.25" customHeight="1" x14ac:dyDescent="0.3">
      <c r="A279" s="2"/>
      <c r="B279" s="2"/>
      <c r="C279" s="3"/>
      <c r="D279" s="3"/>
      <c r="E279" s="2"/>
      <c r="F279" s="2"/>
      <c r="G279" s="5"/>
      <c r="H279" s="5"/>
      <c r="I279" s="4"/>
      <c r="J279" s="6" t="str">
        <f t="shared" si="14"/>
        <v/>
      </c>
      <c r="K279" s="4" t="str">
        <f t="shared" ca="1" si="17"/>
        <v/>
      </c>
      <c r="L279" s="7" t="str">
        <f>IF($H279="","",$H279-'[2]Read Me'!$B$4)</f>
        <v/>
      </c>
      <c r="M279" s="4" t="str">
        <f>IF($I279="Complete","Green",IF($H279="","Amber",IF($H279&lt;'[2]Read Me'!$B$4,"Red",IF($H279-'[2]Read Me'!$B$4&lt;=21,"Amber","Green"))))</f>
        <v>Amber</v>
      </c>
      <c r="N279" s="3"/>
      <c r="O279" t="str">
        <f>IF($I279&lt;&gt;"Complete",IF(COUNTIFS($A$4:$A278,$A279,$B$4:$B278,$B279,$I$4:$I278,"&lt;&gt;Complete")=0,$A279&amp;"|"&amp;$B279,""),"")</f>
        <v>|</v>
      </c>
      <c r="P279" t="str">
        <f ca="1">IF($K279="Yes",COUNTIFS($K$4:$K279,"Yes"),"")</f>
        <v/>
      </c>
      <c r="Q279">
        <f t="shared" ca="1" si="15"/>
        <v>0</v>
      </c>
      <c r="R279" t="str">
        <f ca="1">IF($Q279=1,SUM($Q$4:$Q279),"")</f>
        <v/>
      </c>
    </row>
    <row r="280" spans="1:18" ht="14.25" customHeight="1" x14ac:dyDescent="0.3">
      <c r="A280" s="2"/>
      <c r="B280" s="2"/>
      <c r="C280" s="3"/>
      <c r="D280" s="3"/>
      <c r="E280" s="2"/>
      <c r="F280" s="2"/>
      <c r="G280" s="5"/>
      <c r="H280" s="5"/>
      <c r="I280" s="4"/>
      <c r="J280" s="6" t="str">
        <f t="shared" si="14"/>
        <v/>
      </c>
      <c r="K280" s="4" t="str">
        <f t="shared" ca="1" si="17"/>
        <v/>
      </c>
      <c r="L280" s="7" t="str">
        <f>IF($H280="","",$H280-'[2]Read Me'!$B$4)</f>
        <v/>
      </c>
      <c r="M280" s="4" t="str">
        <f>IF($I280="Complete","Green",IF($H280="","Amber",IF($H280&lt;'[2]Read Me'!$B$4,"Red",IF($H280-'[2]Read Me'!$B$4&lt;=21,"Amber","Green"))))</f>
        <v>Amber</v>
      </c>
      <c r="N280" s="3"/>
      <c r="O280" t="str">
        <f>IF($I280&lt;&gt;"Complete",IF(COUNTIFS($A$4:$A279,$A280,$B$4:$B279,$B280,$I$4:$I279,"&lt;&gt;Complete")=0,$A280&amp;"|"&amp;$B280,""),"")</f>
        <v>|</v>
      </c>
      <c r="P280" t="str">
        <f ca="1">IF($K280="Yes",COUNTIFS($K$4:$K280,"Yes"),"")</f>
        <v/>
      </c>
      <c r="Q280">
        <f t="shared" ca="1" si="15"/>
        <v>0</v>
      </c>
      <c r="R280" t="str">
        <f ca="1">IF($Q280=1,SUM($Q$4:$Q280),"")</f>
        <v/>
      </c>
    </row>
    <row r="281" spans="1:18" ht="14.25" customHeight="1" x14ac:dyDescent="0.3">
      <c r="A281" s="2"/>
      <c r="B281" s="2"/>
      <c r="C281" s="3"/>
      <c r="D281" s="3"/>
      <c r="E281" s="2"/>
      <c r="F281" s="2"/>
      <c r="G281" s="5"/>
      <c r="H281" s="5"/>
      <c r="I281" s="4"/>
      <c r="J281" s="6" t="str">
        <f t="shared" si="14"/>
        <v/>
      </c>
      <c r="K281" s="4" t="str">
        <f t="shared" ca="1" si="17"/>
        <v/>
      </c>
      <c r="L281" s="7" t="str">
        <f>IF($H281="","",$H281-'[2]Read Me'!$B$4)</f>
        <v/>
      </c>
      <c r="M281" s="4" t="str">
        <f>IF($I281="Complete","Green",IF($H281="","Amber",IF($H281&lt;'[2]Read Me'!$B$4,"Red",IF($H281-'[2]Read Me'!$B$4&lt;=21,"Amber","Green"))))</f>
        <v>Amber</v>
      </c>
      <c r="N281" s="3"/>
      <c r="O281" t="str">
        <f>IF($I281&lt;&gt;"Complete",IF(COUNTIFS($A$4:$A280,$A281,$B$4:$B280,$B281,$I$4:$I280,"&lt;&gt;Complete")=0,$A281&amp;"|"&amp;$B281,""),"")</f>
        <v>|</v>
      </c>
      <c r="P281" t="str">
        <f ca="1">IF($K281="Yes",COUNTIFS($K$4:$K281,"Yes"),"")</f>
        <v/>
      </c>
      <c r="Q281">
        <f t="shared" ca="1" si="15"/>
        <v>0</v>
      </c>
      <c r="R281" t="str">
        <f ca="1">IF($Q281=1,SUM($Q$4:$Q281),"")</f>
        <v/>
      </c>
    </row>
    <row r="282" spans="1:18" ht="14.25" customHeight="1" x14ac:dyDescent="0.3">
      <c r="A282" s="2"/>
      <c r="B282" s="2"/>
      <c r="C282" s="3"/>
      <c r="D282" s="3"/>
      <c r="E282" s="2"/>
      <c r="F282" s="2"/>
      <c r="G282" s="5"/>
      <c r="H282" s="5"/>
      <c r="I282" s="4"/>
      <c r="J282" s="6" t="str">
        <f t="shared" si="14"/>
        <v/>
      </c>
      <c r="K282" s="4" t="str">
        <f t="shared" ca="1" si="17"/>
        <v/>
      </c>
      <c r="L282" s="7" t="str">
        <f>IF($H282="","",$H282-'[2]Read Me'!$B$4)</f>
        <v/>
      </c>
      <c r="M282" s="4" t="str">
        <f>IF($I282="Complete","Green",IF($H282="","Amber",IF($H282&lt;'[2]Read Me'!$B$4,"Red",IF($H282-'[2]Read Me'!$B$4&lt;=21,"Amber","Green"))))</f>
        <v>Amber</v>
      </c>
      <c r="N282" s="3"/>
      <c r="O282" t="str">
        <f>IF($I282&lt;&gt;"Complete",IF(COUNTIFS($A$4:$A281,$A282,$B$4:$B281,$B282,$I$4:$I281,"&lt;&gt;Complete")=0,$A282&amp;"|"&amp;$B282,""),"")</f>
        <v>|</v>
      </c>
      <c r="P282" t="str">
        <f ca="1">IF($K282="Yes",COUNTIFS($K$4:$K282,"Yes"),"")</f>
        <v/>
      </c>
      <c r="Q282">
        <f t="shared" ca="1" si="15"/>
        <v>0</v>
      </c>
      <c r="R282" t="str">
        <f ca="1">IF($Q282=1,SUM($Q$4:$Q282),"")</f>
        <v/>
      </c>
    </row>
    <row r="283" spans="1:18" ht="14.25" customHeight="1" x14ac:dyDescent="0.3">
      <c r="A283" s="2"/>
      <c r="B283" s="2"/>
      <c r="C283" s="3"/>
      <c r="D283" s="3"/>
      <c r="E283" s="2"/>
      <c r="F283" s="2"/>
      <c r="G283" s="5"/>
      <c r="H283" s="5"/>
      <c r="I283" s="4"/>
      <c r="J283" s="6" t="str">
        <f t="shared" si="14"/>
        <v/>
      </c>
      <c r="K283" s="4" t="str">
        <f t="shared" ca="1" si="17"/>
        <v/>
      </c>
      <c r="L283" s="7" t="str">
        <f>IF($H283="","",$H283-'[2]Read Me'!$B$4)</f>
        <v/>
      </c>
      <c r="M283" s="4" t="str">
        <f>IF($I283="Complete","Green",IF($H283="","Amber",IF($H283&lt;'[2]Read Me'!$B$4,"Red",IF($H283-'[2]Read Me'!$B$4&lt;=21,"Amber","Green"))))</f>
        <v>Amber</v>
      </c>
      <c r="N283" s="3"/>
      <c r="O283" t="str">
        <f>IF($I283&lt;&gt;"Complete",IF(COUNTIFS($A$4:$A282,$A283,$B$4:$B282,$B283,$I$4:$I282,"&lt;&gt;Complete")=0,$A283&amp;"|"&amp;$B283,""),"")</f>
        <v>|</v>
      </c>
      <c r="P283" t="str">
        <f ca="1">IF($K283="Yes",COUNTIFS($K$4:$K283,"Yes"),"")</f>
        <v/>
      </c>
      <c r="Q283">
        <f t="shared" ca="1" si="15"/>
        <v>0</v>
      </c>
      <c r="R283" t="str">
        <f ca="1">IF($Q283=1,SUM($Q$4:$Q283),"")</f>
        <v/>
      </c>
    </row>
    <row r="284" spans="1:18" ht="14.25" customHeight="1" x14ac:dyDescent="0.3">
      <c r="A284" s="2"/>
      <c r="B284" s="2"/>
      <c r="C284" s="3"/>
      <c r="D284" s="3"/>
      <c r="E284" s="2"/>
      <c r="F284" s="2"/>
      <c r="G284" s="5"/>
      <c r="H284" s="5"/>
      <c r="I284" s="4"/>
      <c r="J284" s="6" t="str">
        <f t="shared" si="14"/>
        <v/>
      </c>
      <c r="K284" s="4" t="str">
        <f t="shared" ca="1" si="17"/>
        <v/>
      </c>
      <c r="L284" s="7" t="str">
        <f>IF($H284="","",$H284-'[2]Read Me'!$B$4)</f>
        <v/>
      </c>
      <c r="M284" s="4" t="str">
        <f>IF($I284="Complete","Green",IF($H284="","Amber",IF($H284&lt;'[2]Read Me'!$B$4,"Red",IF($H284-'[2]Read Me'!$B$4&lt;=21,"Amber","Green"))))</f>
        <v>Amber</v>
      </c>
      <c r="N284" s="3"/>
      <c r="O284" t="str">
        <f>IF($I284&lt;&gt;"Complete",IF(COUNTIFS($A$4:$A283,$A284,$B$4:$B283,$B284,$I$4:$I283,"&lt;&gt;Complete")=0,$A284&amp;"|"&amp;$B284,""),"")</f>
        <v>|</v>
      </c>
      <c r="P284" t="str">
        <f ca="1">IF($K284="Yes",COUNTIFS($K$4:$K284,"Yes"),"")</f>
        <v/>
      </c>
      <c r="Q284">
        <f t="shared" ca="1" si="15"/>
        <v>0</v>
      </c>
      <c r="R284" t="str">
        <f ca="1">IF($Q284=1,SUM($Q$4:$Q284),"")</f>
        <v/>
      </c>
    </row>
    <row r="285" spans="1:18" ht="14.25" customHeight="1" x14ac:dyDescent="0.3">
      <c r="A285" s="2"/>
      <c r="B285" s="2"/>
      <c r="C285" s="3"/>
      <c r="D285" s="3"/>
      <c r="E285" s="2"/>
      <c r="F285" s="2"/>
      <c r="G285" s="5"/>
      <c r="H285" s="5"/>
      <c r="I285" s="4"/>
      <c r="J285" s="6" t="str">
        <f t="shared" si="14"/>
        <v/>
      </c>
      <c r="K285" s="4" t="str">
        <f t="shared" ca="1" si="17"/>
        <v/>
      </c>
      <c r="L285" s="7" t="str">
        <f>IF($H285="","",$H285-'[2]Read Me'!$B$4)</f>
        <v/>
      </c>
      <c r="M285" s="4" t="str">
        <f>IF($I285="Complete","Green",IF($H285="","Amber",IF($H285&lt;'[2]Read Me'!$B$4,"Red",IF($H285-'[2]Read Me'!$B$4&lt;=21,"Amber","Green"))))</f>
        <v>Amber</v>
      </c>
      <c r="N285" s="3"/>
      <c r="O285" t="str">
        <f>IF($I285&lt;&gt;"Complete",IF(COUNTIFS($A$4:$A284,$A285,$B$4:$B284,$B285,$I$4:$I284,"&lt;&gt;Complete")=0,$A285&amp;"|"&amp;$B285,""),"")</f>
        <v>|</v>
      </c>
      <c r="P285" t="str">
        <f ca="1">IF($K285="Yes",COUNTIFS($K$4:$K285,"Yes"),"")</f>
        <v/>
      </c>
      <c r="Q285">
        <f t="shared" ca="1" si="15"/>
        <v>0</v>
      </c>
      <c r="R285" t="str">
        <f ca="1">IF($Q285=1,SUM($Q$4:$Q285),"")</f>
        <v/>
      </c>
    </row>
    <row r="286" spans="1:18" ht="14.25" customHeight="1" x14ac:dyDescent="0.3">
      <c r="A286" s="2"/>
      <c r="B286" s="2"/>
      <c r="C286" s="3"/>
      <c r="D286" s="3"/>
      <c r="E286" s="2"/>
      <c r="F286" s="2"/>
      <c r="G286" s="5"/>
      <c r="H286" s="5"/>
      <c r="I286" s="4"/>
      <c r="J286" s="6" t="str">
        <f t="shared" si="14"/>
        <v/>
      </c>
      <c r="K286" s="4" t="str">
        <f t="shared" ca="1" si="17"/>
        <v/>
      </c>
      <c r="L286" s="7" t="str">
        <f>IF($H286="","",$H286-'[2]Read Me'!$B$4)</f>
        <v/>
      </c>
      <c r="M286" s="4" t="str">
        <f>IF($I286="Complete","Green",IF($H286="","Amber",IF($H286&lt;'[2]Read Me'!$B$4,"Red",IF($H286-'[2]Read Me'!$B$4&lt;=21,"Amber","Green"))))</f>
        <v>Amber</v>
      </c>
      <c r="N286" s="3"/>
      <c r="O286" t="str">
        <f>IF($I286&lt;&gt;"Complete",IF(COUNTIFS($A$4:$A285,$A286,$B$4:$B285,$B286,$I$4:$I285,"&lt;&gt;Complete")=0,$A286&amp;"|"&amp;$B286,""),"")</f>
        <v>|</v>
      </c>
      <c r="P286" t="str">
        <f ca="1">IF($K286="Yes",COUNTIFS($K$4:$K286,"Yes"),"")</f>
        <v/>
      </c>
      <c r="Q286">
        <f t="shared" ca="1" si="15"/>
        <v>0</v>
      </c>
      <c r="R286" t="str">
        <f ca="1">IF($Q286=1,SUM($Q$4:$Q286),"")</f>
        <v/>
      </c>
    </row>
    <row r="287" spans="1:18" ht="14.25" customHeight="1" x14ac:dyDescent="0.3">
      <c r="A287" s="2"/>
      <c r="B287" s="2"/>
      <c r="C287" s="3"/>
      <c r="D287" s="3"/>
      <c r="E287" s="2"/>
      <c r="F287" s="2"/>
      <c r="G287" s="5"/>
      <c r="H287" s="5"/>
      <c r="I287" s="4"/>
      <c r="J287" s="6" t="str">
        <f t="shared" si="14"/>
        <v/>
      </c>
      <c r="K287" s="4" t="str">
        <f t="shared" ca="1" si="17"/>
        <v/>
      </c>
      <c r="L287" s="7" t="str">
        <f>IF($H287="","",$H287-'[2]Read Me'!$B$4)</f>
        <v/>
      </c>
      <c r="M287" s="4" t="str">
        <f>IF($I287="Complete","Green",IF($H287="","Amber",IF($H287&lt;'[2]Read Me'!$B$4,"Red",IF($H287-'[2]Read Me'!$B$4&lt;=21,"Amber","Green"))))</f>
        <v>Amber</v>
      </c>
      <c r="N287" s="3"/>
      <c r="O287" t="str">
        <f>IF($I287&lt;&gt;"Complete",IF(COUNTIFS($A$4:$A286,$A287,$B$4:$B286,$B287,$I$4:$I286,"&lt;&gt;Complete")=0,$A287&amp;"|"&amp;$B287,""),"")</f>
        <v>|</v>
      </c>
      <c r="P287" t="str">
        <f ca="1">IF($K287="Yes",COUNTIFS($K$4:$K287,"Yes"),"")</f>
        <v/>
      </c>
      <c r="Q287">
        <f t="shared" ca="1" si="15"/>
        <v>0</v>
      </c>
      <c r="R287" t="str">
        <f ca="1">IF($Q287=1,SUM($Q$4:$Q287),"")</f>
        <v/>
      </c>
    </row>
    <row r="288" spans="1:18" ht="14.25" customHeight="1" x14ac:dyDescent="0.3">
      <c r="A288" s="2"/>
      <c r="B288" s="2"/>
      <c r="C288" s="3"/>
      <c r="D288" s="3"/>
      <c r="E288" s="2"/>
      <c r="F288" s="2"/>
      <c r="G288" s="5"/>
      <c r="H288" s="5"/>
      <c r="I288" s="4"/>
      <c r="J288" s="6" t="str">
        <f t="shared" si="14"/>
        <v/>
      </c>
      <c r="K288" s="4" t="str">
        <f t="shared" ca="1" si="17"/>
        <v/>
      </c>
      <c r="L288" s="7" t="str">
        <f>IF($H288="","",$H288-'[2]Read Me'!$B$4)</f>
        <v/>
      </c>
      <c r="M288" s="4" t="str">
        <f>IF($I288="Complete","Green",IF($H288="","Amber",IF($H288&lt;'[2]Read Me'!$B$4,"Red",IF($H288-'[2]Read Me'!$B$4&lt;=21,"Amber","Green"))))</f>
        <v>Amber</v>
      </c>
      <c r="N288" s="3"/>
      <c r="O288" t="str">
        <f>IF($I288&lt;&gt;"Complete",IF(COUNTIFS($A$4:$A287,$A288,$B$4:$B287,$B288,$I$4:$I287,"&lt;&gt;Complete")=0,$A288&amp;"|"&amp;$B288,""),"")</f>
        <v>|</v>
      </c>
      <c r="P288" t="str">
        <f ca="1">IF($K288="Yes",COUNTIFS($K$4:$K288,"Yes"),"")</f>
        <v/>
      </c>
      <c r="Q288">
        <f t="shared" ca="1" si="15"/>
        <v>0</v>
      </c>
      <c r="R288" t="str">
        <f ca="1">IF($Q288=1,SUM($Q$4:$Q288),"")</f>
        <v/>
      </c>
    </row>
    <row r="289" spans="1:18" ht="14.25" customHeight="1" x14ac:dyDescent="0.3">
      <c r="A289" s="2"/>
      <c r="B289" s="2"/>
      <c r="C289" s="3"/>
      <c r="D289" s="3"/>
      <c r="E289" s="2"/>
      <c r="F289" s="2"/>
      <c r="G289" s="5"/>
      <c r="H289" s="5"/>
      <c r="I289" s="4"/>
      <c r="J289" s="6" t="str">
        <f t="shared" si="14"/>
        <v/>
      </c>
      <c r="K289" s="4" t="str">
        <f t="shared" ca="1" si="17"/>
        <v/>
      </c>
      <c r="L289" s="7" t="str">
        <f>IF($H289="","",$H289-'[2]Read Me'!$B$4)</f>
        <v/>
      </c>
      <c r="M289" s="4" t="str">
        <f>IF($I289="Complete","Green",IF($H289="","Amber",IF($H289&lt;'[2]Read Me'!$B$4,"Red",IF($H289-'[2]Read Me'!$B$4&lt;=21,"Amber","Green"))))</f>
        <v>Amber</v>
      </c>
      <c r="N289" s="3"/>
      <c r="O289" t="str">
        <f>IF($I289&lt;&gt;"Complete",IF(COUNTIFS($A$4:$A288,$A289,$B$4:$B288,$B289,$I$4:$I288,"&lt;&gt;Complete")=0,$A289&amp;"|"&amp;$B289,""),"")</f>
        <v>|</v>
      </c>
      <c r="P289" t="str">
        <f ca="1">IF($K289="Yes",COUNTIFS($K$4:$K289,"Yes"),"")</f>
        <v/>
      </c>
      <c r="Q289">
        <f t="shared" ca="1" si="15"/>
        <v>0</v>
      </c>
      <c r="R289" t="str">
        <f ca="1">IF($Q289=1,SUM($Q$4:$Q289),"")</f>
        <v/>
      </c>
    </row>
    <row r="290" spans="1:18" ht="14.25" customHeight="1" x14ac:dyDescent="0.3">
      <c r="A290" s="2"/>
      <c r="B290" s="2"/>
      <c r="C290" s="3"/>
      <c r="D290" s="3"/>
      <c r="E290" s="2"/>
      <c r="F290" s="2"/>
      <c r="G290" s="5"/>
      <c r="H290" s="5"/>
      <c r="I290" s="4"/>
      <c r="J290" s="6" t="str">
        <f t="shared" si="14"/>
        <v/>
      </c>
      <c r="K290" s="4" t="str">
        <f t="shared" ca="1" si="17"/>
        <v/>
      </c>
      <c r="L290" s="7" t="str">
        <f>IF($H290="","",$H290-'[2]Read Me'!$B$4)</f>
        <v/>
      </c>
      <c r="M290" s="4" t="str">
        <f>IF($I290="Complete","Green",IF($H290="","Amber",IF($H290&lt;'[2]Read Me'!$B$4,"Red",IF($H290-'[2]Read Me'!$B$4&lt;=21,"Amber","Green"))))</f>
        <v>Amber</v>
      </c>
      <c r="N290" s="3"/>
      <c r="O290" t="str">
        <f>IF($I290&lt;&gt;"Complete",IF(COUNTIFS($A$4:$A289,$A290,$B$4:$B289,$B290,$I$4:$I289,"&lt;&gt;Complete")=0,$A290&amp;"|"&amp;$B290,""),"")</f>
        <v>|</v>
      </c>
      <c r="P290" t="str">
        <f ca="1">IF($K290="Yes",COUNTIFS($K$4:$K290,"Yes"),"")</f>
        <v/>
      </c>
      <c r="Q290">
        <f t="shared" ca="1" si="15"/>
        <v>0</v>
      </c>
      <c r="R290" t="str">
        <f ca="1">IF($Q290=1,SUM($Q$4:$Q290),"")</f>
        <v/>
      </c>
    </row>
    <row r="291" spans="1:18" ht="14.25" customHeight="1" x14ac:dyDescent="0.3">
      <c r="A291" s="2"/>
      <c r="B291" s="2"/>
      <c r="C291" s="3"/>
      <c r="D291" s="3"/>
      <c r="E291" s="2"/>
      <c r="F291" s="2"/>
      <c r="G291" s="5"/>
      <c r="H291" s="5"/>
      <c r="I291" s="4"/>
      <c r="J291" s="6" t="str">
        <f t="shared" si="14"/>
        <v/>
      </c>
      <c r="K291" s="4" t="str">
        <f t="shared" ca="1" si="17"/>
        <v/>
      </c>
      <c r="L291" s="7" t="str">
        <f>IF($H291="","",$H291-'[2]Read Me'!$B$4)</f>
        <v/>
      </c>
      <c r="M291" s="4" t="str">
        <f>IF($I291="Complete","Green",IF($H291="","Amber",IF($H291&lt;'[2]Read Me'!$B$4,"Red",IF($H291-'[2]Read Me'!$B$4&lt;=21,"Amber","Green"))))</f>
        <v>Amber</v>
      </c>
      <c r="N291" s="3"/>
      <c r="O291" t="str">
        <f>IF($I291&lt;&gt;"Complete",IF(COUNTIFS($A$4:$A290,$A291,$B$4:$B290,$B291,$I$4:$I290,"&lt;&gt;Complete")=0,$A291&amp;"|"&amp;$B291,""),"")</f>
        <v>|</v>
      </c>
      <c r="P291" t="str">
        <f ca="1">IF($K291="Yes",COUNTIFS($K$4:$K291,"Yes"),"")</f>
        <v/>
      </c>
      <c r="Q291">
        <f t="shared" ca="1" si="15"/>
        <v>0</v>
      </c>
      <c r="R291" t="str">
        <f ca="1">IF($Q291=1,SUM($Q$4:$Q291),"")</f>
        <v/>
      </c>
    </row>
    <row r="292" spans="1:18" ht="14.25" customHeight="1" x14ac:dyDescent="0.3">
      <c r="A292" s="2"/>
      <c r="B292" s="2"/>
      <c r="C292" s="3"/>
      <c r="D292" s="3"/>
      <c r="E292" s="2"/>
      <c r="F292" s="2"/>
      <c r="G292" s="5"/>
      <c r="H292" s="5"/>
      <c r="I292" s="4"/>
      <c r="J292" s="6" t="str">
        <f t="shared" si="14"/>
        <v/>
      </c>
      <c r="K292" s="4" t="str">
        <f t="shared" ca="1" si="17"/>
        <v/>
      </c>
      <c r="L292" s="7" t="str">
        <f>IF($H292="","",$H292-'[2]Read Me'!$B$4)</f>
        <v/>
      </c>
      <c r="M292" s="4" t="str">
        <f>IF($I292="Complete","Green",IF($H292="","Amber",IF($H292&lt;'[2]Read Me'!$B$4,"Red",IF($H292-'[2]Read Me'!$B$4&lt;=21,"Amber","Green"))))</f>
        <v>Amber</v>
      </c>
      <c r="N292" s="3"/>
      <c r="O292" t="str">
        <f>IF($I292&lt;&gt;"Complete",IF(COUNTIFS($A$4:$A291,$A292,$B$4:$B291,$B292,$I$4:$I291,"&lt;&gt;Complete")=0,$A292&amp;"|"&amp;$B292,""),"")</f>
        <v>|</v>
      </c>
      <c r="P292" t="str">
        <f ca="1">IF($K292="Yes",COUNTIFS($K$4:$K292,"Yes"),"")</f>
        <v/>
      </c>
      <c r="Q292">
        <f t="shared" ca="1" si="15"/>
        <v>0</v>
      </c>
      <c r="R292" t="str">
        <f ca="1">IF($Q292=1,SUM($Q$4:$Q292),"")</f>
        <v/>
      </c>
    </row>
    <row r="293" spans="1:18" ht="22.5" customHeight="1" x14ac:dyDescent="0.3">
      <c r="A293" s="2"/>
      <c r="B293" s="2"/>
      <c r="C293" s="3"/>
      <c r="D293" s="3"/>
      <c r="E293" s="2"/>
      <c r="F293" s="2"/>
      <c r="G293" s="5"/>
      <c r="H293" s="5"/>
      <c r="I293" s="4"/>
      <c r="J293" s="6" t="str">
        <f t="shared" si="14"/>
        <v/>
      </c>
      <c r="K293" s="4" t="str">
        <f t="shared" ca="1" si="17"/>
        <v/>
      </c>
      <c r="L293" s="7" t="str">
        <f>IF($H293="","",$H293-'[2]Read Me'!$B$4)</f>
        <v/>
      </c>
      <c r="M293" s="4" t="str">
        <f>IF($I293="Complete","Green",IF($H293="","Amber",IF($H293&lt;'[2]Read Me'!$B$4,"Red",IF($H293-'[2]Read Me'!$B$4&lt;=21,"Amber","Green"))))</f>
        <v>Amber</v>
      </c>
      <c r="N293" s="3"/>
      <c r="O293" t="str">
        <f>IF($I293&lt;&gt;"Complete",IF(COUNTIFS($A$4:$A292,$A293,$B$4:$B292,$B293,$I$4:$I292,"&lt;&gt;Complete")=0,$A293&amp;"|"&amp;$B293,""),"")</f>
        <v>|</v>
      </c>
      <c r="P293" t="str">
        <f ca="1">IF($K293="Yes",COUNTIFS($K$4:$K293,"Yes"),"")</f>
        <v/>
      </c>
      <c r="Q293">
        <f t="shared" ca="1" si="15"/>
        <v>0</v>
      </c>
      <c r="R293" t="str">
        <f ca="1">IF($Q293=1,SUM($Q$4:$Q293),"")</f>
        <v/>
      </c>
    </row>
    <row r="294" spans="1:18" ht="22.5" customHeight="1" x14ac:dyDescent="0.3">
      <c r="A294" s="2"/>
      <c r="B294" s="2"/>
      <c r="C294" s="3"/>
      <c r="D294" s="3"/>
      <c r="E294" s="2"/>
      <c r="F294" s="2"/>
      <c r="G294" s="5"/>
      <c r="H294" s="5"/>
      <c r="I294" s="4"/>
      <c r="J294" s="6" t="str">
        <f t="shared" si="14"/>
        <v/>
      </c>
      <c r="K294" s="4" t="str">
        <f t="shared" ca="1" si="17"/>
        <v/>
      </c>
      <c r="L294" s="7" t="str">
        <f>IF($H294="","",$H294-'[2]Read Me'!$B$4)</f>
        <v/>
      </c>
      <c r="M294" s="4" t="str">
        <f>IF($I294="Complete","Green",IF($H294="","Amber",IF($H294&lt;'[2]Read Me'!$B$4,"Red",IF($H294-'[2]Read Me'!$B$4&lt;=21,"Amber","Green"))))</f>
        <v>Amber</v>
      </c>
      <c r="N294" s="3"/>
      <c r="O294" t="str">
        <f>IF($I294&lt;&gt;"Complete",IF(COUNTIFS($A$4:$A293,$A294,$B$4:$B293,$B294,$I$4:$I293,"&lt;&gt;Complete")=0,$A294&amp;"|"&amp;$B294,""),"")</f>
        <v>|</v>
      </c>
      <c r="P294" t="str">
        <f ca="1">IF($K294="Yes",COUNTIFS($K$4:$K294,"Yes"),"")</f>
        <v/>
      </c>
      <c r="Q294">
        <f t="shared" ca="1" si="15"/>
        <v>0</v>
      </c>
      <c r="R294" t="str">
        <f ca="1">IF($Q294=1,SUM($Q$4:$Q294),"")</f>
        <v/>
      </c>
    </row>
    <row r="295" spans="1:18" ht="22.5" customHeight="1" x14ac:dyDescent="0.3">
      <c r="A295" s="2"/>
      <c r="B295" s="2"/>
      <c r="C295" s="3"/>
      <c r="D295" s="3"/>
      <c r="E295" s="2"/>
      <c r="F295" s="2"/>
      <c r="G295" s="5"/>
      <c r="H295" s="5"/>
      <c r="I295" s="4"/>
      <c r="J295" s="6" t="str">
        <f t="shared" si="14"/>
        <v/>
      </c>
      <c r="K295" s="4" t="str">
        <f t="shared" ca="1" si="17"/>
        <v/>
      </c>
      <c r="L295" s="7" t="str">
        <f>IF($H295="","",$H295-'[2]Read Me'!$B$4)</f>
        <v/>
      </c>
      <c r="M295" s="4" t="str">
        <f>IF($I295="Complete","Green",IF($H295="","Amber",IF($H295&lt;'[2]Read Me'!$B$4,"Red",IF($H295-'[2]Read Me'!$B$4&lt;=21,"Amber","Green"))))</f>
        <v>Amber</v>
      </c>
      <c r="N295" s="3"/>
      <c r="O295" t="str">
        <f>IF($I295&lt;&gt;"Complete",IF(COUNTIFS($A$4:$A294,$A295,$B$4:$B294,$B295,$I$4:$I294,"&lt;&gt;Complete")=0,$A295&amp;"|"&amp;$B295,""),"")</f>
        <v>|</v>
      </c>
      <c r="P295" t="str">
        <f ca="1">IF($K295="Yes",COUNTIFS($K$4:$K295,"Yes"),"")</f>
        <v/>
      </c>
      <c r="Q295">
        <f t="shared" ca="1" si="15"/>
        <v>0</v>
      </c>
      <c r="R295" t="str">
        <f ca="1">IF($Q295=1,SUM($Q$4:$Q295),"")</f>
        <v/>
      </c>
    </row>
    <row r="296" spans="1:18" ht="22.5" customHeight="1" x14ac:dyDescent="0.3">
      <c r="A296" s="2"/>
      <c r="B296" s="2"/>
      <c r="C296" s="3"/>
      <c r="D296" s="3"/>
      <c r="E296" s="2"/>
      <c r="F296" s="2"/>
      <c r="G296" s="5"/>
      <c r="H296" s="5"/>
      <c r="I296" s="4"/>
      <c r="J296" s="6" t="str">
        <f t="shared" si="14"/>
        <v/>
      </c>
      <c r="K296" s="4" t="str">
        <f t="shared" ca="1" si="17"/>
        <v/>
      </c>
      <c r="L296" s="7" t="str">
        <f>IF($H296="","",$H296-'[2]Read Me'!$B$4)</f>
        <v/>
      </c>
      <c r="M296" s="4" t="str">
        <f>IF($I296="Complete","Green",IF($H296="","Amber",IF($H296&lt;'[2]Read Me'!$B$4,"Red",IF($H296-'[2]Read Me'!$B$4&lt;=21,"Amber","Green"))))</f>
        <v>Amber</v>
      </c>
      <c r="N296" s="3"/>
      <c r="O296" t="str">
        <f>IF($I296&lt;&gt;"Complete",IF(COUNTIFS($A$4:$A295,$A296,$B$4:$B295,$B296,$I$4:$I295,"&lt;&gt;Complete")=0,$A296&amp;"|"&amp;$B296,""),"")</f>
        <v>|</v>
      </c>
      <c r="P296" t="str">
        <f ca="1">IF($K296="Yes",COUNTIFS($K$4:$K296,"Yes"),"")</f>
        <v/>
      </c>
      <c r="Q296">
        <f t="shared" ca="1" si="15"/>
        <v>0</v>
      </c>
      <c r="R296" t="str">
        <f ca="1">IF($Q296=1,SUM($Q$4:$Q296),"")</f>
        <v/>
      </c>
    </row>
    <row r="297" spans="1:18" ht="22.5" customHeight="1" x14ac:dyDescent="0.3">
      <c r="A297" s="2"/>
      <c r="B297" s="2"/>
      <c r="C297" s="3"/>
      <c r="D297" s="3"/>
      <c r="E297" s="2"/>
      <c r="F297" s="2"/>
      <c r="G297" s="5"/>
      <c r="H297" s="5"/>
      <c r="I297" s="4"/>
      <c r="J297" s="6" t="str">
        <f t="shared" si="14"/>
        <v/>
      </c>
      <c r="K297" s="4" t="str">
        <f t="shared" ca="1" si="17"/>
        <v/>
      </c>
      <c r="L297" s="7" t="str">
        <f>IF($H297="","",$H297-'[2]Read Me'!$B$4)</f>
        <v/>
      </c>
      <c r="M297" s="4" t="str">
        <f>IF($I297="Complete","Green",IF($H297="","Amber",IF($H297&lt;'[2]Read Me'!$B$4,"Red",IF($H297-'[2]Read Me'!$B$4&lt;=21,"Amber","Green"))))</f>
        <v>Amber</v>
      </c>
      <c r="N297" s="3"/>
      <c r="O297" t="str">
        <f>IF($I297&lt;&gt;"Complete",IF(COUNTIFS($A$4:$A296,$A297,$B$4:$B296,$B297,$I$4:$I296,"&lt;&gt;Complete")=0,$A297&amp;"|"&amp;$B297,""),"")</f>
        <v>|</v>
      </c>
      <c r="P297" t="str">
        <f ca="1">IF($K297="Yes",COUNTIFS($K$4:$K297,"Yes"),"")</f>
        <v/>
      </c>
      <c r="Q297">
        <f t="shared" ca="1" si="15"/>
        <v>0</v>
      </c>
      <c r="R297" t="str">
        <f ca="1">IF($Q297=1,SUM($Q$4:$Q297),"")</f>
        <v/>
      </c>
    </row>
    <row r="298" spans="1:18" ht="22.5" customHeight="1" x14ac:dyDescent="0.3">
      <c r="A298" s="2"/>
      <c r="B298" s="2"/>
      <c r="C298" s="3"/>
      <c r="D298" s="3"/>
      <c r="E298" s="2"/>
      <c r="F298" s="2"/>
      <c r="G298" s="5"/>
      <c r="H298" s="5"/>
      <c r="I298" s="4"/>
      <c r="J298" s="6" t="str">
        <f t="shared" si="14"/>
        <v/>
      </c>
      <c r="K298" s="4" t="str">
        <f t="shared" ca="1" si="17"/>
        <v/>
      </c>
      <c r="L298" s="7" t="str">
        <f>IF($H298="","",$H298-'[2]Read Me'!$B$4)</f>
        <v/>
      </c>
      <c r="M298" s="4" t="str">
        <f>IF($I298="Complete","Green",IF($H298="","Amber",IF($H298&lt;'[2]Read Me'!$B$4,"Red",IF($H298-'[2]Read Me'!$B$4&lt;=21,"Amber","Green"))))</f>
        <v>Amber</v>
      </c>
      <c r="N298" s="3"/>
      <c r="O298" t="str">
        <f>IF($I298&lt;&gt;"Complete",IF(COUNTIFS($A$4:$A297,$A298,$B$4:$B297,$B298,$I$4:$I297,"&lt;&gt;Complete")=0,$A298&amp;"|"&amp;$B298,""),"")</f>
        <v>|</v>
      </c>
      <c r="P298" t="str">
        <f ca="1">IF($K298="Yes",COUNTIFS($K$4:$K298,"Yes"),"")</f>
        <v/>
      </c>
      <c r="Q298">
        <f t="shared" ca="1" si="15"/>
        <v>0</v>
      </c>
      <c r="R298" t="str">
        <f ca="1">IF($Q298=1,SUM($Q$4:$Q298),"")</f>
        <v/>
      </c>
    </row>
    <row r="299" spans="1:18" ht="22.5" customHeight="1" x14ac:dyDescent="0.3">
      <c r="A299" s="2"/>
      <c r="B299" s="2"/>
      <c r="C299" s="3"/>
      <c r="D299" s="3"/>
      <c r="E299" s="2"/>
      <c r="F299" s="2"/>
      <c r="G299" s="5"/>
      <c r="H299" s="5"/>
      <c r="I299" s="4"/>
      <c r="J299" s="6" t="str">
        <f t="shared" si="14"/>
        <v/>
      </c>
      <c r="K299" s="4" t="str">
        <f t="shared" ca="1" si="17"/>
        <v/>
      </c>
      <c r="L299" s="7" t="str">
        <f>IF($H299="","",$H299-'[2]Read Me'!$B$4)</f>
        <v/>
      </c>
      <c r="M299" s="4" t="str">
        <f>IF($I299="Complete","Green",IF($H299="","Amber",IF($H299&lt;'[2]Read Me'!$B$4,"Red",IF($H299-'[2]Read Me'!$B$4&lt;=21,"Amber","Green"))))</f>
        <v>Amber</v>
      </c>
      <c r="N299" s="3"/>
      <c r="O299" t="str">
        <f>IF($I299&lt;&gt;"Complete",IF(COUNTIFS($A$4:$A298,$A299,$B$4:$B298,$B299,$I$4:$I298,"&lt;&gt;Complete")=0,$A299&amp;"|"&amp;$B299,""),"")</f>
        <v>|</v>
      </c>
      <c r="P299" t="str">
        <f ca="1">IF($K299="Yes",COUNTIFS($K$4:$K299,"Yes"),"")</f>
        <v/>
      </c>
      <c r="Q299">
        <f t="shared" ca="1" si="15"/>
        <v>0</v>
      </c>
      <c r="R299" t="str">
        <f ca="1">IF($Q299=1,SUM($Q$4:$Q299),"")</f>
        <v/>
      </c>
    </row>
    <row r="300" spans="1:18" ht="22.5" customHeight="1" x14ac:dyDescent="0.3">
      <c r="A300" s="2"/>
      <c r="B300" s="2"/>
      <c r="C300" s="3"/>
      <c r="D300" s="3"/>
      <c r="E300" s="2"/>
      <c r="F300" s="2"/>
      <c r="G300" s="5"/>
      <c r="H300" s="5"/>
      <c r="I300" s="4"/>
      <c r="J300" s="6" t="str">
        <f t="shared" si="14"/>
        <v/>
      </c>
      <c r="K300" s="4" t="str">
        <f t="shared" ca="1" si="17"/>
        <v/>
      </c>
      <c r="L300" s="7" t="str">
        <f>IF($H300="","",$H300-'[2]Read Me'!$B$4)</f>
        <v/>
      </c>
      <c r="M300" s="4" t="str">
        <f>IF($I300="Complete","Green",IF($H300="","Amber",IF($H300&lt;'[2]Read Me'!$B$4,"Red",IF($H300-'[2]Read Me'!$B$4&lt;=21,"Amber","Green"))))</f>
        <v>Amber</v>
      </c>
      <c r="N300" s="3"/>
      <c r="O300" t="str">
        <f>IF($I300&lt;&gt;"Complete",IF(COUNTIFS($A$4:$A299,$A300,$B$4:$B299,$B300,$I$4:$I299,"&lt;&gt;Complete")=0,$A300&amp;"|"&amp;$B300,""),"")</f>
        <v>|</v>
      </c>
      <c r="P300" t="str">
        <f ca="1">IF($K300="Yes",COUNTIFS($K$4:$K300,"Yes"),"")</f>
        <v/>
      </c>
      <c r="Q300">
        <f t="shared" ca="1" si="15"/>
        <v>0</v>
      </c>
      <c r="R300" t="str">
        <f ca="1">IF($Q300=1,SUM($Q$4:$Q300),"")</f>
        <v/>
      </c>
    </row>
    <row r="301" spans="1:18" ht="22.5" customHeight="1" x14ac:dyDescent="0.3">
      <c r="A301" s="2"/>
      <c r="B301" s="2"/>
      <c r="C301" s="3"/>
      <c r="D301" s="3"/>
      <c r="E301" s="2"/>
      <c r="F301" s="2"/>
      <c r="G301" s="5"/>
      <c r="H301" s="5"/>
      <c r="I301" s="4"/>
      <c r="J301" s="6" t="str">
        <f t="shared" si="14"/>
        <v/>
      </c>
      <c r="K301" s="4" t="str">
        <f t="shared" ca="1" si="17"/>
        <v/>
      </c>
      <c r="L301" s="7" t="str">
        <f>IF($H301="","",$H301-'[2]Read Me'!$B$4)</f>
        <v/>
      </c>
      <c r="M301" s="4" t="str">
        <f>IF($I301="Complete","Green",IF($H301="","Amber",IF($H301&lt;'[2]Read Me'!$B$4,"Red",IF($H301-'[2]Read Me'!$B$4&lt;=21,"Amber","Green"))))</f>
        <v>Amber</v>
      </c>
      <c r="N301" s="3"/>
      <c r="O301" t="str">
        <f>IF($I301&lt;&gt;"Complete",IF(COUNTIFS($A$4:$A300,$A301,$B$4:$B300,$B301,$I$4:$I300,"&lt;&gt;Complete")=0,$A301&amp;"|"&amp;$B301,""),"")</f>
        <v>|</v>
      </c>
      <c r="P301" t="str">
        <f ca="1">IF($K301="Yes",COUNTIFS($K$4:$K301,"Yes"),"")</f>
        <v/>
      </c>
      <c r="Q301">
        <f t="shared" ca="1" si="15"/>
        <v>0</v>
      </c>
      <c r="R301" t="str">
        <f ca="1">IF($Q301=1,SUM($Q$4:$Q301),"")</f>
        <v/>
      </c>
    </row>
    <row r="302" spans="1:18" ht="22.5" customHeight="1" x14ac:dyDescent="0.3">
      <c r="A302" s="2"/>
      <c r="B302" s="2"/>
      <c r="C302" s="3"/>
      <c r="D302" s="3"/>
      <c r="E302" s="2"/>
      <c r="F302" s="2"/>
      <c r="G302" s="5"/>
      <c r="H302" s="5"/>
      <c r="I302" s="4"/>
      <c r="J302" s="6" t="str">
        <f t="shared" si="14"/>
        <v/>
      </c>
      <c r="K302" s="4" t="str">
        <f t="shared" ca="1" si="17"/>
        <v/>
      </c>
      <c r="L302" s="7" t="str">
        <f>IF($H302="","",$H302-'[2]Read Me'!$B$4)</f>
        <v/>
      </c>
      <c r="M302" s="4" t="str">
        <f>IF($I302="Complete","Green",IF($H302="","Amber",IF($H302&lt;'[2]Read Me'!$B$4,"Red",IF($H302-'[2]Read Me'!$B$4&lt;=21,"Amber","Green"))))</f>
        <v>Amber</v>
      </c>
      <c r="N302" s="3"/>
      <c r="O302" t="str">
        <f>IF($I302&lt;&gt;"Complete",IF(COUNTIFS($A$4:$A301,$A302,$B$4:$B301,$B302,$I$4:$I301,"&lt;&gt;Complete")=0,$A302&amp;"|"&amp;$B302,""),"")</f>
        <v>|</v>
      </c>
      <c r="P302" t="str">
        <f ca="1">IF($K302="Yes",COUNTIFS($K$4:$K302,"Yes"),"")</f>
        <v/>
      </c>
      <c r="Q302">
        <f t="shared" ca="1" si="15"/>
        <v>0</v>
      </c>
      <c r="R302" t="str">
        <f ca="1">IF($Q302=1,SUM($Q$4:$Q302),"")</f>
        <v/>
      </c>
    </row>
    <row r="303" spans="1:18" ht="22.5" customHeight="1" x14ac:dyDescent="0.3">
      <c r="A303" s="2"/>
      <c r="B303" s="2"/>
      <c r="C303" s="3"/>
      <c r="D303" s="3"/>
      <c r="E303" s="2"/>
      <c r="F303" s="2"/>
      <c r="G303" s="5"/>
      <c r="H303" s="5"/>
      <c r="I303" s="4"/>
      <c r="J303" s="6" t="str">
        <f t="shared" si="14"/>
        <v/>
      </c>
      <c r="K303" s="4" t="str">
        <f t="shared" ca="1" si="17"/>
        <v/>
      </c>
      <c r="L303" s="7" t="str">
        <f>IF($H303="","",$H303-'[2]Read Me'!$B$4)</f>
        <v/>
      </c>
      <c r="M303" s="4" t="str">
        <f>IF($I303="Complete","Green",IF($H303="","Amber",IF($H303&lt;'[2]Read Me'!$B$4,"Red",IF($H303-'[2]Read Me'!$B$4&lt;=21,"Amber","Green"))))</f>
        <v>Amber</v>
      </c>
      <c r="N303" s="3"/>
      <c r="O303" t="str">
        <f>IF($I303&lt;&gt;"Complete",IF(COUNTIFS($A$4:$A302,$A303,$B$4:$B302,$B303,$I$4:$I302,"&lt;&gt;Complete")=0,$A303&amp;"|"&amp;$B303,""),"")</f>
        <v>|</v>
      </c>
      <c r="P303" t="str">
        <f ca="1">IF($K303="Yes",COUNTIFS($K$4:$K303,"Yes"),"")</f>
        <v/>
      </c>
      <c r="Q303">
        <f t="shared" ca="1" si="15"/>
        <v>0</v>
      </c>
      <c r="R303" t="str">
        <f ca="1">IF($Q303=1,SUM($Q$4:$Q303),"")</f>
        <v/>
      </c>
    </row>
    <row r="304" spans="1:18" ht="22.5" customHeight="1" x14ac:dyDescent="0.3">
      <c r="A304" s="2"/>
      <c r="B304" s="2"/>
      <c r="C304" s="3"/>
      <c r="D304" s="3"/>
      <c r="E304" s="2"/>
      <c r="F304" s="2"/>
      <c r="G304" s="5"/>
      <c r="H304" s="5"/>
      <c r="I304" s="4"/>
      <c r="J304" s="6" t="str">
        <f t="shared" si="14"/>
        <v/>
      </c>
      <c r="K304" s="4" t="str">
        <f t="shared" ca="1" si="17"/>
        <v/>
      </c>
      <c r="L304" s="7" t="str">
        <f>IF($H304="","",$H304-'[2]Read Me'!$B$4)</f>
        <v/>
      </c>
      <c r="M304" s="4" t="str">
        <f>IF($I304="Complete","Green",IF($H304="","Amber",IF($H304&lt;'[2]Read Me'!$B$4,"Red",IF($H304-'[2]Read Me'!$B$4&lt;=21,"Amber","Green"))))</f>
        <v>Amber</v>
      </c>
      <c r="N304" s="3"/>
      <c r="O304" t="str">
        <f>IF($I304&lt;&gt;"Complete",IF(COUNTIFS($A$4:$A303,$A304,$B$4:$B303,$B304,$I$4:$I303,"&lt;&gt;Complete")=0,$A304&amp;"|"&amp;$B304,""),"")</f>
        <v>|</v>
      </c>
      <c r="P304" t="str">
        <f ca="1">IF($K304="Yes",COUNTIFS($K$4:$K304,"Yes"),"")</f>
        <v/>
      </c>
      <c r="Q304">
        <f t="shared" ca="1" si="15"/>
        <v>0</v>
      </c>
      <c r="R304" t="str">
        <f ca="1">IF($Q304=1,SUM($Q$4:$Q304),"")</f>
        <v/>
      </c>
    </row>
    <row r="305" spans="1:18" ht="22.5" customHeight="1" x14ac:dyDescent="0.3">
      <c r="A305" s="2"/>
      <c r="B305" s="2"/>
      <c r="C305" s="3"/>
      <c r="D305" s="3"/>
      <c r="E305" s="2"/>
      <c r="F305" s="2"/>
      <c r="G305" s="5"/>
      <c r="H305" s="5"/>
      <c r="I305" s="4"/>
      <c r="J305" s="6" t="str">
        <f t="shared" si="14"/>
        <v/>
      </c>
      <c r="K305" s="4" t="str">
        <f t="shared" ca="1" si="17"/>
        <v/>
      </c>
      <c r="L305" s="7" t="str">
        <f>IF($H305="","",$H305-'[2]Read Me'!$B$4)</f>
        <v/>
      </c>
      <c r="M305" s="4" t="str">
        <f>IF($I305="Complete","Green",IF($H305="","Amber",IF($H305&lt;'[2]Read Me'!$B$4,"Red",IF($H305-'[2]Read Me'!$B$4&lt;=21,"Amber","Green"))))</f>
        <v>Amber</v>
      </c>
      <c r="N305" s="3"/>
      <c r="O305" t="str">
        <f>IF($I305&lt;&gt;"Complete",IF(COUNTIFS($A$4:$A304,$A305,$B$4:$B304,$B305,$I$4:$I304,"&lt;&gt;Complete")=0,$A305&amp;"|"&amp;$B305,""),"")</f>
        <v>|</v>
      </c>
      <c r="P305" t="str">
        <f ca="1">IF($K305="Yes",COUNTIFS($K$4:$K305,"Yes"),"")</f>
        <v/>
      </c>
      <c r="Q305">
        <f t="shared" ca="1" si="15"/>
        <v>0</v>
      </c>
      <c r="R305" t="str">
        <f ca="1">IF($Q305=1,SUM($Q$4:$Q305),"")</f>
        <v/>
      </c>
    </row>
    <row r="306" spans="1:18" ht="22.5" customHeight="1" x14ac:dyDescent="0.3">
      <c r="A306" s="2"/>
      <c r="B306" s="2"/>
      <c r="C306" s="3"/>
      <c r="D306" s="3"/>
      <c r="E306" s="2"/>
      <c r="F306" s="2"/>
      <c r="G306" s="5"/>
      <c r="H306" s="5"/>
      <c r="I306" s="4"/>
      <c r="J306" s="6" t="str">
        <f t="shared" si="14"/>
        <v/>
      </c>
      <c r="K306" s="4" t="str">
        <f t="shared" ca="1" si="17"/>
        <v/>
      </c>
      <c r="L306" s="7" t="str">
        <f>IF($H306="","",$H306-'[2]Read Me'!$B$4)</f>
        <v/>
      </c>
      <c r="M306" s="4" t="str">
        <f>IF($I306="Complete","Green",IF($H306="","Amber",IF($H306&lt;'[2]Read Me'!$B$4,"Red",IF($H306-'[2]Read Me'!$B$4&lt;=21,"Amber","Green"))))</f>
        <v>Amber</v>
      </c>
      <c r="N306" s="3"/>
      <c r="O306" t="str">
        <f>IF($I306&lt;&gt;"Complete",IF(COUNTIFS($A$4:$A305,$A306,$B$4:$B305,$B306,$I$4:$I305,"&lt;&gt;Complete")=0,$A306&amp;"|"&amp;$B306,""),"")</f>
        <v>|</v>
      </c>
      <c r="P306" t="str">
        <f ca="1">IF($K306="Yes",COUNTIFS($K$4:$K306,"Yes"),"")</f>
        <v/>
      </c>
      <c r="Q306">
        <f t="shared" ca="1" si="15"/>
        <v>0</v>
      </c>
      <c r="R306" t="str">
        <f ca="1">IF($Q306=1,SUM($Q$4:$Q306),"")</f>
        <v/>
      </c>
    </row>
    <row r="307" spans="1:18" ht="22.5" customHeight="1" x14ac:dyDescent="0.3">
      <c r="A307" s="2"/>
      <c r="B307" s="2"/>
      <c r="C307" s="3"/>
      <c r="D307" s="3"/>
      <c r="E307" s="2"/>
      <c r="F307" s="2"/>
      <c r="G307" s="5"/>
      <c r="H307" s="5"/>
      <c r="I307" s="4"/>
      <c r="J307" s="6" t="str">
        <f t="shared" si="14"/>
        <v/>
      </c>
      <c r="K307" s="4" t="str">
        <f t="shared" ca="1" si="17"/>
        <v/>
      </c>
      <c r="L307" s="7" t="str">
        <f>IF($H307="","",$H307-'[2]Read Me'!$B$4)</f>
        <v/>
      </c>
      <c r="M307" s="4" t="str">
        <f>IF($I307="Complete","Green",IF($H307="","Amber",IF($H307&lt;'[2]Read Me'!$B$4,"Red",IF($H307-'[2]Read Me'!$B$4&lt;=21,"Amber","Green"))))</f>
        <v>Amber</v>
      </c>
      <c r="N307" s="3"/>
      <c r="O307" t="str">
        <f>IF($I307&lt;&gt;"Complete",IF(COUNTIFS($A$4:$A306,$A307,$B$4:$B306,$B307,$I$4:$I306,"&lt;&gt;Complete")=0,$A307&amp;"|"&amp;$B307,""),"")</f>
        <v>|</v>
      </c>
      <c r="P307" t="str">
        <f ca="1">IF($K307="Yes",COUNTIFS($K$4:$K307,"Yes"),"")</f>
        <v/>
      </c>
      <c r="Q307">
        <f t="shared" ca="1" si="15"/>
        <v>0</v>
      </c>
      <c r="R307" t="str">
        <f ca="1">IF($Q307=1,SUM($Q$4:$Q307),"")</f>
        <v/>
      </c>
    </row>
    <row r="308" spans="1:18" ht="22.5" customHeight="1" x14ac:dyDescent="0.3">
      <c r="A308" s="2"/>
      <c r="B308" s="2"/>
      <c r="C308" s="3"/>
      <c r="D308" s="3"/>
      <c r="E308" s="2"/>
      <c r="F308" s="2"/>
      <c r="G308" s="5"/>
      <c r="H308" s="5"/>
      <c r="I308" s="4"/>
      <c r="J308" s="6" t="str">
        <f t="shared" si="14"/>
        <v/>
      </c>
      <c r="K308" s="4" t="str">
        <f t="shared" ca="1" si="17"/>
        <v/>
      </c>
      <c r="L308" s="7" t="str">
        <f>IF($H308="","",$H308-'[2]Read Me'!$B$4)</f>
        <v/>
      </c>
      <c r="M308" s="4" t="str">
        <f>IF($I308="Complete","Green",IF($H308="","Amber",IF($H308&lt;'[2]Read Me'!$B$4,"Red",IF($H308-'[2]Read Me'!$B$4&lt;=21,"Amber","Green"))))</f>
        <v>Amber</v>
      </c>
      <c r="N308" s="3"/>
      <c r="O308" t="str">
        <f>IF($I308&lt;&gt;"Complete",IF(COUNTIFS($A$4:$A307,$A308,$B$4:$B307,$B308,$I$4:$I307,"&lt;&gt;Complete")=0,$A308&amp;"|"&amp;$B308,""),"")</f>
        <v>|</v>
      </c>
      <c r="P308" t="str">
        <f ca="1">IF($K308="Yes",COUNTIFS($K$4:$K308,"Yes"),"")</f>
        <v/>
      </c>
      <c r="Q308">
        <f t="shared" ca="1" si="15"/>
        <v>0</v>
      </c>
      <c r="R308" t="str">
        <f ca="1">IF($Q308=1,SUM($Q$4:$Q308),"")</f>
        <v/>
      </c>
    </row>
    <row r="309" spans="1:18" ht="22.5" customHeight="1" x14ac:dyDescent="0.3">
      <c r="A309" s="2"/>
      <c r="B309" s="2"/>
      <c r="C309" s="3"/>
      <c r="D309" s="3"/>
      <c r="E309" s="2"/>
      <c r="F309" s="2"/>
      <c r="G309" s="5"/>
      <c r="H309" s="5"/>
      <c r="I309" s="4"/>
      <c r="J309" s="6" t="str">
        <f t="shared" si="14"/>
        <v/>
      </c>
      <c r="K309" s="4" t="str">
        <f t="shared" ca="1" si="17"/>
        <v/>
      </c>
      <c r="L309" s="7" t="str">
        <f>IF($H309="","",$H309-'[2]Read Me'!$B$4)</f>
        <v/>
      </c>
      <c r="M309" s="4" t="str">
        <f>IF($I309="Complete","Green",IF($H309="","Amber",IF($H309&lt;'[2]Read Me'!$B$4,"Red",IF($H309-'[2]Read Me'!$B$4&lt;=21,"Amber","Green"))))</f>
        <v>Amber</v>
      </c>
      <c r="N309" s="3"/>
      <c r="O309" t="str">
        <f>IF($I309&lt;&gt;"Complete",IF(COUNTIFS($A$4:$A308,$A309,$B$4:$B308,$B309,$I$4:$I308,"&lt;&gt;Complete")=0,$A309&amp;"|"&amp;$B309,""),"")</f>
        <v>|</v>
      </c>
      <c r="P309" t="str">
        <f ca="1">IF($K309="Yes",COUNTIFS($K$4:$K309,"Yes"),"")</f>
        <v/>
      </c>
      <c r="Q309">
        <f t="shared" ca="1" si="15"/>
        <v>0</v>
      </c>
      <c r="R309" t="str">
        <f ca="1">IF($Q309=1,SUM($Q$4:$Q309),"")</f>
        <v/>
      </c>
    </row>
    <row r="310" spans="1:18" ht="14.25" customHeight="1" x14ac:dyDescent="0.3">
      <c r="A310" s="2"/>
      <c r="B310" s="2"/>
      <c r="C310" s="3"/>
      <c r="D310" s="3"/>
      <c r="E310" s="2"/>
      <c r="F310" s="2"/>
      <c r="G310" s="5"/>
      <c r="H310" s="5"/>
      <c r="I310" s="4"/>
      <c r="J310" s="6" t="str">
        <f t="shared" si="14"/>
        <v/>
      </c>
      <c r="K310" s="4" t="str">
        <f t="shared" ca="1" si="17"/>
        <v/>
      </c>
      <c r="L310" s="7" t="str">
        <f>IF($H310="","",$H310-'[2]Read Me'!$B$4)</f>
        <v/>
      </c>
      <c r="M310" s="4" t="str">
        <f>IF($I310="Complete","Green",IF($H310="","Amber",IF($H310&lt;'[2]Read Me'!$B$4,"Red",IF($H310-'[2]Read Me'!$B$4&lt;=21,"Amber","Green"))))</f>
        <v>Amber</v>
      </c>
      <c r="N310" s="3"/>
      <c r="O310" t="str">
        <f>IF($I310&lt;&gt;"Complete",IF(COUNTIFS($A$4:$A309,$A310,$B$4:$B309,$B310,$I$4:$I309,"&lt;&gt;Complete")=0,$A310&amp;"|"&amp;$B310,""),"")</f>
        <v>|</v>
      </c>
      <c r="P310" t="str">
        <f ca="1">IF($K310="Yes",COUNTIFS($K$4:$K310,"Yes"),"")</f>
        <v/>
      </c>
      <c r="Q310">
        <f t="shared" ca="1" si="15"/>
        <v>0</v>
      </c>
      <c r="R310" t="str">
        <f ca="1">IF($Q310=1,SUM($Q$4:$Q310),"")</f>
        <v/>
      </c>
    </row>
    <row r="311" spans="1:18" ht="14.25" customHeight="1" x14ac:dyDescent="0.3">
      <c r="A311" s="2"/>
      <c r="B311" s="2"/>
      <c r="C311" s="3"/>
      <c r="D311" s="3"/>
      <c r="E311" s="2"/>
      <c r="F311" s="2"/>
      <c r="G311" s="5"/>
      <c r="H311" s="5"/>
      <c r="I311" s="4"/>
      <c r="J311" s="6" t="str">
        <f t="shared" si="14"/>
        <v/>
      </c>
      <c r="K311" s="4" t="str">
        <f t="shared" ca="1" si="17"/>
        <v/>
      </c>
      <c r="L311" s="7" t="str">
        <f>IF($H311="","",$H311-'[2]Read Me'!$B$4)</f>
        <v/>
      </c>
      <c r="M311" s="4" t="str">
        <f>IF($I311="Complete","Green",IF($H311="","Amber",IF($H311&lt;'[2]Read Me'!$B$4,"Red",IF($H311-'[2]Read Me'!$B$4&lt;=21,"Amber","Green"))))</f>
        <v>Amber</v>
      </c>
      <c r="N311" s="3"/>
      <c r="O311" t="str">
        <f>IF($I311&lt;&gt;"Complete",IF(COUNTIFS($A$4:$A310,$A311,$B$4:$B310,$B311,$I$4:$I310,"&lt;&gt;Complete")=0,$A311&amp;"|"&amp;$B311,""),"")</f>
        <v>|</v>
      </c>
      <c r="P311" t="str">
        <f ca="1">IF($K311="Yes",COUNTIFS($K$4:$K311,"Yes"),"")</f>
        <v/>
      </c>
      <c r="Q311">
        <f t="shared" ca="1" si="15"/>
        <v>0</v>
      </c>
      <c r="R311" t="str">
        <f ca="1">IF($Q311=1,SUM($Q$4:$Q311),"")</f>
        <v/>
      </c>
    </row>
    <row r="312" spans="1:18" ht="14.25" customHeight="1" x14ac:dyDescent="0.3">
      <c r="A312" s="2"/>
      <c r="B312" s="2"/>
      <c r="C312" s="3"/>
      <c r="D312" s="3"/>
      <c r="E312" s="2"/>
      <c r="F312" s="2"/>
      <c r="G312" s="5"/>
      <c r="H312" s="5"/>
      <c r="I312" s="4"/>
      <c r="J312" s="6" t="str">
        <f t="shared" si="14"/>
        <v/>
      </c>
      <c r="K312" s="4" t="str">
        <f t="shared" ca="1" si="17"/>
        <v/>
      </c>
      <c r="L312" s="7" t="str">
        <f>IF($H312="","",$H312-'[2]Read Me'!$B$4)</f>
        <v/>
      </c>
      <c r="M312" s="4" t="str">
        <f>IF($I312="Complete","Green",IF($H312="","Amber",IF($H312&lt;'[2]Read Me'!$B$4,"Red",IF($H312-'[2]Read Me'!$B$4&lt;=21,"Amber","Green"))))</f>
        <v>Amber</v>
      </c>
      <c r="N312" s="3"/>
      <c r="O312" t="str">
        <f>IF($I312&lt;&gt;"Complete",IF(COUNTIFS($A$4:$A311,$A312,$B$4:$B311,$B312,$I$4:$I311,"&lt;&gt;Complete")=0,$A312&amp;"|"&amp;$B312,""),"")</f>
        <v>|</v>
      </c>
      <c r="P312" t="str">
        <f ca="1">IF($K312="Yes",COUNTIFS($K$4:$K312,"Yes"),"")</f>
        <v/>
      </c>
      <c r="Q312">
        <f t="shared" ca="1" si="15"/>
        <v>0</v>
      </c>
      <c r="R312" t="str">
        <f ca="1">IF($Q312=1,SUM($Q$4:$Q312),"")</f>
        <v/>
      </c>
    </row>
  </sheetData>
  <autoFilter ref="A3:N312" xr:uid="{00000000-0001-0000-0700-000000000000}"/>
  <mergeCells count="1">
    <mergeCell ref="A2:N2"/>
  </mergeCells>
  <conditionalFormatting sqref="A4:A2000">
    <cfRule type="expression" dxfId="43" priority="23" stopIfTrue="1">
      <formula>A4=""</formula>
    </cfRule>
    <cfRule type="expression" dxfId="42" priority="26">
      <formula>C4=""</formula>
    </cfRule>
  </conditionalFormatting>
  <conditionalFormatting sqref="B4:H2000">
    <cfRule type="expression" dxfId="41" priority="9" stopIfTrue="1">
      <formula>$A4=""</formula>
    </cfRule>
    <cfRule type="expression" dxfId="40" priority="10">
      <formula>$C4=""</formula>
    </cfRule>
  </conditionalFormatting>
  <conditionalFormatting sqref="I4:I142">
    <cfRule type="expression" dxfId="39" priority="7">
      <formula>EXACT($I4,"Completed")</formula>
    </cfRule>
    <cfRule type="expression" dxfId="38" priority="8">
      <formula>EXACT($I4,"Inprogress")</formula>
    </cfRule>
    <cfRule type="expression" dxfId="37" priority="34">
      <formula>EXACT($I4,"Overdue")</formula>
    </cfRule>
    <cfRule type="expression" dxfId="36" priority="33">
      <formula>EXACT($I4,"Not Started")</formula>
    </cfRule>
  </conditionalFormatting>
  <conditionalFormatting sqref="I4:I2000">
    <cfRule type="expression" dxfId="35" priority="36">
      <formula>$C4=""</formula>
    </cfRule>
    <cfRule type="expression" dxfId="34" priority="35" stopIfTrue="1">
      <formula>$A4=""</formula>
    </cfRule>
  </conditionalFormatting>
  <conditionalFormatting sqref="J4:J2000">
    <cfRule type="expression" dxfId="33" priority="5" stopIfTrue="1">
      <formula>$A4=""</formula>
    </cfRule>
    <cfRule type="expression" dxfId="32" priority="6">
      <formula>$C4=""</formula>
    </cfRule>
  </conditionalFormatting>
  <conditionalFormatting sqref="K4:K243">
    <cfRule type="expression" dxfId="31" priority="3">
      <formula>EXACT($K4,"No")</formula>
    </cfRule>
    <cfRule type="expression" dxfId="30" priority="4">
      <formula>EXACT($K4,"Yes")</formula>
    </cfRule>
    <cfRule type="expression" dxfId="29" priority="37">
      <formula>EXACT($K4,"-")</formula>
    </cfRule>
  </conditionalFormatting>
  <conditionalFormatting sqref="K4:K2000">
    <cfRule type="expression" dxfId="28" priority="39">
      <formula>$C4=""</formula>
    </cfRule>
    <cfRule type="expression" dxfId="27" priority="38" stopIfTrue="1">
      <formula>$A4=""</formula>
    </cfRule>
  </conditionalFormatting>
  <conditionalFormatting sqref="L4:L2000">
    <cfRule type="expression" dxfId="26" priority="1" stopIfTrue="1">
      <formula>$A4=""</formula>
    </cfRule>
    <cfRule type="expression" dxfId="25" priority="2">
      <formula>$C4=""</formula>
    </cfRule>
  </conditionalFormatting>
  <conditionalFormatting sqref="M4:M312">
    <cfRule type="cellIs" dxfId="24" priority="28" operator="equal">
      <formula>"Green"</formula>
    </cfRule>
    <cfRule type="cellIs" dxfId="23" priority="29" operator="equal">
      <formula>"Amber"</formula>
    </cfRule>
    <cfRule type="cellIs" dxfId="22" priority="30" operator="equal">
      <formula>"Red"</formula>
    </cfRule>
  </conditionalFormatting>
  <dataValidations count="1">
    <dataValidation type="list" allowBlank="1" sqref="I4:I312" xr:uid="{0B6AFA13-57A6-4896-81EC-8116BCD994EB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62E6-2227-4F48-BC62-A48DEC708A22}">
  <sheetPr codeName="Sheet9">
    <tabColor rgb="FF777777"/>
  </sheetPr>
  <dimension ref="A1:R409"/>
  <sheetViews>
    <sheetView showGridLines="0" zoomScaleNormal="10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I1" sqref="I1"/>
    </sheetView>
  </sheetViews>
  <sheetFormatPr defaultColWidth="8.6640625" defaultRowHeight="14.4" x14ac:dyDescent="0.3"/>
  <cols>
    <col min="1" max="1" width="20" customWidth="1"/>
    <col min="2" max="2" width="17" customWidth="1"/>
    <col min="3" max="3" width="34" customWidth="1"/>
    <col min="4" max="4" width="30" customWidth="1"/>
    <col min="5" max="5" width="12" customWidth="1"/>
    <col min="6" max="6" width="11" customWidth="1"/>
    <col min="7" max="7" width="15.109375" bestFit="1" customWidth="1"/>
    <col min="8" max="8" width="16.77734375" customWidth="1"/>
    <col min="9" max="9" width="12" customWidth="1"/>
    <col min="10" max="11" width="8" customWidth="1"/>
    <col min="12" max="13" width="7" customWidth="1"/>
    <col min="14" max="14" width="26" customWidth="1"/>
    <col min="15" max="18" width="3" hidden="1" customWidth="1"/>
  </cols>
  <sheetData>
    <row r="1" spans="1:18" ht="24" customHeight="1" x14ac:dyDescent="0.3">
      <c r="A1" s="10" t="s">
        <v>464</v>
      </c>
      <c r="B1" s="10"/>
      <c r="C1" s="10"/>
      <c r="D1" s="10"/>
      <c r="E1" s="10"/>
      <c r="F1" s="10"/>
      <c r="G1" s="11">
        <f>+MAX(G4:G2000)</f>
        <v>46443</v>
      </c>
      <c r="H1" s="11">
        <f>+MAX(H4:H2000)</f>
        <v>46447</v>
      </c>
      <c r="I1" s="12">
        <f t="shared" ref="I1" si="0">IF(OR($G1="",$H1=""),"",$H1-$G1)</f>
        <v>4</v>
      </c>
      <c r="J1" s="10"/>
      <c r="K1" s="10"/>
      <c r="L1" s="10"/>
      <c r="M1" s="10"/>
      <c r="N1" s="10"/>
    </row>
    <row r="2" spans="1:18" ht="14.2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ht="30" customHeight="1" x14ac:dyDescent="0.3">
      <c r="A3" s="1" t="s">
        <v>0</v>
      </c>
      <c r="B3" s="1" t="s">
        <v>24</v>
      </c>
      <c r="C3" s="1" t="s">
        <v>25</v>
      </c>
      <c r="D3" s="1" t="s">
        <v>26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59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3.75" customHeight="1" x14ac:dyDescent="0.3">
      <c r="A4" s="2" t="s">
        <v>633</v>
      </c>
      <c r="B4" s="2" t="s">
        <v>633</v>
      </c>
      <c r="C4" s="3" t="s">
        <v>634</v>
      </c>
      <c r="D4" s="3" t="s">
        <v>635</v>
      </c>
      <c r="E4" s="2"/>
      <c r="F4" s="2"/>
      <c r="G4" s="5">
        <v>45937</v>
      </c>
      <c r="H4" s="5">
        <v>45937</v>
      </c>
      <c r="I4" s="2" t="s">
        <v>31</v>
      </c>
      <c r="J4" s="6">
        <f t="shared" ref="J4:J67" si="1">IF(OR($G4="",$H4=""),"",$H4-$G4)</f>
        <v>0</v>
      </c>
      <c r="K4" s="4" t="str">
        <f t="shared" ref="K4:K67" ca="1" si="2">IF(C4="","",IF(H4="","",IF($I4="completed","-",IF($H4&gt;TODAY(),"No","Yes"))))</f>
        <v>-</v>
      </c>
      <c r="L4" s="7" t="str">
        <f>IF(I4="Completed","0",IF($H4="","",$H4-'[2]Read Me'!$B$4))</f>
        <v>0</v>
      </c>
      <c r="M4" s="4" t="str">
        <f>IF($I4="Complete","Green",IF($H4="","Amber",IF($H4&lt;'[2]Read Me'!$B$4,"Red",IF($H4-'[2]Read Me'!$B$4&lt;=21,"Amber","Green"))))</f>
        <v>Red</v>
      </c>
      <c r="N4" s="3"/>
      <c r="O4" t="e">
        <f>IF($I4&lt;&gt;"Complete",IF(COUNTIFS(#REF!,$A4,#REF!,$B4,#REF!,"&lt;&gt;Complete")=0,$A4&amp;"|"&amp;$B4,""),"")</f>
        <v>#REF!</v>
      </c>
      <c r="P4" t="str">
        <f ca="1">IF($K4="Yes",COUNTIFS($K$4:$K4,"Yes"),"")</f>
        <v/>
      </c>
      <c r="Q4">
        <f t="shared" ref="Q4:Q67" ca="1" si="3">IF(OR($I4="In Progress",$K4="Yes"),1,0)</f>
        <v>0</v>
      </c>
      <c r="R4" t="str">
        <f ca="1">IF($Q4=1,SUM($Q$4:$Q4),"")</f>
        <v/>
      </c>
    </row>
    <row r="5" spans="1:18" ht="33.75" customHeight="1" x14ac:dyDescent="0.3">
      <c r="A5" s="2" t="s">
        <v>633</v>
      </c>
      <c r="B5" s="2" t="s">
        <v>633</v>
      </c>
      <c r="C5" s="3" t="s">
        <v>634</v>
      </c>
      <c r="D5" s="3" t="s">
        <v>636</v>
      </c>
      <c r="E5" s="2"/>
      <c r="F5" s="2"/>
      <c r="G5" s="5">
        <v>45958</v>
      </c>
      <c r="H5" s="5">
        <v>45958</v>
      </c>
      <c r="I5" s="2" t="s">
        <v>31</v>
      </c>
      <c r="J5" s="6">
        <f t="shared" si="1"/>
        <v>0</v>
      </c>
      <c r="K5" s="4" t="str">
        <f t="shared" ca="1" si="2"/>
        <v>-</v>
      </c>
      <c r="L5" s="7" t="str">
        <f>IF(I5="Completed","0",IF($H5="","",$H5-'[2]Read Me'!$B$4))</f>
        <v>0</v>
      </c>
      <c r="M5" s="4" t="str">
        <f>IF($I5="Complete","Green",IF($H5="","Amber",IF($H5&lt;'[2]Read Me'!$B$4,"Red",IF($H5-'[2]Read Me'!$B$4&lt;=21,"Amber","Green"))))</f>
        <v>Red</v>
      </c>
      <c r="N5" s="3"/>
      <c r="O5" t="str">
        <f>IF($I5&lt;&gt;"Complete",IF(COUNTIFS($A$4:$A4,$A5,$B$4:$B4,$B5,$I$4:$I4,"&lt;&gt;Complete")=0,$A5&amp;"|"&amp;$B5,""),"")</f>
        <v/>
      </c>
      <c r="P5" t="str">
        <f ca="1">IF($K5="Yes",COUNTIFS($K$4:$K5,"Yes"),"")</f>
        <v/>
      </c>
      <c r="Q5">
        <f t="shared" ca="1" si="3"/>
        <v>0</v>
      </c>
      <c r="R5" t="str">
        <f ca="1">IF($Q5=1,SUM($Q$4:$Q5),"")</f>
        <v/>
      </c>
    </row>
    <row r="6" spans="1:18" ht="33.75" customHeight="1" x14ac:dyDescent="0.3">
      <c r="A6" s="2" t="s">
        <v>633</v>
      </c>
      <c r="B6" s="2" t="s">
        <v>633</v>
      </c>
      <c r="C6" s="3" t="s">
        <v>634</v>
      </c>
      <c r="D6" s="3" t="s">
        <v>637</v>
      </c>
      <c r="E6" s="2"/>
      <c r="F6" s="2"/>
      <c r="G6" s="5">
        <v>45963</v>
      </c>
      <c r="H6" s="5">
        <v>45963</v>
      </c>
      <c r="I6" s="2" t="s">
        <v>31</v>
      </c>
      <c r="J6" s="6">
        <f t="shared" si="1"/>
        <v>0</v>
      </c>
      <c r="K6" s="4" t="str">
        <f t="shared" ca="1" si="2"/>
        <v>-</v>
      </c>
      <c r="L6" s="7" t="str">
        <f>IF(I6="Completed","0",IF($H6="","",$H6-'[2]Read Me'!$B$4))</f>
        <v>0</v>
      </c>
      <c r="M6" s="4" t="str">
        <f>IF($I6="Complete","Green",IF($H6="","Amber",IF($H6&lt;'[2]Read Me'!$B$4,"Red",IF($H6-'[2]Read Me'!$B$4&lt;=21,"Amber","Green"))))</f>
        <v>Red</v>
      </c>
      <c r="N6" s="3"/>
      <c r="O6" t="str">
        <f>IF($I6&lt;&gt;"Complete",IF(COUNTIFS($A$4:$A5,$A6,$B$4:$B5,$B6,$I$4:$I5,"&lt;&gt;Complete")=0,$A6&amp;"|"&amp;$B6,""),"")</f>
        <v/>
      </c>
      <c r="P6" t="str">
        <f ca="1">IF($K6="Yes",COUNTIFS($K$4:$K6,"Yes"),"")</f>
        <v/>
      </c>
      <c r="Q6">
        <f t="shared" ca="1" si="3"/>
        <v>0</v>
      </c>
      <c r="R6" t="str">
        <f ca="1">IF($Q6=1,SUM($Q$4:$Q6),"")</f>
        <v/>
      </c>
    </row>
    <row r="7" spans="1:18" ht="33.75" customHeight="1" x14ac:dyDescent="0.3">
      <c r="A7" s="2" t="s">
        <v>633</v>
      </c>
      <c r="B7" s="2" t="s">
        <v>633</v>
      </c>
      <c r="C7" s="3" t="s">
        <v>634</v>
      </c>
      <c r="D7" s="3" t="s">
        <v>638</v>
      </c>
      <c r="E7" s="2"/>
      <c r="F7" s="2"/>
      <c r="G7" s="5">
        <v>45965</v>
      </c>
      <c r="H7" s="5">
        <v>45965</v>
      </c>
      <c r="I7" s="2" t="s">
        <v>31</v>
      </c>
      <c r="J7" s="6">
        <f t="shared" si="1"/>
        <v>0</v>
      </c>
      <c r="K7" s="4" t="str">
        <f t="shared" ca="1" si="2"/>
        <v>-</v>
      </c>
      <c r="L7" s="7" t="str">
        <f>IF(I7="Completed","0",IF($H7="","",$H7-'[2]Read Me'!$B$4))</f>
        <v>0</v>
      </c>
      <c r="M7" s="4" t="str">
        <f>IF($I7="Complete","Green",IF($H7="","Amber",IF($H7&lt;'[2]Read Me'!$B$4,"Red",IF($H7-'[2]Read Me'!$B$4&lt;=21,"Amber","Green"))))</f>
        <v>Red</v>
      </c>
      <c r="N7" s="3"/>
      <c r="O7" t="str">
        <f>IF($I7&lt;&gt;"Complete",IF(COUNTIFS($A$4:$A6,$A7,$B$4:$B6,$B7,$I$4:$I6,"&lt;&gt;Complete")=0,$A7&amp;"|"&amp;$B7,""),"")</f>
        <v/>
      </c>
      <c r="P7" t="str">
        <f ca="1">IF($K7="Yes",COUNTIFS($K$4:$K7,"Yes"),"")</f>
        <v/>
      </c>
      <c r="Q7">
        <f t="shared" ca="1" si="3"/>
        <v>0</v>
      </c>
      <c r="R7" t="str">
        <f ca="1">IF($Q7=1,SUM($Q$4:$Q7),"")</f>
        <v/>
      </c>
    </row>
    <row r="8" spans="1:18" ht="33.75" customHeight="1" x14ac:dyDescent="0.3">
      <c r="A8" s="2" t="s">
        <v>639</v>
      </c>
      <c r="B8" s="2" t="s">
        <v>62</v>
      </c>
      <c r="C8" s="3"/>
      <c r="D8" s="3"/>
      <c r="E8" s="2"/>
      <c r="F8" s="2"/>
      <c r="G8" s="5">
        <v>46117</v>
      </c>
      <c r="H8" s="5">
        <v>46195</v>
      </c>
      <c r="I8" s="2"/>
      <c r="J8" s="6">
        <f t="shared" si="1"/>
        <v>78</v>
      </c>
      <c r="K8" s="4" t="str">
        <f t="shared" ca="1" si="2"/>
        <v/>
      </c>
      <c r="L8" s="7">
        <f>IF(I8="Completed","0",IF($H8="","",$H8-'[2]Read Me'!$B$4))</f>
        <v>8</v>
      </c>
      <c r="M8" s="4" t="str">
        <f>IF($I8="Complete","Green",IF($H8="","Amber",IF($H8&lt;'[2]Read Me'!$B$4,"Red",IF($H8-'[2]Read Me'!$B$4&lt;=21,"Amber","Green"))))</f>
        <v>Amber</v>
      </c>
      <c r="N8" s="3"/>
      <c r="O8" t="str">
        <f>IF($I8&lt;&gt;"Complete",IF(COUNTIFS($A$4:$A7,$A8,$B$4:$B7,$B8,$I$4:$I7,"&lt;&gt;Complete")=0,$A8&amp;"|"&amp;$B8,""),"")</f>
        <v>Two types (B1&amp;B2)|Buildings</v>
      </c>
      <c r="P8" t="str">
        <f ca="1">IF($K8="Yes",COUNTIFS($K$4:$K8,"Yes"),"")</f>
        <v/>
      </c>
      <c r="Q8">
        <f t="shared" ca="1" si="3"/>
        <v>0</v>
      </c>
      <c r="R8" t="str">
        <f ca="1">IF($Q8=1,SUM($Q$4:$Q8),"")</f>
        <v/>
      </c>
    </row>
    <row r="9" spans="1:18" ht="33.75" customHeight="1" x14ac:dyDescent="0.3">
      <c r="A9" s="2" t="s">
        <v>639</v>
      </c>
      <c r="B9" s="2" t="s">
        <v>62</v>
      </c>
      <c r="C9" s="3" t="s">
        <v>639</v>
      </c>
      <c r="D9" s="3" t="s">
        <v>640</v>
      </c>
      <c r="E9" s="2"/>
      <c r="F9" s="2" t="s">
        <v>30</v>
      </c>
      <c r="G9" s="5">
        <v>45953</v>
      </c>
      <c r="H9" s="5">
        <v>45953</v>
      </c>
      <c r="I9" s="2" t="s">
        <v>31</v>
      </c>
      <c r="J9" s="6">
        <f t="shared" si="1"/>
        <v>0</v>
      </c>
      <c r="K9" s="4" t="str">
        <f t="shared" ca="1" si="2"/>
        <v>-</v>
      </c>
      <c r="L9" s="7" t="str">
        <f>IF(I9="Completed","0",IF($H9="","",$H9-'[2]Read Me'!$B$4))</f>
        <v>0</v>
      </c>
      <c r="M9" s="4" t="str">
        <f>IF($I9="Complete","Green",IF($H9="","Amber",IF($H9&lt;'[2]Read Me'!$B$4,"Red",IF($H9-'[2]Read Me'!$B$4&lt;=21,"Amber","Green"))))</f>
        <v>Red</v>
      </c>
      <c r="N9" s="3"/>
      <c r="O9" t="str">
        <f>IF($I9&lt;&gt;"Complete",IF(COUNTIFS($A$4:$A8,$A9,$B$4:$B8,$B9,$I$4:$I8,"&lt;&gt;Complete")=0,$A9&amp;"|"&amp;$B9,""),"")</f>
        <v/>
      </c>
      <c r="P9" t="str">
        <f ca="1">IF($K9="Yes",COUNTIFS($K$4:$K9,"Yes"),"")</f>
        <v/>
      </c>
      <c r="Q9">
        <f t="shared" ca="1" si="3"/>
        <v>0</v>
      </c>
      <c r="R9" t="str">
        <f ca="1">IF($Q9=1,SUM($Q$4:$Q9),"")</f>
        <v/>
      </c>
    </row>
    <row r="10" spans="1:18" ht="33.75" customHeight="1" x14ac:dyDescent="0.3">
      <c r="A10" s="2" t="s">
        <v>639</v>
      </c>
      <c r="B10" s="2" t="s">
        <v>62</v>
      </c>
      <c r="C10" s="3" t="s">
        <v>639</v>
      </c>
      <c r="D10" s="3" t="s">
        <v>641</v>
      </c>
      <c r="E10" s="2"/>
      <c r="F10" s="2" t="s">
        <v>30</v>
      </c>
      <c r="G10" s="5">
        <v>45993</v>
      </c>
      <c r="H10" s="5">
        <v>45998</v>
      </c>
      <c r="I10" s="2" t="s">
        <v>31</v>
      </c>
      <c r="J10" s="6">
        <f t="shared" si="1"/>
        <v>5</v>
      </c>
      <c r="K10" s="4" t="str">
        <f t="shared" ca="1" si="2"/>
        <v>-</v>
      </c>
      <c r="L10" s="7" t="str">
        <f>IF(I10="Completed","0",IF($H10="","",$H10-'[2]Read Me'!$B$4))</f>
        <v>0</v>
      </c>
      <c r="M10" s="4" t="str">
        <f>IF($I10="Complete","Green",IF($H10="","Amber",IF($H10&lt;'[2]Read Me'!$B$4,"Red",IF($H10-'[2]Read Me'!$B$4&lt;=21,"Amber","Green"))))</f>
        <v>Red</v>
      </c>
      <c r="N10" s="3"/>
      <c r="O10" t="str">
        <f>IF($I10&lt;&gt;"Complete",IF(COUNTIFS($A$4:$A9,$A10,$B$4:$B9,$B10,$I$4:$I9,"&lt;&gt;Complete")=0,$A10&amp;"|"&amp;$B10,""),"")</f>
        <v/>
      </c>
      <c r="P10" t="str">
        <f ca="1">IF($K10="Yes",COUNTIFS($K$4:$K10,"Yes"),"")</f>
        <v/>
      </c>
      <c r="Q10">
        <f t="shared" ca="1" si="3"/>
        <v>0</v>
      </c>
      <c r="R10" t="str">
        <f ca="1">IF($Q10=1,SUM($Q$4:$Q10),"")</f>
        <v/>
      </c>
    </row>
    <row r="11" spans="1:18" ht="33.75" customHeight="1" x14ac:dyDescent="0.3">
      <c r="A11" s="2" t="s">
        <v>639</v>
      </c>
      <c r="B11" s="2" t="s">
        <v>62</v>
      </c>
      <c r="C11" s="3" t="s">
        <v>639</v>
      </c>
      <c r="D11" s="3" t="s">
        <v>35</v>
      </c>
      <c r="E11" s="2"/>
      <c r="F11" s="2"/>
      <c r="G11" s="5">
        <v>46008</v>
      </c>
      <c r="H11" s="5">
        <v>46013</v>
      </c>
      <c r="I11" s="2" t="s">
        <v>31</v>
      </c>
      <c r="J11" s="6">
        <f t="shared" si="1"/>
        <v>5</v>
      </c>
      <c r="K11" s="4" t="str">
        <f t="shared" ca="1" si="2"/>
        <v>-</v>
      </c>
      <c r="L11" s="7" t="str">
        <f>IF(I11="Completed","0",IF($H11="","",$H11-'[2]Read Me'!$B$4))</f>
        <v>0</v>
      </c>
      <c r="M11" s="4" t="str">
        <f>IF($I11="Complete","Green",IF($H11="","Amber",IF($H11&lt;'[2]Read Me'!$B$4,"Red",IF($H11-'[2]Read Me'!$B$4&lt;=21,"Amber","Green"))))</f>
        <v>Red</v>
      </c>
      <c r="N11" s="3"/>
      <c r="O11" t="str">
        <f>IF($I11&lt;&gt;"Complete",IF(COUNTIFS($A$4:$A10,$A11,$B$4:$B10,$B11,$I$4:$I10,"&lt;&gt;Complete")=0,$A11&amp;"|"&amp;$B11,""),"")</f>
        <v/>
      </c>
      <c r="P11" t="str">
        <f ca="1">IF($K11="Yes",COUNTIFS($K$4:$K11,"Yes"),"")</f>
        <v/>
      </c>
      <c r="Q11">
        <f t="shared" ca="1" si="3"/>
        <v>0</v>
      </c>
      <c r="R11" t="str">
        <f ca="1">IF($Q11=1,SUM($Q$4:$Q11),"")</f>
        <v/>
      </c>
    </row>
    <row r="12" spans="1:18" ht="33.75" customHeight="1" x14ac:dyDescent="0.3">
      <c r="A12" s="2" t="s">
        <v>639</v>
      </c>
      <c r="B12" s="2" t="s">
        <v>62</v>
      </c>
      <c r="C12" s="3" t="s">
        <v>639</v>
      </c>
      <c r="D12" s="3" t="s">
        <v>20</v>
      </c>
      <c r="E12" s="2" t="s">
        <v>33</v>
      </c>
      <c r="F12" s="2" t="s">
        <v>81</v>
      </c>
      <c r="G12" s="5">
        <v>46008</v>
      </c>
      <c r="H12" s="5">
        <v>46195</v>
      </c>
      <c r="I12" s="2" t="s">
        <v>46</v>
      </c>
      <c r="J12" s="6">
        <f t="shared" si="1"/>
        <v>187</v>
      </c>
      <c r="K12" s="4" t="str">
        <f t="shared" ca="1" si="2"/>
        <v>Yes</v>
      </c>
      <c r="L12" s="7">
        <f>IF(I12="Completed","0",IF($H12="","",$H12-'[2]Read Me'!$B$4))</f>
        <v>8</v>
      </c>
      <c r="M12" s="4" t="str">
        <f>IF($I12="Complete","Green",IF($H12="","Amber",IF($H12&lt;'[2]Read Me'!$B$4,"Red",IF($H12-'[2]Read Me'!$B$4&lt;=21,"Amber","Green"))))</f>
        <v>Amber</v>
      </c>
      <c r="N12" s="3"/>
      <c r="O12" t="str">
        <f>IF($I12&lt;&gt;"Complete",IF(COUNTIFS($A$4:$A11,$A12,$B$4:$B11,$B12,$I$4:$I11,"&lt;&gt;Complete")=0,$A12&amp;"|"&amp;$B12,""),"")</f>
        <v/>
      </c>
      <c r="P12">
        <f ca="1">IF($K12="Yes",COUNTIFS($K$4:$K12,"Yes"),"")</f>
        <v>1</v>
      </c>
      <c r="Q12">
        <f t="shared" ca="1" si="3"/>
        <v>1</v>
      </c>
      <c r="R12">
        <f ca="1">IF($Q12=1,SUM($Q$4:$Q12),"")</f>
        <v>1</v>
      </c>
    </row>
    <row r="13" spans="1:18" ht="33.75" customHeight="1" x14ac:dyDescent="0.3">
      <c r="A13" s="2" t="s">
        <v>639</v>
      </c>
      <c r="B13" s="2" t="s">
        <v>62</v>
      </c>
      <c r="C13" s="3" t="s">
        <v>639</v>
      </c>
      <c r="D13" s="3" t="s">
        <v>642</v>
      </c>
      <c r="E13" s="2"/>
      <c r="F13" s="2" t="s">
        <v>30</v>
      </c>
      <c r="G13" s="5">
        <v>46023</v>
      </c>
      <c r="H13" s="5">
        <v>46061</v>
      </c>
      <c r="I13" s="2" t="s">
        <v>31</v>
      </c>
      <c r="J13" s="6">
        <f t="shared" si="1"/>
        <v>38</v>
      </c>
      <c r="K13" s="4" t="str">
        <f t="shared" ca="1" si="2"/>
        <v>-</v>
      </c>
      <c r="L13" s="7" t="str">
        <f>IF(I13="Completed","0",IF($H13="","",$H13-'[2]Read Me'!$B$4))</f>
        <v>0</v>
      </c>
      <c r="M13" s="4" t="str">
        <f>IF($I13="Complete","Green",IF($H13="","Amber",IF($H13&lt;'[2]Read Me'!$B$4,"Red",IF($H13-'[2]Read Me'!$B$4&lt;=21,"Amber","Green"))))</f>
        <v>Red</v>
      </c>
      <c r="N13" s="3"/>
      <c r="O13" t="str">
        <f>IF($I13&lt;&gt;"Complete",IF(COUNTIFS($A$4:$A12,$A13,$B$4:$B12,$B13,$I$4:$I12,"&lt;&gt;Complete")=0,$A13&amp;"|"&amp;$B13,""),"")</f>
        <v/>
      </c>
      <c r="P13" t="str">
        <f ca="1">IF($K13="Yes",COUNTIFS($K$4:$K13,"Yes"),"")</f>
        <v/>
      </c>
      <c r="Q13">
        <f t="shared" ca="1" si="3"/>
        <v>0</v>
      </c>
      <c r="R13" t="str">
        <f ca="1">IF($Q13=1,SUM($Q$4:$Q13),"")</f>
        <v/>
      </c>
    </row>
    <row r="14" spans="1:18" ht="33.75" customHeight="1" x14ac:dyDescent="0.3">
      <c r="A14" s="2" t="s">
        <v>639</v>
      </c>
      <c r="B14" s="2" t="s">
        <v>62</v>
      </c>
      <c r="C14" s="3" t="s">
        <v>639</v>
      </c>
      <c r="D14" s="3" t="s">
        <v>37</v>
      </c>
      <c r="E14" s="2"/>
      <c r="F14" s="2"/>
      <c r="G14" s="5">
        <v>46033</v>
      </c>
      <c r="H14" s="5">
        <v>46065</v>
      </c>
      <c r="I14" s="2" t="s">
        <v>31</v>
      </c>
      <c r="J14" s="6">
        <f t="shared" si="1"/>
        <v>32</v>
      </c>
      <c r="K14" s="4" t="str">
        <f t="shared" ca="1" si="2"/>
        <v>-</v>
      </c>
      <c r="L14" s="7" t="str">
        <f>IF(I14="Completed","0",IF($H14="","",$H14-'[2]Read Me'!$B$4))</f>
        <v>0</v>
      </c>
      <c r="M14" s="4" t="str">
        <f>IF($I14="Complete","Green",IF($H14="","Amber",IF($H14&lt;'[2]Read Me'!$B$4,"Red",IF($H14-'[2]Read Me'!$B$4&lt;=21,"Amber","Green"))))</f>
        <v>Red</v>
      </c>
      <c r="N14" s="3"/>
      <c r="O14" t="str">
        <f>IF($I14&lt;&gt;"Complete",IF(COUNTIFS($A$4:$A13,$A14,$B$4:$B13,$B14,$I$4:$I13,"&lt;&gt;Complete")=0,$A14&amp;"|"&amp;$B14,""),"")</f>
        <v/>
      </c>
      <c r="P14" t="str">
        <f ca="1">IF($K14="Yes",COUNTIFS($K$4:$K14,"Yes"),"")</f>
        <v/>
      </c>
      <c r="Q14">
        <f t="shared" ca="1" si="3"/>
        <v>0</v>
      </c>
      <c r="R14" t="str">
        <f ca="1">IF($Q14=1,SUM($Q$4:$Q14),"")</f>
        <v/>
      </c>
    </row>
    <row r="15" spans="1:18" ht="33.75" customHeight="1" x14ac:dyDescent="0.3">
      <c r="A15" s="2" t="s">
        <v>643</v>
      </c>
      <c r="B15" s="2" t="s">
        <v>62</v>
      </c>
      <c r="C15" s="3"/>
      <c r="D15" s="3"/>
      <c r="E15" s="2"/>
      <c r="F15" s="2"/>
      <c r="G15" s="5">
        <v>46118</v>
      </c>
      <c r="H15" s="5">
        <v>46195</v>
      </c>
      <c r="I15" s="2"/>
      <c r="J15" s="6">
        <f t="shared" si="1"/>
        <v>77</v>
      </c>
      <c r="K15" s="4" t="str">
        <f t="shared" ca="1" si="2"/>
        <v/>
      </c>
      <c r="L15" s="7">
        <f>IF(I15="Completed","0",IF($H15="","",$H15-'[2]Read Me'!$B$4))</f>
        <v>8</v>
      </c>
      <c r="M15" s="4" t="str">
        <f>IF($I15="Complete","Green",IF($H15="","Amber",IF($H15&lt;'[2]Read Me'!$B$4,"Red",IF($H15-'[2]Read Me'!$B$4&lt;=21,"Amber","Green"))))</f>
        <v>Amber</v>
      </c>
      <c r="N15" s="3"/>
      <c r="O15" t="str">
        <f>IF($I15&lt;&gt;"Complete",IF(COUNTIFS($A$4:$A14,$A15,$B$4:$B14,$B15,$I$4:$I14,"&lt;&gt;Complete")=0,$A15&amp;"|"&amp;$B15,""),"")</f>
        <v>One type (B3)|Buildings</v>
      </c>
      <c r="P15" t="str">
        <f ca="1">IF($K15="Yes",COUNTIFS($K$4:$K15,"Yes"),"")</f>
        <v/>
      </c>
      <c r="Q15">
        <f t="shared" ca="1" si="3"/>
        <v>0</v>
      </c>
      <c r="R15" t="str">
        <f ca="1">IF($Q15=1,SUM($Q$4:$Q15),"")</f>
        <v/>
      </c>
    </row>
    <row r="16" spans="1:18" ht="33.75" customHeight="1" x14ac:dyDescent="0.3">
      <c r="A16" s="2" t="s">
        <v>643</v>
      </c>
      <c r="B16" s="2" t="s">
        <v>62</v>
      </c>
      <c r="C16" s="3" t="s">
        <v>643</v>
      </c>
      <c r="D16" s="3" t="s">
        <v>15</v>
      </c>
      <c r="E16" s="2"/>
      <c r="F16" s="2" t="s">
        <v>30</v>
      </c>
      <c r="G16" s="5">
        <v>45993</v>
      </c>
      <c r="H16" s="5">
        <v>45998</v>
      </c>
      <c r="I16" s="2" t="s">
        <v>31</v>
      </c>
      <c r="J16" s="6">
        <f t="shared" si="1"/>
        <v>5</v>
      </c>
      <c r="K16" s="4" t="str">
        <f t="shared" ca="1" si="2"/>
        <v>-</v>
      </c>
      <c r="L16" s="7" t="str">
        <f>IF(I16="Completed","0",IF($H16="","",$H16-'[2]Read Me'!$B$4))</f>
        <v>0</v>
      </c>
      <c r="M16" s="4" t="str">
        <f>IF($I16="Complete","Green",IF($H16="","Amber",IF($H16&lt;'[2]Read Me'!$B$4,"Red",IF($H16-'[2]Read Me'!$B$4&lt;=21,"Amber","Green"))))</f>
        <v>Red</v>
      </c>
      <c r="N16" s="3"/>
      <c r="O16" t="str">
        <f>IF($I16&lt;&gt;"Complete",IF(COUNTIFS($A$4:$A15,$A16,$B$4:$B15,$B16,$I$4:$I15,"&lt;&gt;Complete")=0,$A16&amp;"|"&amp;$B16,""),"")</f>
        <v/>
      </c>
      <c r="P16" t="str">
        <f ca="1">IF($K16="Yes",COUNTIFS($K$4:$K16,"Yes"),"")</f>
        <v/>
      </c>
      <c r="Q16">
        <f t="shared" ca="1" si="3"/>
        <v>0</v>
      </c>
      <c r="R16" t="str">
        <f ca="1">IF($Q16=1,SUM($Q$4:$Q16),"")</f>
        <v/>
      </c>
    </row>
    <row r="17" spans="1:18" ht="33.75" customHeight="1" x14ac:dyDescent="0.3">
      <c r="A17" s="2" t="s">
        <v>643</v>
      </c>
      <c r="B17" s="2" t="s">
        <v>62</v>
      </c>
      <c r="C17" s="3" t="s">
        <v>643</v>
      </c>
      <c r="D17" s="3" t="s">
        <v>644</v>
      </c>
      <c r="E17" s="2"/>
      <c r="F17" s="2" t="s">
        <v>30</v>
      </c>
      <c r="G17" s="5">
        <v>45993</v>
      </c>
      <c r="H17" s="5">
        <v>46022</v>
      </c>
      <c r="I17" s="2" t="s">
        <v>31</v>
      </c>
      <c r="J17" s="6">
        <f t="shared" si="1"/>
        <v>29</v>
      </c>
      <c r="K17" s="4" t="str">
        <f t="shared" ca="1" si="2"/>
        <v>-</v>
      </c>
      <c r="L17" s="7" t="str">
        <f>IF(I17="Completed","0",IF($H17="","",$H17-'[2]Read Me'!$B$4))</f>
        <v>0</v>
      </c>
      <c r="M17" s="4" t="str">
        <f>IF($I17="Complete","Green",IF($H17="","Amber",IF($H17&lt;'[2]Read Me'!$B$4,"Red",IF($H17-'[2]Read Me'!$B$4&lt;=21,"Amber","Green"))))</f>
        <v>Red</v>
      </c>
      <c r="N17" s="3"/>
      <c r="O17" t="str">
        <f>IF($I17&lt;&gt;"Complete",IF(COUNTIFS($A$4:$A16,$A17,$B$4:$B16,$B17,$I$4:$I16,"&lt;&gt;Complete")=0,$A17&amp;"|"&amp;$B17,""),"")</f>
        <v/>
      </c>
      <c r="P17" t="str">
        <f ca="1">IF($K17="Yes",COUNTIFS($K$4:$K17,"Yes"),"")</f>
        <v/>
      </c>
      <c r="Q17">
        <f t="shared" ca="1" si="3"/>
        <v>0</v>
      </c>
      <c r="R17" t="str">
        <f ca="1">IF($Q17=1,SUM($Q$4:$Q17),"")</f>
        <v/>
      </c>
    </row>
    <row r="18" spans="1:18" ht="33.75" customHeight="1" x14ac:dyDescent="0.3">
      <c r="A18" s="2" t="s">
        <v>643</v>
      </c>
      <c r="B18" s="2" t="s">
        <v>62</v>
      </c>
      <c r="C18" s="3" t="s">
        <v>643</v>
      </c>
      <c r="D18" s="3" t="s">
        <v>35</v>
      </c>
      <c r="E18" s="2"/>
      <c r="F18" s="2"/>
      <c r="G18" s="5">
        <v>46008</v>
      </c>
      <c r="H18" s="5">
        <v>46022</v>
      </c>
      <c r="I18" s="2" t="s">
        <v>31</v>
      </c>
      <c r="J18" s="6">
        <f t="shared" si="1"/>
        <v>14</v>
      </c>
      <c r="K18" s="4" t="str">
        <f t="shared" ca="1" si="2"/>
        <v>-</v>
      </c>
      <c r="L18" s="7" t="str">
        <f>IF(I18="Completed","0",IF($H18="","",$H18-'[2]Read Me'!$B$4))</f>
        <v>0</v>
      </c>
      <c r="M18" s="4" t="str">
        <f>IF($I18="Complete","Green",IF($H18="","Amber",IF($H18&lt;'[2]Read Me'!$B$4,"Red",IF($H18-'[2]Read Me'!$B$4&lt;=21,"Amber","Green"))))</f>
        <v>Red</v>
      </c>
      <c r="N18" s="3"/>
      <c r="O18" t="str">
        <f>IF($I18&lt;&gt;"Complete",IF(COUNTIFS($A$4:$A17,$A18,$B$4:$B17,$B18,$I$4:$I17,"&lt;&gt;Complete")=0,$A18&amp;"|"&amp;$B18,""),"")</f>
        <v/>
      </c>
      <c r="P18" t="str">
        <f ca="1">IF($K18="Yes",COUNTIFS($K$4:$K18,"Yes"),"")</f>
        <v/>
      </c>
      <c r="Q18">
        <f t="shared" ca="1" si="3"/>
        <v>0</v>
      </c>
      <c r="R18" t="str">
        <f ca="1">IF($Q18=1,SUM($Q$4:$Q18),"")</f>
        <v/>
      </c>
    </row>
    <row r="19" spans="1:18" ht="33.75" customHeight="1" x14ac:dyDescent="0.3">
      <c r="A19" s="2" t="s">
        <v>643</v>
      </c>
      <c r="B19" s="2" t="s">
        <v>62</v>
      </c>
      <c r="C19" s="3" t="s">
        <v>643</v>
      </c>
      <c r="D19" s="3" t="s">
        <v>20</v>
      </c>
      <c r="E19" s="2" t="s">
        <v>33</v>
      </c>
      <c r="F19" s="2" t="s">
        <v>81</v>
      </c>
      <c r="G19" s="5">
        <v>46008</v>
      </c>
      <c r="H19" s="5">
        <v>46195</v>
      </c>
      <c r="I19" s="2" t="s">
        <v>46</v>
      </c>
      <c r="J19" s="6">
        <f t="shared" si="1"/>
        <v>187</v>
      </c>
      <c r="K19" s="4" t="str">
        <f t="shared" ca="1" si="2"/>
        <v>Yes</v>
      </c>
      <c r="L19" s="7">
        <f>IF(I19="Completed","0",IF($H19="","",$H19-'[2]Read Me'!$B$4))</f>
        <v>8</v>
      </c>
      <c r="M19" s="4" t="str">
        <f>IF($I19="Complete","Green",IF($H19="","Amber",IF($H19&lt;'[2]Read Me'!$B$4,"Red",IF($H19-'[2]Read Me'!$B$4&lt;=21,"Amber","Green"))))</f>
        <v>Amber</v>
      </c>
      <c r="N19" s="3"/>
      <c r="O19" t="str">
        <f>IF($I19&lt;&gt;"Complete",IF(COUNTIFS($A$4:$A18,$A19,$B$4:$B18,$B19,$I$4:$I18,"&lt;&gt;Complete")=0,$A19&amp;"|"&amp;$B19,""),"")</f>
        <v/>
      </c>
      <c r="P19">
        <f ca="1">IF($K19="Yes",COUNTIFS($K$4:$K19,"Yes"),"")</f>
        <v>2</v>
      </c>
      <c r="Q19">
        <f t="shared" ca="1" si="3"/>
        <v>1</v>
      </c>
      <c r="R19">
        <f ca="1">IF($Q19=1,SUM($Q$4:$Q19),"")</f>
        <v>2</v>
      </c>
    </row>
    <row r="20" spans="1:18" ht="33.75" customHeight="1" x14ac:dyDescent="0.3">
      <c r="A20" s="2" t="s">
        <v>643</v>
      </c>
      <c r="B20" s="2" t="s">
        <v>62</v>
      </c>
      <c r="C20" s="3" t="s">
        <v>643</v>
      </c>
      <c r="D20" s="3" t="s">
        <v>640</v>
      </c>
      <c r="E20" s="2"/>
      <c r="F20" s="2" t="s">
        <v>30</v>
      </c>
      <c r="G20" s="5">
        <v>46008</v>
      </c>
      <c r="H20" s="5">
        <v>46022</v>
      </c>
      <c r="I20" s="2" t="s">
        <v>31</v>
      </c>
      <c r="J20" s="6">
        <f t="shared" si="1"/>
        <v>14</v>
      </c>
      <c r="K20" s="4" t="str">
        <f t="shared" ca="1" si="2"/>
        <v>-</v>
      </c>
      <c r="L20" s="7" t="str">
        <f>IF(I20="Completed","0",IF($H20="","",$H20-'[2]Read Me'!$B$4))</f>
        <v>0</v>
      </c>
      <c r="M20" s="4" t="str">
        <f>IF($I20="Complete","Green",IF($H20="","Amber",IF($H20&lt;'[2]Read Me'!$B$4,"Red",IF($H20-'[2]Read Me'!$B$4&lt;=21,"Amber","Green"))))</f>
        <v>Red</v>
      </c>
      <c r="N20" s="3"/>
      <c r="O20" t="str">
        <f>IF($I20&lt;&gt;"Complete",IF(COUNTIFS($A$4:$A19,$A20,$B$4:$B19,$B20,$I$4:$I19,"&lt;&gt;Complete")=0,$A20&amp;"|"&amp;$B20,""),"")</f>
        <v/>
      </c>
      <c r="P20" t="str">
        <f ca="1">IF($K20="Yes",COUNTIFS($K$4:$K20,"Yes"),"")</f>
        <v/>
      </c>
      <c r="Q20">
        <f t="shared" ca="1" si="3"/>
        <v>0</v>
      </c>
      <c r="R20" t="str">
        <f ca="1">IF($Q20=1,SUM($Q$4:$Q20),"")</f>
        <v/>
      </c>
    </row>
    <row r="21" spans="1:18" ht="33.75" customHeight="1" x14ac:dyDescent="0.3">
      <c r="A21" s="2" t="s">
        <v>643</v>
      </c>
      <c r="B21" s="2" t="s">
        <v>62</v>
      </c>
      <c r="C21" s="3" t="s">
        <v>643</v>
      </c>
      <c r="D21" s="3" t="s">
        <v>645</v>
      </c>
      <c r="E21" s="2"/>
      <c r="F21" s="2" t="s">
        <v>30</v>
      </c>
      <c r="G21" s="5">
        <v>46023</v>
      </c>
      <c r="H21" s="5">
        <v>46061</v>
      </c>
      <c r="I21" s="2" t="s">
        <v>31</v>
      </c>
      <c r="J21" s="6">
        <f t="shared" si="1"/>
        <v>38</v>
      </c>
      <c r="K21" s="4" t="str">
        <f t="shared" ca="1" si="2"/>
        <v>-</v>
      </c>
      <c r="L21" s="7" t="str">
        <f>IF(I21="Completed","0",IF($H21="","",$H21-'[2]Read Me'!$B$4))</f>
        <v>0</v>
      </c>
      <c r="M21" s="4" t="str">
        <f>IF($I21="Complete","Green",IF($H21="","Amber",IF($H21&lt;'[2]Read Me'!$B$4,"Red",IF($H21-'[2]Read Me'!$B$4&lt;=21,"Amber","Green"))))</f>
        <v>Red</v>
      </c>
      <c r="N21" s="3"/>
      <c r="O21" t="str">
        <f>IF($I21&lt;&gt;"Complete",IF(COUNTIFS($A$4:$A20,$A21,$B$4:$B20,$B21,$I$4:$I20,"&lt;&gt;Complete")=0,$A21&amp;"|"&amp;$B21,""),"")</f>
        <v/>
      </c>
      <c r="P21" t="str">
        <f ca="1">IF($K21="Yes",COUNTIFS($K$4:$K21,"Yes"),"")</f>
        <v/>
      </c>
      <c r="Q21">
        <f t="shared" ca="1" si="3"/>
        <v>0</v>
      </c>
      <c r="R21" t="str">
        <f ca="1">IF($Q21=1,SUM($Q$4:$Q21),"")</f>
        <v/>
      </c>
    </row>
    <row r="22" spans="1:18" ht="33.75" customHeight="1" x14ac:dyDescent="0.3">
      <c r="A22" s="2" t="s">
        <v>643</v>
      </c>
      <c r="B22" s="2" t="s">
        <v>62</v>
      </c>
      <c r="C22" s="3" t="s">
        <v>643</v>
      </c>
      <c r="D22" s="3" t="s">
        <v>37</v>
      </c>
      <c r="E22" s="2"/>
      <c r="F22" s="2"/>
      <c r="G22" s="5">
        <v>46033</v>
      </c>
      <c r="H22" s="5">
        <v>46065</v>
      </c>
      <c r="I22" s="2" t="s">
        <v>31</v>
      </c>
      <c r="J22" s="6">
        <f t="shared" si="1"/>
        <v>32</v>
      </c>
      <c r="K22" s="4" t="str">
        <f t="shared" ca="1" si="2"/>
        <v>-</v>
      </c>
      <c r="L22" s="7" t="str">
        <f>IF(I22="Completed","0",IF($H22="","",$H22-'[2]Read Me'!$B$4))</f>
        <v>0</v>
      </c>
      <c r="M22" s="4" t="str">
        <f>IF($I22="Complete","Green",IF($H22="","Amber",IF($H22&lt;'[2]Read Me'!$B$4,"Red",IF($H22-'[2]Read Me'!$B$4&lt;=21,"Amber","Green"))))</f>
        <v>Red</v>
      </c>
      <c r="N22" s="3"/>
      <c r="O22" t="str">
        <f>IF($I22&lt;&gt;"Complete",IF(COUNTIFS($A$4:$A21,$A22,$B$4:$B21,$B22,$I$4:$I21,"&lt;&gt;Complete")=0,$A22&amp;"|"&amp;$B22,""),"")</f>
        <v/>
      </c>
      <c r="P22" t="str">
        <f ca="1">IF($K22="Yes",COUNTIFS($K$4:$K22,"Yes"),"")</f>
        <v/>
      </c>
      <c r="Q22">
        <f t="shared" ca="1" si="3"/>
        <v>0</v>
      </c>
      <c r="R22" t="str">
        <f ca="1">IF($Q22=1,SUM($Q$4:$Q22),"")</f>
        <v/>
      </c>
    </row>
    <row r="23" spans="1:18" ht="33.75" customHeight="1" x14ac:dyDescent="0.3">
      <c r="A23" s="2" t="s">
        <v>49</v>
      </c>
      <c r="B23" s="2" t="s">
        <v>49</v>
      </c>
      <c r="C23" s="3"/>
      <c r="D23" s="3"/>
      <c r="E23" s="2"/>
      <c r="F23" s="2"/>
      <c r="G23" s="5">
        <v>45952</v>
      </c>
      <c r="H23" s="5">
        <v>45952</v>
      </c>
      <c r="I23" s="2"/>
      <c r="J23" s="6">
        <f t="shared" si="1"/>
        <v>0</v>
      </c>
      <c r="K23" s="4" t="str">
        <f t="shared" ca="1" si="2"/>
        <v/>
      </c>
      <c r="L23" s="7">
        <f>IF(I23="Completed","0",IF($H23="","",$H23-'[2]Read Me'!$B$4))</f>
        <v>-235</v>
      </c>
      <c r="M23" s="4" t="str">
        <f>IF($I23="Complete","Green",IF($H23="","Amber",IF($H23&lt;'[2]Read Me'!$B$4,"Red",IF($H23-'[2]Read Me'!$B$4&lt;=21,"Amber","Green"))))</f>
        <v>Red</v>
      </c>
      <c r="N23" s="3"/>
      <c r="O23" t="str">
        <f>IF($I23&lt;&gt;"Complete",IF(COUNTIFS($A$4:$A22,$A23,$B$4:$B22,$B23,$I$4:$I22,"&lt;&gt;Complete")=0,$A23&amp;"|"&amp;$B23,""),"")</f>
        <v>Authorities|Authorities</v>
      </c>
      <c r="P23" t="str">
        <f ca="1">IF($K23="Yes",COUNTIFS($K$4:$K23,"Yes"),"")</f>
        <v/>
      </c>
      <c r="Q23">
        <f t="shared" ca="1" si="3"/>
        <v>0</v>
      </c>
      <c r="R23" t="str">
        <f ca="1">IF($Q23=1,SUM($Q$4:$Q23),"")</f>
        <v/>
      </c>
    </row>
    <row r="24" spans="1:18" ht="33.75" customHeight="1" x14ac:dyDescent="0.3">
      <c r="A24" s="2" t="s">
        <v>49</v>
      </c>
      <c r="B24" s="2" t="s">
        <v>49</v>
      </c>
      <c r="C24" s="3" t="s">
        <v>49</v>
      </c>
      <c r="D24" s="3" t="s">
        <v>646</v>
      </c>
      <c r="E24" s="2"/>
      <c r="F24" s="2"/>
      <c r="G24" s="5">
        <v>45952</v>
      </c>
      <c r="H24" s="5">
        <v>45952</v>
      </c>
      <c r="I24" s="2" t="s">
        <v>31</v>
      </c>
      <c r="J24" s="6">
        <f t="shared" si="1"/>
        <v>0</v>
      </c>
      <c r="K24" s="4" t="str">
        <f t="shared" ca="1" si="2"/>
        <v>-</v>
      </c>
      <c r="L24" s="7" t="str">
        <f>IF(I24="Completed","0",IF($H24="","",$H24-'[2]Read Me'!$B$4))</f>
        <v>0</v>
      </c>
      <c r="M24" s="4" t="str">
        <f>IF($I24="Complete","Green",IF($H24="","Amber",IF($H24&lt;'[2]Read Me'!$B$4,"Red",IF($H24-'[2]Read Me'!$B$4&lt;=21,"Amber","Green"))))</f>
        <v>Red</v>
      </c>
      <c r="N24" s="3"/>
      <c r="O24" t="str">
        <f>IF($I24&lt;&gt;"Complete",IF(COUNTIFS($A$4:$A23,$A24,$B$4:$B23,$B24,$I$4:$I23,"&lt;&gt;Complete")=0,$A24&amp;"|"&amp;$B24,""),"")</f>
        <v/>
      </c>
      <c r="P24" t="str">
        <f ca="1">IF($K24="Yes",COUNTIFS($K$4:$K24,"Yes"),"")</f>
        <v/>
      </c>
      <c r="Q24">
        <f t="shared" ca="1" si="3"/>
        <v>0</v>
      </c>
      <c r="R24" t="str">
        <f ca="1">IF($Q24=1,SUM($Q$4:$Q24),"")</f>
        <v/>
      </c>
    </row>
    <row r="25" spans="1:18" ht="33.75" customHeight="1" x14ac:dyDescent="0.3">
      <c r="A25" s="2" t="s">
        <v>647</v>
      </c>
      <c r="B25" s="2" t="s">
        <v>647</v>
      </c>
      <c r="C25" s="3"/>
      <c r="D25" s="3"/>
      <c r="E25" s="2"/>
      <c r="F25" s="2"/>
      <c r="G25" s="5">
        <v>46443</v>
      </c>
      <c r="H25" s="5">
        <v>46447</v>
      </c>
      <c r="I25" s="2"/>
      <c r="J25" s="6">
        <f t="shared" si="1"/>
        <v>4</v>
      </c>
      <c r="K25" s="4" t="str">
        <f t="shared" ca="1" si="2"/>
        <v/>
      </c>
      <c r="L25" s="7">
        <f>IF(I25="Completed","0",IF($H25="","",$H25-'[2]Read Me'!$B$4))</f>
        <v>260</v>
      </c>
      <c r="M25" s="4" t="str">
        <f>IF($I25="Complete","Green",IF($H25="","Amber",IF($H25&lt;'[2]Read Me'!$B$4,"Red",IF($H25-'[2]Read Me'!$B$4&lt;=21,"Amber","Green"))))</f>
        <v>Green</v>
      </c>
      <c r="N25" s="3"/>
      <c r="O25" t="str">
        <f>IF($I25&lt;&gt;"Complete",IF(COUNTIFS($A$4:$A24,$A25,$B$4:$B24,$B25,$I$4:$I24,"&lt;&gt;Complete")=0,$A25&amp;"|"&amp;$B25,""),"")</f>
        <v>Crystal Lagoon|Crystal Lagoon</v>
      </c>
      <c r="P25" t="str">
        <f ca="1">IF($K25="Yes",COUNTIFS($K$4:$K25,"Yes"),"")</f>
        <v/>
      </c>
      <c r="Q25">
        <f t="shared" ca="1" si="3"/>
        <v>0</v>
      </c>
      <c r="R25" t="str">
        <f ca="1">IF($Q25=1,SUM($Q$4:$Q25),"")</f>
        <v/>
      </c>
    </row>
    <row r="26" spans="1:18" ht="33.75" customHeight="1" x14ac:dyDescent="0.3">
      <c r="A26" s="2" t="s">
        <v>647</v>
      </c>
      <c r="B26" s="2" t="s">
        <v>647</v>
      </c>
      <c r="C26" s="3" t="s">
        <v>647</v>
      </c>
      <c r="D26" s="3" t="s">
        <v>648</v>
      </c>
      <c r="E26" s="2" t="s">
        <v>649</v>
      </c>
      <c r="F26" s="2"/>
      <c r="G26" s="5">
        <v>45952</v>
      </c>
      <c r="H26" s="5">
        <v>46064</v>
      </c>
      <c r="I26" s="2" t="s">
        <v>31</v>
      </c>
      <c r="J26" s="6">
        <f t="shared" si="1"/>
        <v>112</v>
      </c>
      <c r="K26" s="4" t="str">
        <f t="shared" ca="1" si="2"/>
        <v>-</v>
      </c>
      <c r="L26" s="7" t="str">
        <f>IF(I26="Completed","0",IF($H26="","",$H26-'[2]Read Me'!$B$4))</f>
        <v>0</v>
      </c>
      <c r="M26" s="4" t="str">
        <f>IF($I26="Complete","Green",IF($H26="","Amber",IF($H26&lt;'[2]Read Me'!$B$4,"Red",IF($H26-'[2]Read Me'!$B$4&lt;=21,"Amber","Green"))))</f>
        <v>Red</v>
      </c>
      <c r="N26" s="3"/>
      <c r="O26" t="str">
        <f>IF($I26&lt;&gt;"Complete",IF(COUNTIFS($A$4:$A25,$A26,$B$4:$B25,$B26,$I$4:$I25,"&lt;&gt;Complete")=0,$A26&amp;"|"&amp;$B26,""),"")</f>
        <v/>
      </c>
      <c r="P26" t="str">
        <f ca="1">IF($K26="Yes",COUNTIFS($K$4:$K26,"Yes"),"")</f>
        <v/>
      </c>
      <c r="Q26">
        <f t="shared" ca="1" si="3"/>
        <v>0</v>
      </c>
      <c r="R26" t="str">
        <f ca="1">IF($Q26=1,SUM($Q$4:$Q26),"")</f>
        <v/>
      </c>
    </row>
    <row r="27" spans="1:18" ht="33.75" customHeight="1" x14ac:dyDescent="0.3">
      <c r="A27" s="2" t="s">
        <v>647</v>
      </c>
      <c r="B27" s="2" t="s">
        <v>647</v>
      </c>
      <c r="C27" s="3" t="s">
        <v>647</v>
      </c>
      <c r="D27" s="3" t="s">
        <v>650</v>
      </c>
      <c r="E27" s="2" t="s">
        <v>649</v>
      </c>
      <c r="F27" s="2"/>
      <c r="G27" s="5">
        <v>45974</v>
      </c>
      <c r="H27" s="5">
        <v>46064</v>
      </c>
      <c r="I27" s="2" t="s">
        <v>31</v>
      </c>
      <c r="J27" s="6">
        <f t="shared" si="1"/>
        <v>90</v>
      </c>
      <c r="K27" s="4" t="str">
        <f t="shared" ca="1" si="2"/>
        <v>-</v>
      </c>
      <c r="L27" s="7" t="str">
        <f>IF(I27="Completed","0",IF($H27="","",$H27-'[2]Read Me'!$B$4))</f>
        <v>0</v>
      </c>
      <c r="M27" s="4" t="str">
        <f>IF($I27="Complete","Green",IF($H27="","Amber",IF($H27&lt;'[2]Read Me'!$B$4,"Red",IF($H27-'[2]Read Me'!$B$4&lt;=21,"Amber","Green"))))</f>
        <v>Red</v>
      </c>
      <c r="N27" s="3"/>
      <c r="O27" t="str">
        <f>IF($I27&lt;&gt;"Complete",IF(COUNTIFS($A$4:$A26,$A27,$B$4:$B26,$B27,$I$4:$I26,"&lt;&gt;Complete")=0,$A27&amp;"|"&amp;$B27,""),"")</f>
        <v/>
      </c>
      <c r="P27" t="str">
        <f ca="1">IF($K27="Yes",COUNTIFS($K$4:$K27,"Yes"),"")</f>
        <v/>
      </c>
      <c r="Q27">
        <f t="shared" ca="1" si="3"/>
        <v>0</v>
      </c>
      <c r="R27" t="str">
        <f ca="1">IF($Q27=1,SUM($Q$4:$Q27),"")</f>
        <v/>
      </c>
    </row>
    <row r="28" spans="1:18" ht="33.75" customHeight="1" x14ac:dyDescent="0.3">
      <c r="A28" s="2" t="s">
        <v>647</v>
      </c>
      <c r="B28" s="2" t="s">
        <v>647</v>
      </c>
      <c r="C28" s="3" t="s">
        <v>647</v>
      </c>
      <c r="D28" s="3" t="s">
        <v>651</v>
      </c>
      <c r="E28" s="2" t="s">
        <v>649</v>
      </c>
      <c r="F28" s="2"/>
      <c r="G28" s="5">
        <v>46002</v>
      </c>
      <c r="H28" s="5">
        <v>46146</v>
      </c>
      <c r="I28" s="2" t="s">
        <v>31</v>
      </c>
      <c r="J28" s="6">
        <f t="shared" si="1"/>
        <v>144</v>
      </c>
      <c r="K28" s="4" t="str">
        <f t="shared" ca="1" si="2"/>
        <v>-</v>
      </c>
      <c r="L28" s="7" t="str">
        <f>IF(I28="Completed","0",IF($H28="","",$H28-'[2]Read Me'!$B$4))</f>
        <v>0</v>
      </c>
      <c r="M28" s="4" t="str">
        <f>IF($I28="Complete","Green",IF($H28="","Amber",IF($H28&lt;'[2]Read Me'!$B$4,"Red",IF($H28-'[2]Read Me'!$B$4&lt;=21,"Amber","Green"))))</f>
        <v>Red</v>
      </c>
      <c r="N28" s="3"/>
      <c r="O28" t="str">
        <f>IF($I28&lt;&gt;"Complete",IF(COUNTIFS($A$4:$A27,$A28,$B$4:$B27,$B28,$I$4:$I27,"&lt;&gt;Complete")=0,$A28&amp;"|"&amp;$B28,""),"")</f>
        <v/>
      </c>
      <c r="P28" t="str">
        <f ca="1">IF($K28="Yes",COUNTIFS($K$4:$K28,"Yes"),"")</f>
        <v/>
      </c>
      <c r="Q28">
        <f t="shared" ca="1" si="3"/>
        <v>0</v>
      </c>
      <c r="R28" t="str">
        <f ca="1">IF($Q28=1,SUM($Q$4:$Q28),"")</f>
        <v/>
      </c>
    </row>
    <row r="29" spans="1:18" ht="33.75" customHeight="1" x14ac:dyDescent="0.3">
      <c r="A29" s="2" t="s">
        <v>647</v>
      </c>
      <c r="B29" s="2" t="s">
        <v>647</v>
      </c>
      <c r="C29" s="3" t="s">
        <v>647</v>
      </c>
      <c r="D29" s="3" t="s">
        <v>652</v>
      </c>
      <c r="E29" s="2" t="s">
        <v>649</v>
      </c>
      <c r="F29" s="2"/>
      <c r="G29" s="5">
        <v>46161</v>
      </c>
      <c r="H29" s="5">
        <v>46161</v>
      </c>
      <c r="I29" s="2" t="s">
        <v>31</v>
      </c>
      <c r="J29" s="6">
        <f t="shared" si="1"/>
        <v>0</v>
      </c>
      <c r="K29" s="4" t="str">
        <f t="shared" ca="1" si="2"/>
        <v>-</v>
      </c>
      <c r="L29" s="7" t="str">
        <f>IF(I29="Completed","0",IF($H29="","",$H29-'[2]Read Me'!$B$4))</f>
        <v>0</v>
      </c>
      <c r="M29" s="4" t="str">
        <f>IF($I29="Complete","Green",IF($H29="","Amber",IF($H29&lt;'[2]Read Me'!$B$4,"Red",IF($H29-'[2]Read Me'!$B$4&lt;=21,"Amber","Green"))))</f>
        <v>Red</v>
      </c>
      <c r="N29" s="3"/>
      <c r="O29" t="str">
        <f>IF($I29&lt;&gt;"Complete",IF(COUNTIFS($A$4:$A28,$A29,$B$4:$B28,$B29,$I$4:$I28,"&lt;&gt;Complete")=0,$A29&amp;"|"&amp;$B29,""),"")</f>
        <v/>
      </c>
      <c r="P29" t="str">
        <f ca="1">IF($K29="Yes",COUNTIFS($K$4:$K29,"Yes"),"")</f>
        <v/>
      </c>
      <c r="Q29">
        <f t="shared" ca="1" si="3"/>
        <v>0</v>
      </c>
      <c r="R29" t="str">
        <f ca="1">IF($Q29=1,SUM($Q$4:$Q29),"")</f>
        <v/>
      </c>
    </row>
    <row r="30" spans="1:18" ht="33.75" customHeight="1" x14ac:dyDescent="0.3">
      <c r="A30" s="2" t="s">
        <v>647</v>
      </c>
      <c r="B30" s="2" t="s">
        <v>647</v>
      </c>
      <c r="C30" s="3" t="s">
        <v>647</v>
      </c>
      <c r="D30" s="3" t="s">
        <v>653</v>
      </c>
      <c r="E30" s="2" t="s">
        <v>649</v>
      </c>
      <c r="F30" s="2"/>
      <c r="G30" s="5">
        <v>46198</v>
      </c>
      <c r="H30" s="5">
        <v>46202</v>
      </c>
      <c r="I30" s="2" t="s">
        <v>46</v>
      </c>
      <c r="J30" s="6">
        <f t="shared" si="1"/>
        <v>4</v>
      </c>
      <c r="K30" s="4" t="str">
        <f t="shared" ca="1" si="2"/>
        <v>Yes</v>
      </c>
      <c r="L30" s="7">
        <f>IF(I30="Completed","0",IF($H30="","",$H30-'[2]Read Me'!$B$4))</f>
        <v>15</v>
      </c>
      <c r="M30" s="4" t="str">
        <f>IF($I30="Complete","Green",IF($H30="","Amber",IF($H30&lt;'[2]Read Me'!$B$4,"Red",IF($H30-'[2]Read Me'!$B$4&lt;=21,"Amber","Green"))))</f>
        <v>Amber</v>
      </c>
      <c r="N30" s="3"/>
      <c r="O30" t="str">
        <f>IF($I30&lt;&gt;"Complete",IF(COUNTIFS($A$4:$A29,$A30,$B$4:$B29,$B30,$I$4:$I29,"&lt;&gt;Complete")=0,$A30&amp;"|"&amp;$B30,""),"")</f>
        <v/>
      </c>
      <c r="P30">
        <f ca="1">IF($K30="Yes",COUNTIFS($K$4:$K30,"Yes"),"")</f>
        <v>3</v>
      </c>
      <c r="Q30">
        <f t="shared" ca="1" si="3"/>
        <v>1</v>
      </c>
      <c r="R30">
        <f ca="1">IF($Q30=1,SUM($Q$4:$Q30),"")</f>
        <v>3</v>
      </c>
    </row>
    <row r="31" spans="1:18" ht="14.25" customHeight="1" x14ac:dyDescent="0.3">
      <c r="A31" s="2" t="s">
        <v>647</v>
      </c>
      <c r="B31" s="2" t="s">
        <v>647</v>
      </c>
      <c r="C31" s="3" t="s">
        <v>647</v>
      </c>
      <c r="D31" s="3" t="s">
        <v>654</v>
      </c>
      <c r="E31" s="2" t="s">
        <v>649</v>
      </c>
      <c r="F31" s="2"/>
      <c r="G31" s="5">
        <v>46198</v>
      </c>
      <c r="H31" s="5">
        <v>46272</v>
      </c>
      <c r="I31" s="2" t="s">
        <v>17</v>
      </c>
      <c r="J31" s="6">
        <f t="shared" si="1"/>
        <v>74</v>
      </c>
      <c r="K31" s="4" t="str">
        <f t="shared" ca="1" si="2"/>
        <v>No</v>
      </c>
      <c r="L31" s="7">
        <f>IF(I31="Completed","0",IF($H31="","",$H31-'[2]Read Me'!$B$4))</f>
        <v>85</v>
      </c>
      <c r="M31" s="4" t="str">
        <f>IF($I31="Complete","Green",IF($H31="","Amber",IF($H31&lt;'[2]Read Me'!$B$4,"Red",IF($H31-'[2]Read Me'!$B$4&lt;=21,"Amber","Green"))))</f>
        <v>Green</v>
      </c>
      <c r="N31" s="3"/>
      <c r="O31" t="str">
        <f>IF($I31&lt;&gt;"Complete",IF(COUNTIFS($A$4:$A30,$A31,$B$4:$B30,$B31,$I$4:$I30,"&lt;&gt;Complete")=0,$A31&amp;"|"&amp;$B31,""),"")</f>
        <v/>
      </c>
      <c r="P31" t="str">
        <f ca="1">IF($K31="Yes",COUNTIFS($K$4:$K31,"Yes"),"")</f>
        <v/>
      </c>
      <c r="Q31">
        <f t="shared" ca="1" si="3"/>
        <v>0</v>
      </c>
      <c r="R31" t="str">
        <f ca="1">IF($Q31=1,SUM($Q$4:$Q31),"")</f>
        <v/>
      </c>
    </row>
    <row r="32" spans="1:18" ht="14.25" customHeight="1" x14ac:dyDescent="0.3">
      <c r="A32" s="2" t="s">
        <v>647</v>
      </c>
      <c r="B32" s="2" t="s">
        <v>647</v>
      </c>
      <c r="C32" s="3" t="s">
        <v>647</v>
      </c>
      <c r="D32" s="3" t="s">
        <v>655</v>
      </c>
      <c r="E32" s="2" t="s">
        <v>649</v>
      </c>
      <c r="F32" s="2"/>
      <c r="G32" s="5">
        <v>46226</v>
      </c>
      <c r="H32" s="5">
        <v>46300</v>
      </c>
      <c r="I32" s="2" t="s">
        <v>17</v>
      </c>
      <c r="J32" s="6">
        <f t="shared" si="1"/>
        <v>74</v>
      </c>
      <c r="K32" s="4" t="str">
        <f t="shared" ca="1" si="2"/>
        <v>No</v>
      </c>
      <c r="L32" s="7">
        <f>IF(I32="Completed","0",IF($H32="","",$H32-'[2]Read Me'!$B$4))</f>
        <v>113</v>
      </c>
      <c r="M32" s="4" t="str">
        <f>IF($I32="Complete","Green",IF($H32="","Amber",IF($H32&lt;'[2]Read Me'!$B$4,"Red",IF($H32-'[2]Read Me'!$B$4&lt;=21,"Amber","Green"))))</f>
        <v>Green</v>
      </c>
      <c r="N32" s="3"/>
      <c r="O32" t="str">
        <f>IF($I32&lt;&gt;"Complete",IF(COUNTIFS($A$4:$A31,$A32,$B$4:$B31,$B32,$I$4:$I31,"&lt;&gt;Complete")=0,$A32&amp;"|"&amp;$B32,""),"")</f>
        <v/>
      </c>
      <c r="P32" t="str">
        <f ca="1">IF($K32="Yes",COUNTIFS($K$4:$K32,"Yes"),"")</f>
        <v/>
      </c>
      <c r="Q32">
        <f t="shared" ca="1" si="3"/>
        <v>0</v>
      </c>
      <c r="R32" t="str">
        <f ca="1">IF($Q32=1,SUM($Q$4:$Q32),"")</f>
        <v/>
      </c>
    </row>
    <row r="33" spans="1:18" ht="14.25" customHeight="1" x14ac:dyDescent="0.3">
      <c r="A33" s="2" t="s">
        <v>647</v>
      </c>
      <c r="B33" s="2" t="s">
        <v>647</v>
      </c>
      <c r="C33" s="3" t="s">
        <v>647</v>
      </c>
      <c r="D33" s="3" t="s">
        <v>14</v>
      </c>
      <c r="E33" s="2" t="s">
        <v>649</v>
      </c>
      <c r="F33" s="2"/>
      <c r="G33" s="5">
        <v>46219</v>
      </c>
      <c r="H33" s="5">
        <v>46223</v>
      </c>
      <c r="I33" s="2" t="s">
        <v>17</v>
      </c>
      <c r="J33" s="6">
        <f t="shared" si="1"/>
        <v>4</v>
      </c>
      <c r="K33" s="4" t="str">
        <f t="shared" ca="1" si="2"/>
        <v>No</v>
      </c>
      <c r="L33" s="7">
        <f>IF(I33="Completed","0",IF($H33="","",$H33-'[2]Read Me'!$B$4))</f>
        <v>36</v>
      </c>
      <c r="M33" s="4" t="str">
        <f>IF($I33="Complete","Green",IF($H33="","Amber",IF($H33&lt;'[2]Read Me'!$B$4,"Red",IF($H33-'[2]Read Me'!$B$4&lt;=21,"Amber","Green"))))</f>
        <v>Green</v>
      </c>
      <c r="N33" s="3"/>
      <c r="O33" t="str">
        <f>IF($I33&lt;&gt;"Complete",IF(COUNTIFS($A$4:$A32,$A33,$B$4:$B32,$B33,$I$4:$I32,"&lt;&gt;Complete")=0,$A33&amp;"|"&amp;$B33,""),"")</f>
        <v/>
      </c>
      <c r="P33" t="str">
        <f ca="1">IF($K33="Yes",COUNTIFS($K$4:$K33,"Yes"),"")</f>
        <v/>
      </c>
      <c r="Q33">
        <f t="shared" ca="1" si="3"/>
        <v>0</v>
      </c>
      <c r="R33" t="str">
        <f ca="1">IF($Q33=1,SUM($Q$4:$Q33),"")</f>
        <v/>
      </c>
    </row>
    <row r="34" spans="1:18" ht="14.25" customHeight="1" x14ac:dyDescent="0.3">
      <c r="A34" s="2" t="s">
        <v>647</v>
      </c>
      <c r="B34" s="2" t="s">
        <v>647</v>
      </c>
      <c r="C34" s="3" t="s">
        <v>647</v>
      </c>
      <c r="D34" s="3" t="s">
        <v>656</v>
      </c>
      <c r="E34" s="2" t="s">
        <v>649</v>
      </c>
      <c r="F34" s="2"/>
      <c r="G34" s="5">
        <v>46247</v>
      </c>
      <c r="H34" s="5">
        <v>46251</v>
      </c>
      <c r="I34" s="2" t="s">
        <v>17</v>
      </c>
      <c r="J34" s="6">
        <f t="shared" si="1"/>
        <v>4</v>
      </c>
      <c r="K34" s="4" t="str">
        <f t="shared" ca="1" si="2"/>
        <v>No</v>
      </c>
      <c r="L34" s="7">
        <f>IF(I34="Completed","0",IF($H34="","",$H34-'[2]Read Me'!$B$4))</f>
        <v>64</v>
      </c>
      <c r="M34" s="4" t="str">
        <f>IF($I34="Complete","Green",IF($H34="","Amber",IF($H34&lt;'[2]Read Me'!$B$4,"Red",IF($H34-'[2]Read Me'!$B$4&lt;=21,"Amber","Green"))))</f>
        <v>Green</v>
      </c>
      <c r="N34" s="3"/>
      <c r="O34" t="str">
        <f>IF($I34&lt;&gt;"Complete",IF(COUNTIFS($A$4:$A33,$A34,$B$4:$B33,$B34,$I$4:$I33,"&lt;&gt;Complete")=0,$A34&amp;"|"&amp;$B34,""),"")</f>
        <v/>
      </c>
      <c r="P34" t="str">
        <f ca="1">IF($K34="Yes",COUNTIFS($K$4:$K34,"Yes"),"")</f>
        <v/>
      </c>
      <c r="Q34">
        <f t="shared" ca="1" si="3"/>
        <v>0</v>
      </c>
      <c r="R34" t="str">
        <f ca="1">IF($Q34=1,SUM($Q$4:$Q34),"")</f>
        <v/>
      </c>
    </row>
    <row r="35" spans="1:18" ht="14.25" customHeight="1" x14ac:dyDescent="0.3">
      <c r="A35" s="2" t="s">
        <v>647</v>
      </c>
      <c r="B35" s="2" t="s">
        <v>647</v>
      </c>
      <c r="C35" s="3" t="s">
        <v>647</v>
      </c>
      <c r="D35" s="3" t="s">
        <v>127</v>
      </c>
      <c r="E35" s="2" t="s">
        <v>649</v>
      </c>
      <c r="F35" s="2"/>
      <c r="G35" s="5">
        <v>46268</v>
      </c>
      <c r="H35" s="5">
        <v>46272</v>
      </c>
      <c r="I35" s="2" t="s">
        <v>17</v>
      </c>
      <c r="J35" s="6">
        <f t="shared" si="1"/>
        <v>4</v>
      </c>
      <c r="K35" s="4" t="str">
        <f t="shared" ca="1" si="2"/>
        <v>No</v>
      </c>
      <c r="L35" s="7">
        <f>IF(I35="Completed","0",IF($H35="","",$H35-'[2]Read Me'!$B$4))</f>
        <v>85</v>
      </c>
      <c r="M35" s="4" t="str">
        <f>IF($I35="Complete","Green",IF($H35="","Amber",IF($H35&lt;'[2]Read Me'!$B$4,"Red",IF($H35-'[2]Read Me'!$B$4&lt;=21,"Amber","Green"))))</f>
        <v>Green</v>
      </c>
      <c r="N35" s="3"/>
      <c r="O35" t="str">
        <f>IF($I35&lt;&gt;"Complete",IF(COUNTIFS($A$4:$A34,$A35,$B$4:$B34,$B35,$I$4:$I34,"&lt;&gt;Complete")=0,$A35&amp;"|"&amp;$B35,""),"")</f>
        <v/>
      </c>
      <c r="P35" t="str">
        <f ca="1">IF($K35="Yes",COUNTIFS($K$4:$K35,"Yes"),"")</f>
        <v/>
      </c>
      <c r="Q35">
        <f t="shared" ca="1" si="3"/>
        <v>0</v>
      </c>
      <c r="R35" t="str">
        <f ca="1">IF($Q35=1,SUM($Q$4:$Q35),"")</f>
        <v/>
      </c>
    </row>
    <row r="36" spans="1:18" ht="14.25" customHeight="1" x14ac:dyDescent="0.3">
      <c r="A36" s="2" t="s">
        <v>647</v>
      </c>
      <c r="B36" s="2" t="s">
        <v>647</v>
      </c>
      <c r="C36" s="3" t="s">
        <v>647</v>
      </c>
      <c r="D36" s="3" t="s">
        <v>657</v>
      </c>
      <c r="E36" s="2" t="s">
        <v>649</v>
      </c>
      <c r="F36" s="2"/>
      <c r="G36" s="5">
        <v>46296</v>
      </c>
      <c r="H36" s="5">
        <v>46300</v>
      </c>
      <c r="I36" s="2" t="s">
        <v>17</v>
      </c>
      <c r="J36" s="6">
        <f t="shared" si="1"/>
        <v>4</v>
      </c>
      <c r="K36" s="4" t="str">
        <f t="shared" ca="1" si="2"/>
        <v>No</v>
      </c>
      <c r="L36" s="7">
        <f>IF(I36="Completed","0",IF($H36="","",$H36-'[2]Read Me'!$B$4))</f>
        <v>113</v>
      </c>
      <c r="M36" s="4" t="str">
        <f>IF($I36="Complete","Green",IF($H36="","Amber",IF($H36&lt;'[2]Read Me'!$B$4,"Red",IF($H36-'[2]Read Me'!$B$4&lt;=21,"Amber","Green"))))</f>
        <v>Green</v>
      </c>
      <c r="N36" s="3"/>
      <c r="O36" t="str">
        <f>IF($I36&lt;&gt;"Complete",IF(COUNTIFS($A$4:$A35,$A36,$B$4:$B35,$B36,$I$4:$I35,"&lt;&gt;Complete")=0,$A36&amp;"|"&amp;$B36,""),"")</f>
        <v/>
      </c>
      <c r="P36" t="str">
        <f ca="1">IF($K36="Yes",COUNTIFS($K$4:$K36,"Yes"),"")</f>
        <v/>
      </c>
      <c r="Q36">
        <f t="shared" ca="1" si="3"/>
        <v>0</v>
      </c>
      <c r="R36" t="str">
        <f ca="1">IF($Q36=1,SUM($Q$4:$Q36),"")</f>
        <v/>
      </c>
    </row>
    <row r="37" spans="1:18" ht="14.25" customHeight="1" x14ac:dyDescent="0.3">
      <c r="A37" s="2" t="s">
        <v>647</v>
      </c>
      <c r="B37" s="2" t="s">
        <v>647</v>
      </c>
      <c r="C37" s="3" t="s">
        <v>647</v>
      </c>
      <c r="D37" s="3" t="s">
        <v>16</v>
      </c>
      <c r="E37" s="2" t="s">
        <v>649</v>
      </c>
      <c r="F37" s="2"/>
      <c r="G37" s="5">
        <v>46317</v>
      </c>
      <c r="H37" s="5">
        <v>46321</v>
      </c>
      <c r="I37" s="2" t="s">
        <v>17</v>
      </c>
      <c r="J37" s="6">
        <f t="shared" si="1"/>
        <v>4</v>
      </c>
      <c r="K37" s="4" t="str">
        <f t="shared" ca="1" si="2"/>
        <v>No</v>
      </c>
      <c r="L37" s="7">
        <f>IF(I37="Completed","0",IF($H37="","",$H37-'[2]Read Me'!$B$4))</f>
        <v>134</v>
      </c>
      <c r="M37" s="4" t="str">
        <f>IF($I37="Complete","Green",IF($H37="","Amber",IF($H37&lt;'[2]Read Me'!$B$4,"Red",IF($H37-'[2]Read Me'!$B$4&lt;=21,"Amber","Green"))))</f>
        <v>Green</v>
      </c>
      <c r="N37" s="3"/>
      <c r="O37" t="str">
        <f>IF($I37&lt;&gt;"Complete",IF(COUNTIFS($A$4:$A36,$A37,$B$4:$B36,$B37,$I$4:$I36,"&lt;&gt;Complete")=0,$A37&amp;"|"&amp;$B37,""),"")</f>
        <v/>
      </c>
      <c r="P37" t="str">
        <f ca="1">IF($K37="Yes",COUNTIFS($K$4:$K37,"Yes"),"")</f>
        <v/>
      </c>
      <c r="Q37">
        <f t="shared" ca="1" si="3"/>
        <v>0</v>
      </c>
      <c r="R37" t="str">
        <f ca="1">IF($Q37=1,SUM($Q$4:$Q37),"")</f>
        <v/>
      </c>
    </row>
    <row r="38" spans="1:18" ht="14.25" customHeight="1" x14ac:dyDescent="0.3">
      <c r="A38" s="2" t="s">
        <v>647</v>
      </c>
      <c r="B38" s="2" t="s">
        <v>647</v>
      </c>
      <c r="C38" s="3" t="s">
        <v>647</v>
      </c>
      <c r="D38" s="3" t="s">
        <v>658</v>
      </c>
      <c r="E38" s="2" t="s">
        <v>649</v>
      </c>
      <c r="F38" s="2"/>
      <c r="G38" s="5">
        <v>46331</v>
      </c>
      <c r="H38" s="5">
        <v>46335</v>
      </c>
      <c r="I38" s="2" t="s">
        <v>17</v>
      </c>
      <c r="J38" s="6">
        <f t="shared" si="1"/>
        <v>4</v>
      </c>
      <c r="K38" s="4" t="str">
        <f t="shared" ca="1" si="2"/>
        <v>No</v>
      </c>
      <c r="L38" s="7">
        <f>IF(I38="Completed","0",IF($H38="","",$H38-'[2]Read Me'!$B$4))</f>
        <v>148</v>
      </c>
      <c r="M38" s="4" t="str">
        <f>IF($I38="Complete","Green",IF($H38="","Amber",IF($H38&lt;'[2]Read Me'!$B$4,"Red",IF($H38-'[2]Read Me'!$B$4&lt;=21,"Amber","Green"))))</f>
        <v>Green</v>
      </c>
      <c r="N38" s="3"/>
      <c r="O38" t="str">
        <f>IF($I38&lt;&gt;"Complete",IF(COUNTIFS($A$4:$A37,$A38,$B$4:$B37,$B38,$I$4:$I37,"&lt;&gt;Complete")=0,$A38&amp;"|"&amp;$B38,""),"")</f>
        <v/>
      </c>
      <c r="P38" t="str">
        <f ca="1">IF($K38="Yes",COUNTIFS($K$4:$K38,"Yes"),"")</f>
        <v/>
      </c>
      <c r="Q38">
        <f t="shared" ca="1" si="3"/>
        <v>0</v>
      </c>
      <c r="R38" t="str">
        <f ca="1">IF($Q38=1,SUM($Q$4:$Q38),"")</f>
        <v/>
      </c>
    </row>
    <row r="39" spans="1:18" ht="14.25" customHeight="1" x14ac:dyDescent="0.3">
      <c r="A39" s="2" t="s">
        <v>647</v>
      </c>
      <c r="B39" s="2" t="s">
        <v>647</v>
      </c>
      <c r="C39" s="3" t="s">
        <v>647</v>
      </c>
      <c r="D39" s="3" t="s">
        <v>211</v>
      </c>
      <c r="E39" s="2" t="s">
        <v>649</v>
      </c>
      <c r="F39" s="2"/>
      <c r="G39" s="5">
        <v>46443</v>
      </c>
      <c r="H39" s="5">
        <v>46447</v>
      </c>
      <c r="I39" s="2" t="s">
        <v>17</v>
      </c>
      <c r="J39" s="6">
        <f t="shared" si="1"/>
        <v>4</v>
      </c>
      <c r="K39" s="4" t="str">
        <f t="shared" ca="1" si="2"/>
        <v>No</v>
      </c>
      <c r="L39" s="7">
        <f>IF(I39="Completed","0",IF($H39="","",$H39-'[2]Read Me'!$B$4))</f>
        <v>260</v>
      </c>
      <c r="M39" s="4" t="str">
        <f>IF($I39="Complete","Green",IF($H39="","Amber",IF($H39&lt;'[2]Read Me'!$B$4,"Red",IF($H39-'[2]Read Me'!$B$4&lt;=21,"Amber","Green"))))</f>
        <v>Green</v>
      </c>
      <c r="N39" s="3"/>
      <c r="O39" t="str">
        <f>IF($I39&lt;&gt;"Complete",IF(COUNTIFS($A$4:$A38,$A39,$B$4:$B38,$B39,$I$4:$I38,"&lt;&gt;Complete")=0,$A39&amp;"|"&amp;$B39,""),"")</f>
        <v/>
      </c>
      <c r="P39" t="str">
        <f ca="1">IF($K39="Yes",COUNTIFS($K$4:$K39,"Yes"),"")</f>
        <v/>
      </c>
      <c r="Q39">
        <f t="shared" ca="1" si="3"/>
        <v>0</v>
      </c>
      <c r="R39" t="str">
        <f ca="1">IF($Q39=1,SUM($Q$4:$Q39),"")</f>
        <v/>
      </c>
    </row>
    <row r="40" spans="1:18" ht="14.25" customHeight="1" x14ac:dyDescent="0.3">
      <c r="A40" s="2" t="s">
        <v>647</v>
      </c>
      <c r="B40" s="2" t="s">
        <v>647</v>
      </c>
      <c r="C40" s="3" t="s">
        <v>647</v>
      </c>
      <c r="D40" s="3" t="s">
        <v>212</v>
      </c>
      <c r="E40" s="2" t="s">
        <v>649</v>
      </c>
      <c r="F40" s="2"/>
      <c r="G40" s="5">
        <v>46443</v>
      </c>
      <c r="H40" s="5">
        <v>46447</v>
      </c>
      <c r="I40" s="2" t="s">
        <v>17</v>
      </c>
      <c r="J40" s="6">
        <f t="shared" si="1"/>
        <v>4</v>
      </c>
      <c r="K40" s="4" t="str">
        <f t="shared" ca="1" si="2"/>
        <v>No</v>
      </c>
      <c r="L40" s="7">
        <f>IF(I40="Completed","0",IF($H40="","",$H40-'[2]Read Me'!$B$4))</f>
        <v>260</v>
      </c>
      <c r="M40" s="4" t="str">
        <f>IF($I40="Complete","Green",IF($H40="","Amber",IF($H40&lt;'[2]Read Me'!$B$4,"Red",IF($H40-'[2]Read Me'!$B$4&lt;=21,"Amber","Green"))))</f>
        <v>Green</v>
      </c>
      <c r="N40" s="3"/>
      <c r="O40" t="str">
        <f>IF($I40&lt;&gt;"Complete",IF(COUNTIFS($A$4:$A39,$A40,$B$4:$B39,$B40,$I$4:$I39,"&lt;&gt;Complete")=0,$A40&amp;"|"&amp;$B40,""),"")</f>
        <v/>
      </c>
      <c r="P40" t="str">
        <f ca="1">IF($K40="Yes",COUNTIFS($K$4:$K40,"Yes"),"")</f>
        <v/>
      </c>
      <c r="Q40">
        <f t="shared" ca="1" si="3"/>
        <v>0</v>
      </c>
      <c r="R40" t="str">
        <f ca="1">IF($Q40=1,SUM($Q$4:$Q40),"")</f>
        <v/>
      </c>
    </row>
    <row r="41" spans="1:18" ht="14.25" customHeight="1" x14ac:dyDescent="0.3">
      <c r="A41" s="2" t="s">
        <v>122</v>
      </c>
      <c r="B41" s="2" t="s">
        <v>122</v>
      </c>
      <c r="C41" s="3"/>
      <c r="D41" s="3"/>
      <c r="E41" s="2"/>
      <c r="F41" s="2"/>
      <c r="G41" s="5">
        <v>46033</v>
      </c>
      <c r="H41" s="5">
        <v>46065</v>
      </c>
      <c r="I41" s="2"/>
      <c r="J41" s="6">
        <f t="shared" si="1"/>
        <v>32</v>
      </c>
      <c r="K41" s="4" t="str">
        <f t="shared" ca="1" si="2"/>
        <v/>
      </c>
      <c r="L41" s="7">
        <f>IF(I41="Completed","0",IF($H41="","",$H41-'[2]Read Me'!$B$4))</f>
        <v>-122</v>
      </c>
      <c r="M41" s="4" t="str">
        <f>IF($I41="Complete","Green",IF($H41="","Amber",IF($H41&lt;'[2]Read Me'!$B$4,"Red",IF($H41-'[2]Read Me'!$B$4&lt;=21,"Amber","Green"))))</f>
        <v>Red</v>
      </c>
      <c r="N41" s="3"/>
      <c r="O41" t="str">
        <f>IF($I41&lt;&gt;"Complete",IF(COUNTIFS($A$4:$A40,$A41,$B$4:$B40,$B41,$I$4:$I40,"&lt;&gt;Complete")=0,$A41&amp;"|"&amp;$B41,""),"")</f>
        <v>Master Plan|Master Plan</v>
      </c>
      <c r="P41" t="str">
        <f ca="1">IF($K41="Yes",COUNTIFS($K$4:$K41,"Yes"),"")</f>
        <v/>
      </c>
      <c r="Q41">
        <f t="shared" ca="1" si="3"/>
        <v>0</v>
      </c>
      <c r="R41" t="str">
        <f ca="1">IF($Q41=1,SUM($Q$4:$Q41),"")</f>
        <v/>
      </c>
    </row>
    <row r="42" spans="1:18" ht="22.5" customHeight="1" x14ac:dyDescent="0.3">
      <c r="A42" s="2" t="s">
        <v>122</v>
      </c>
      <c r="B42" s="2" t="s">
        <v>122</v>
      </c>
      <c r="C42" s="3" t="s">
        <v>122</v>
      </c>
      <c r="D42" s="3" t="s">
        <v>15</v>
      </c>
      <c r="E42" s="2"/>
      <c r="F42" s="2" t="s">
        <v>30</v>
      </c>
      <c r="G42" s="5">
        <v>45993</v>
      </c>
      <c r="H42" s="5">
        <v>46001</v>
      </c>
      <c r="I42" s="2" t="s">
        <v>31</v>
      </c>
      <c r="J42" s="6">
        <f t="shared" si="1"/>
        <v>8</v>
      </c>
      <c r="K42" s="4" t="str">
        <f t="shared" ca="1" si="2"/>
        <v>-</v>
      </c>
      <c r="L42" s="7" t="str">
        <f>IF(I42="Completed","0",IF($H42="","",$H42-'[2]Read Me'!$B$4))</f>
        <v>0</v>
      </c>
      <c r="M42" s="4" t="str">
        <f>IF($I42="Complete","Green",IF($H42="","Amber",IF($H42&lt;'[2]Read Me'!$B$4,"Red",IF($H42-'[2]Read Me'!$B$4&lt;=21,"Amber","Green"))))</f>
        <v>Red</v>
      </c>
      <c r="N42" s="3"/>
      <c r="O42" t="str">
        <f>IF($I42&lt;&gt;"Complete",IF(COUNTIFS($A$4:$A41,$A42,$B$4:$B41,$B42,$I$4:$I41,"&lt;&gt;Complete")=0,$A42&amp;"|"&amp;$B42,""),"")</f>
        <v/>
      </c>
      <c r="P42" t="str">
        <f ca="1">IF($K42="Yes",COUNTIFS($K$4:$K42,"Yes"),"")</f>
        <v/>
      </c>
      <c r="Q42">
        <f t="shared" ca="1" si="3"/>
        <v>0</v>
      </c>
      <c r="R42" t="str">
        <f ca="1">IF($Q42=1,SUM($Q$4:$Q42),"")</f>
        <v/>
      </c>
    </row>
    <row r="43" spans="1:18" ht="22.5" customHeight="1" x14ac:dyDescent="0.3">
      <c r="A43" s="2" t="s">
        <v>122</v>
      </c>
      <c r="B43" s="2" t="s">
        <v>122</v>
      </c>
      <c r="C43" s="3" t="s">
        <v>122</v>
      </c>
      <c r="D43" s="3" t="s">
        <v>35</v>
      </c>
      <c r="E43" s="2"/>
      <c r="F43" s="2"/>
      <c r="G43" s="5">
        <v>46008</v>
      </c>
      <c r="H43" s="5">
        <v>46007</v>
      </c>
      <c r="I43" s="2" t="s">
        <v>31</v>
      </c>
      <c r="J43" s="6">
        <f t="shared" si="1"/>
        <v>-1</v>
      </c>
      <c r="K43" s="4" t="str">
        <f t="shared" ca="1" si="2"/>
        <v>-</v>
      </c>
      <c r="L43" s="7" t="str">
        <f>IF(I43="Completed","0",IF($H43="","",$H43-'[2]Read Me'!$B$4))</f>
        <v>0</v>
      </c>
      <c r="M43" s="4" t="str">
        <f>IF($I43="Complete","Green",IF($H43="","Amber",IF($H43&lt;'[2]Read Me'!$B$4,"Red",IF($H43-'[2]Read Me'!$B$4&lt;=21,"Amber","Green"))))</f>
        <v>Red</v>
      </c>
      <c r="N43" s="3"/>
      <c r="O43" t="str">
        <f>IF($I43&lt;&gt;"Complete",IF(COUNTIFS($A$4:$A42,$A43,$B$4:$B42,$B43,$I$4:$I42,"&lt;&gt;Complete")=0,$A43&amp;"|"&amp;$B43,""),"")</f>
        <v/>
      </c>
      <c r="P43" t="str">
        <f ca="1">IF($K43="Yes",COUNTIFS($K$4:$K43,"Yes"),"")</f>
        <v/>
      </c>
      <c r="Q43">
        <f t="shared" ca="1" si="3"/>
        <v>0</v>
      </c>
      <c r="R43" t="str">
        <f ca="1">IF($Q43=1,SUM($Q$4:$Q43),"")</f>
        <v/>
      </c>
    </row>
    <row r="44" spans="1:18" ht="14.25" customHeight="1" x14ac:dyDescent="0.3">
      <c r="A44" s="2" t="s">
        <v>122</v>
      </c>
      <c r="B44" s="2" t="s">
        <v>122</v>
      </c>
      <c r="C44" s="3" t="s">
        <v>122</v>
      </c>
      <c r="D44" s="3" t="s">
        <v>16</v>
      </c>
      <c r="E44" s="2"/>
      <c r="F44" s="2" t="s">
        <v>30</v>
      </c>
      <c r="G44" s="5">
        <v>46023</v>
      </c>
      <c r="H44" s="5">
        <v>46061</v>
      </c>
      <c r="I44" s="4" t="s">
        <v>31</v>
      </c>
      <c r="J44" s="6">
        <f t="shared" si="1"/>
        <v>38</v>
      </c>
      <c r="K44" s="4" t="str">
        <f t="shared" ca="1" si="2"/>
        <v>-</v>
      </c>
      <c r="L44" s="7" t="str">
        <f>IF(I44="Completed","0",IF($H44="","",$H44-'[2]Read Me'!$B$4))</f>
        <v>0</v>
      </c>
      <c r="M44" s="4" t="str">
        <f>IF($I44="Complete","Green",IF($H44="","Amber",IF($H44&lt;'[2]Read Me'!$B$4,"Red",IF($H44-'[2]Read Me'!$B$4&lt;=21,"Amber","Green"))))</f>
        <v>Red</v>
      </c>
      <c r="N44" s="3"/>
      <c r="O44" t="str">
        <f>IF($I44&lt;&gt;"Complete",IF(COUNTIFS($A$4:$A43,$A44,$B$4:$B43,$B44,$I$4:$I43,"&lt;&gt;Complete")=0,$A44&amp;"|"&amp;$B44,""),"")</f>
        <v/>
      </c>
      <c r="P44" t="str">
        <f ca="1">IF($K44="Yes",COUNTIFS($K$4:$K44,"Yes"),"")</f>
        <v/>
      </c>
      <c r="Q44">
        <f t="shared" ca="1" si="3"/>
        <v>0</v>
      </c>
      <c r="R44" t="str">
        <f ca="1">IF($Q44=1,SUM($Q$4:$Q44),"")</f>
        <v/>
      </c>
    </row>
    <row r="45" spans="1:18" ht="14.25" customHeight="1" x14ac:dyDescent="0.3">
      <c r="A45" s="2" t="s">
        <v>122</v>
      </c>
      <c r="B45" s="2" t="s">
        <v>122</v>
      </c>
      <c r="C45" s="3" t="s">
        <v>122</v>
      </c>
      <c r="D45" s="3" t="s">
        <v>37</v>
      </c>
      <c r="E45" s="2"/>
      <c r="F45" s="2"/>
      <c r="G45" s="5">
        <v>46033</v>
      </c>
      <c r="H45" s="5">
        <v>46065</v>
      </c>
      <c r="I45" s="4" t="s">
        <v>31</v>
      </c>
      <c r="J45" s="6">
        <f t="shared" si="1"/>
        <v>32</v>
      </c>
      <c r="K45" s="4" t="str">
        <f t="shared" ca="1" si="2"/>
        <v>-</v>
      </c>
      <c r="L45" s="7" t="str">
        <f>IF(I45="Completed","0",IF($H45="","",$H45-'[2]Read Me'!$B$4))</f>
        <v>0</v>
      </c>
      <c r="M45" s="4" t="str">
        <f>IF($I45="Complete","Green",IF($H45="","Amber",IF($H45&lt;'[2]Read Me'!$B$4,"Red",IF($H45-'[2]Read Me'!$B$4&lt;=21,"Amber","Green"))))</f>
        <v>Red</v>
      </c>
      <c r="N45" s="3"/>
      <c r="O45" t="str">
        <f>IF($I45&lt;&gt;"Complete",IF(COUNTIFS($A$4:$A44,$A45,$B$4:$B44,$B45,$I$4:$I44,"&lt;&gt;Complete")=0,$A45&amp;"|"&amp;$B45,""),"")</f>
        <v/>
      </c>
      <c r="P45" t="str">
        <f ca="1">IF($K45="Yes",COUNTIFS($K$4:$K45,"Yes"),"")</f>
        <v/>
      </c>
      <c r="Q45">
        <f t="shared" ca="1" si="3"/>
        <v>0</v>
      </c>
      <c r="R45" t="str">
        <f ca="1">IF($Q45=1,SUM($Q$4:$Q45),"")</f>
        <v/>
      </c>
    </row>
    <row r="46" spans="1:18" ht="22.5" customHeight="1" x14ac:dyDescent="0.3">
      <c r="A46" s="2" t="s">
        <v>659</v>
      </c>
      <c r="B46" s="2" t="s">
        <v>21</v>
      </c>
      <c r="C46" s="3"/>
      <c r="D46" s="3"/>
      <c r="E46" s="2"/>
      <c r="F46" s="2"/>
      <c r="G46" s="5">
        <v>46033</v>
      </c>
      <c r="H46" s="5">
        <v>46208</v>
      </c>
      <c r="I46" s="4"/>
      <c r="J46" s="6">
        <f t="shared" si="1"/>
        <v>175</v>
      </c>
      <c r="K46" s="4" t="str">
        <f t="shared" ca="1" si="2"/>
        <v/>
      </c>
      <c r="L46" s="7">
        <f>IF(I46="Completed","0",IF($H46="","",$H46-'[2]Read Me'!$B$4))</f>
        <v>21</v>
      </c>
      <c r="M46" s="4" t="str">
        <f>IF($I46="Complete","Green",IF($H46="","Amber",IF($H46&lt;'[2]Read Me'!$B$4,"Red",IF($H46-'[2]Read Me'!$B$4&lt;=21,"Amber","Green"))))</f>
        <v>Amber</v>
      </c>
      <c r="N46" s="3"/>
      <c r="O46" t="str">
        <f>IF($I46&lt;&gt;"Complete",IF(COUNTIFS($A$4:$A45,$A46,$B$4:$B45,$B46,$I$4:$I45,"&lt;&gt;Complete")=0,$A46&amp;"|"&amp;$B46,""),"")</f>
        <v>Landscape  DD, IFT &amp; IFC|Landscape</v>
      </c>
      <c r="P46" t="str">
        <f ca="1">IF($K46="Yes",COUNTIFS($K$4:$K46,"Yes"),"")</f>
        <v/>
      </c>
      <c r="Q46">
        <f t="shared" ca="1" si="3"/>
        <v>0</v>
      </c>
      <c r="R46" t="str">
        <f ca="1">IF($Q46=1,SUM($Q$4:$Q46),"")</f>
        <v/>
      </c>
    </row>
    <row r="47" spans="1:18" ht="14.25" customHeight="1" x14ac:dyDescent="0.3">
      <c r="A47" s="2" t="s">
        <v>659</v>
      </c>
      <c r="B47" s="2" t="s">
        <v>21</v>
      </c>
      <c r="C47" s="3" t="s">
        <v>659</v>
      </c>
      <c r="D47" s="3" t="s">
        <v>15</v>
      </c>
      <c r="E47" s="2"/>
      <c r="F47" s="2" t="s">
        <v>30</v>
      </c>
      <c r="G47" s="5">
        <v>45993</v>
      </c>
      <c r="H47" s="5">
        <v>46072</v>
      </c>
      <c r="I47" s="4" t="s">
        <v>31</v>
      </c>
      <c r="J47" s="6">
        <f t="shared" si="1"/>
        <v>79</v>
      </c>
      <c r="K47" s="4" t="str">
        <f t="shared" ca="1" si="2"/>
        <v>-</v>
      </c>
      <c r="L47" s="7" t="str">
        <f>IF(I47="Completed","0",IF($H47="","",$H47-'[2]Read Me'!$B$4))</f>
        <v>0</v>
      </c>
      <c r="M47" s="4" t="str">
        <f>IF($I47="Complete","Green",IF($H47="","Amber",IF($H47&lt;'[2]Read Me'!$B$4,"Red",IF($H47-'[2]Read Me'!$B$4&lt;=21,"Amber","Green"))))</f>
        <v>Red</v>
      </c>
      <c r="N47" s="3"/>
      <c r="O47" t="str">
        <f>IF($I47&lt;&gt;"Complete",IF(COUNTIFS($A$4:$A46,$A47,$B$4:$B46,$B47,$I$4:$I46,"&lt;&gt;Complete")=0,$A47&amp;"|"&amp;$B47,""),"")</f>
        <v/>
      </c>
      <c r="P47" t="str">
        <f ca="1">IF($K47="Yes",COUNTIFS($K$4:$K47,"Yes"),"")</f>
        <v/>
      </c>
      <c r="Q47">
        <f t="shared" ca="1" si="3"/>
        <v>0</v>
      </c>
      <c r="R47" t="str">
        <f ca="1">IF($Q47=1,SUM($Q$4:$Q47),"")</f>
        <v/>
      </c>
    </row>
    <row r="48" spans="1:18" ht="14.25" customHeight="1" x14ac:dyDescent="0.3">
      <c r="A48" s="2" t="s">
        <v>659</v>
      </c>
      <c r="B48" s="2" t="s">
        <v>21</v>
      </c>
      <c r="C48" s="3" t="s">
        <v>659</v>
      </c>
      <c r="D48" s="3" t="s">
        <v>35</v>
      </c>
      <c r="E48" s="2"/>
      <c r="F48" s="2"/>
      <c r="G48" s="5">
        <v>46008</v>
      </c>
      <c r="H48" s="5">
        <v>46085</v>
      </c>
      <c r="I48" s="4" t="s">
        <v>31</v>
      </c>
      <c r="J48" s="6">
        <f t="shared" si="1"/>
        <v>77</v>
      </c>
      <c r="K48" s="4" t="str">
        <f t="shared" ca="1" si="2"/>
        <v>-</v>
      </c>
      <c r="L48" s="7" t="str">
        <f>IF(I48="Completed","0",IF($H48="","",$H48-'[2]Read Me'!$B$4))</f>
        <v>0</v>
      </c>
      <c r="M48" s="4" t="str">
        <f>IF($I48="Complete","Green",IF($H48="","Amber",IF($H48&lt;'[2]Read Me'!$B$4,"Red",IF($H48-'[2]Read Me'!$B$4&lt;=21,"Amber","Green"))))</f>
        <v>Red</v>
      </c>
      <c r="N48" s="3"/>
      <c r="O48" t="str">
        <f>IF($I48&lt;&gt;"Complete",IF(COUNTIFS($A$4:$A47,$A48,$B$4:$B47,$B48,$I$4:$I47,"&lt;&gt;Complete")=0,$A48&amp;"|"&amp;$B48,""),"")</f>
        <v/>
      </c>
      <c r="P48" t="str">
        <f ca="1">IF($K48="Yes",COUNTIFS($K$4:$K48,"Yes"),"")</f>
        <v/>
      </c>
      <c r="Q48">
        <f t="shared" ca="1" si="3"/>
        <v>0</v>
      </c>
      <c r="R48" t="str">
        <f ca="1">IF($Q48=1,SUM($Q$4:$Q48),"")</f>
        <v/>
      </c>
    </row>
    <row r="49" spans="1:18" ht="14.25" customHeight="1" x14ac:dyDescent="0.3">
      <c r="A49" s="2" t="s">
        <v>659</v>
      </c>
      <c r="B49" s="2" t="s">
        <v>21</v>
      </c>
      <c r="C49" s="3" t="s">
        <v>659</v>
      </c>
      <c r="D49" s="3" t="s">
        <v>20</v>
      </c>
      <c r="E49" s="2" t="s">
        <v>33</v>
      </c>
      <c r="F49" s="2" t="s">
        <v>81</v>
      </c>
      <c r="G49" s="5">
        <v>46008</v>
      </c>
      <c r="H49" s="5">
        <v>46167</v>
      </c>
      <c r="I49" s="4" t="s">
        <v>31</v>
      </c>
      <c r="J49" s="6">
        <f t="shared" si="1"/>
        <v>159</v>
      </c>
      <c r="K49" s="4" t="str">
        <f t="shared" ca="1" si="2"/>
        <v>-</v>
      </c>
      <c r="L49" s="7" t="str">
        <f>IF(I49="Completed","0",IF($H49="","",$H49-'[2]Read Me'!$B$4))</f>
        <v>0</v>
      </c>
      <c r="M49" s="4" t="str">
        <f>IF($I49="Complete","Green",IF($H49="","Amber",IF($H49&lt;'[2]Read Me'!$B$4,"Red",IF($H49-'[2]Read Me'!$B$4&lt;=21,"Amber","Green"))))</f>
        <v>Red</v>
      </c>
      <c r="N49" s="3"/>
      <c r="O49" t="str">
        <f>IF($I49&lt;&gt;"Complete",IF(COUNTIFS($A$4:$A48,$A49,$B$4:$B48,$B49,$I$4:$I48,"&lt;&gt;Complete")=0,$A49&amp;"|"&amp;$B49,""),"")</f>
        <v/>
      </c>
      <c r="P49" t="str">
        <f ca="1">IF($K49="Yes",COUNTIFS($K$4:$K49,"Yes"),"")</f>
        <v/>
      </c>
      <c r="Q49">
        <f t="shared" ca="1" si="3"/>
        <v>0</v>
      </c>
      <c r="R49" t="str">
        <f ca="1">IF($Q49=1,SUM($Q$4:$Q49),"")</f>
        <v/>
      </c>
    </row>
    <row r="50" spans="1:18" ht="14.25" customHeight="1" x14ac:dyDescent="0.3">
      <c r="A50" s="2" t="s">
        <v>659</v>
      </c>
      <c r="B50" s="2" t="s">
        <v>21</v>
      </c>
      <c r="C50" s="3" t="s">
        <v>659</v>
      </c>
      <c r="D50" s="3" t="s">
        <v>16</v>
      </c>
      <c r="E50" s="2"/>
      <c r="F50" s="2" t="s">
        <v>30</v>
      </c>
      <c r="G50" s="5">
        <v>46023</v>
      </c>
      <c r="H50" s="5">
        <v>46195</v>
      </c>
      <c r="I50" s="4" t="s">
        <v>31</v>
      </c>
      <c r="J50" s="6">
        <f t="shared" si="1"/>
        <v>172</v>
      </c>
      <c r="K50" s="4" t="str">
        <f t="shared" ca="1" si="2"/>
        <v>-</v>
      </c>
      <c r="L50" s="7" t="str">
        <f>IF(I50="Completed","0",IF($H50="","",$H50-'[2]Read Me'!$B$4))</f>
        <v>0</v>
      </c>
      <c r="M50" s="4" t="str">
        <f>IF($I50="Complete","Green",IF($H50="","Amber",IF($H50&lt;'[2]Read Me'!$B$4,"Red",IF($H50-'[2]Read Me'!$B$4&lt;=21,"Amber","Green"))))</f>
        <v>Amber</v>
      </c>
      <c r="N50" s="3"/>
      <c r="O50" t="str">
        <f>IF($I50&lt;&gt;"Complete",IF(COUNTIFS($A$4:$A49,$A50,$B$4:$B49,$B50,$I$4:$I49,"&lt;&gt;Complete")=0,$A50&amp;"|"&amp;$B50,""),"")</f>
        <v/>
      </c>
      <c r="P50" t="str">
        <f ca="1">IF($K50="Yes",COUNTIFS($K$4:$K50,"Yes"),"")</f>
        <v/>
      </c>
      <c r="Q50">
        <f t="shared" ca="1" si="3"/>
        <v>0</v>
      </c>
      <c r="R50" t="str">
        <f ca="1">IF($Q50=1,SUM($Q$4:$Q50),"")</f>
        <v/>
      </c>
    </row>
    <row r="51" spans="1:18" ht="22.5" customHeight="1" x14ac:dyDescent="0.3">
      <c r="A51" s="2" t="s">
        <v>659</v>
      </c>
      <c r="B51" s="2" t="s">
        <v>21</v>
      </c>
      <c r="C51" s="3" t="s">
        <v>659</v>
      </c>
      <c r="D51" s="3" t="s">
        <v>37</v>
      </c>
      <c r="E51" s="2" t="s">
        <v>130</v>
      </c>
      <c r="F51" s="2"/>
      <c r="G51" s="5">
        <v>46033</v>
      </c>
      <c r="H51" s="5">
        <v>46208</v>
      </c>
      <c r="I51" s="4" t="s">
        <v>46</v>
      </c>
      <c r="J51" s="6">
        <f t="shared" si="1"/>
        <v>175</v>
      </c>
      <c r="K51" s="4" t="str">
        <f t="shared" ca="1" si="2"/>
        <v>No</v>
      </c>
      <c r="L51" s="7">
        <f>IF(I51="Completed","0",IF($H51="","",$H51-'[2]Read Me'!$B$4))</f>
        <v>21</v>
      </c>
      <c r="M51" s="4" t="str">
        <f>IF($I51="Complete","Green",IF($H51="","Amber",IF($H51&lt;'[2]Read Me'!$B$4,"Red",IF($H51-'[2]Read Me'!$B$4&lt;=21,"Amber","Green"))))</f>
        <v>Amber</v>
      </c>
      <c r="N51" s="3"/>
      <c r="O51" t="str">
        <f>IF($I51&lt;&gt;"Complete",IF(COUNTIFS($A$4:$A50,$A51,$B$4:$B50,$B51,$I$4:$I50,"&lt;&gt;Complete")=0,$A51&amp;"|"&amp;$B51,""),"")</f>
        <v/>
      </c>
      <c r="P51" t="str">
        <f ca="1">IF($K51="Yes",COUNTIFS($K$4:$K51,"Yes"),"")</f>
        <v/>
      </c>
      <c r="Q51">
        <f t="shared" ca="1" si="3"/>
        <v>0</v>
      </c>
      <c r="R51" t="str">
        <f ca="1">IF($Q51=1,SUM($Q$4:$Q51),"")</f>
        <v/>
      </c>
    </row>
    <row r="52" spans="1:18" ht="33.75" customHeight="1" x14ac:dyDescent="0.3">
      <c r="A52" s="2" t="s">
        <v>659</v>
      </c>
      <c r="B52" s="2" t="s">
        <v>21</v>
      </c>
      <c r="C52" s="3" t="s">
        <v>659</v>
      </c>
      <c r="D52" s="3" t="s">
        <v>143</v>
      </c>
      <c r="E52" s="2"/>
      <c r="F52" s="2" t="s">
        <v>30</v>
      </c>
      <c r="G52" s="5">
        <v>46047</v>
      </c>
      <c r="H52" s="5">
        <v>46222</v>
      </c>
      <c r="I52" s="4" t="s">
        <v>17</v>
      </c>
      <c r="J52" s="6">
        <f t="shared" si="1"/>
        <v>175</v>
      </c>
      <c r="K52" s="4" t="str">
        <f t="shared" ca="1" si="2"/>
        <v>No</v>
      </c>
      <c r="L52" s="7">
        <f>IF(I52="Completed","0",IF($H52="","",$H52-'[2]Read Me'!$B$4))</f>
        <v>35</v>
      </c>
      <c r="M52" s="4" t="str">
        <f>IF($I52="Complete","Green",IF($H52="","Amber",IF($H52&lt;'[2]Read Me'!$B$4,"Red",IF($H52-'[2]Read Me'!$B$4&lt;=21,"Amber","Green"))))</f>
        <v>Green</v>
      </c>
      <c r="N52" s="3"/>
      <c r="O52" t="str">
        <f>IF($I52&lt;&gt;"Complete",IF(COUNTIFS($A$4:$A51,$A52,$B$4:$B51,$B52,$I$4:$I51,"&lt;&gt;Complete")=0,$A52&amp;"|"&amp;$B52,""),"")</f>
        <v/>
      </c>
      <c r="P52" t="str">
        <f ca="1">IF($K52="Yes",COUNTIFS($K$4:$K52,"Yes"),"")</f>
        <v/>
      </c>
      <c r="Q52">
        <f t="shared" ca="1" si="3"/>
        <v>0</v>
      </c>
      <c r="R52" t="str">
        <f ca="1">IF($Q52=1,SUM($Q$4:$Q52),"")</f>
        <v/>
      </c>
    </row>
    <row r="53" spans="1:18" ht="14.25" customHeight="1" x14ac:dyDescent="0.3">
      <c r="A53" s="2" t="s">
        <v>659</v>
      </c>
      <c r="B53" s="2" t="s">
        <v>21</v>
      </c>
      <c r="C53" s="3" t="s">
        <v>659</v>
      </c>
      <c r="D53" s="3" t="s">
        <v>144</v>
      </c>
      <c r="E53" s="2"/>
      <c r="F53" s="2"/>
      <c r="G53" s="5">
        <v>46117</v>
      </c>
      <c r="H53" s="5">
        <v>46292</v>
      </c>
      <c r="I53" s="4" t="s">
        <v>17</v>
      </c>
      <c r="J53" s="6">
        <f t="shared" si="1"/>
        <v>175</v>
      </c>
      <c r="K53" s="4" t="str">
        <f t="shared" ca="1" si="2"/>
        <v>No</v>
      </c>
      <c r="L53" s="7">
        <f>IF(I53="Completed","0",IF($H53="","",$H53-'[2]Read Me'!$B$4))</f>
        <v>105</v>
      </c>
      <c r="M53" s="4" t="str">
        <f>IF($I53="Complete","Green",IF($H53="","Amber",IF($H53&lt;'[2]Read Me'!$B$4,"Red",IF($H53-'[2]Read Me'!$B$4&lt;=21,"Amber","Green"))))</f>
        <v>Green</v>
      </c>
      <c r="N53" s="3"/>
      <c r="O53" t="str">
        <f>IF($I53&lt;&gt;"Complete",IF(COUNTIFS($A$4:$A52,$A53,$B$4:$B52,$B53,$I$4:$I52,"&lt;&gt;Complete")=0,$A53&amp;"|"&amp;$B53,""),"")</f>
        <v/>
      </c>
      <c r="P53" t="str">
        <f ca="1">IF($K53="Yes",COUNTIFS($K$4:$K53,"Yes"),"")</f>
        <v/>
      </c>
      <c r="Q53">
        <f t="shared" ca="1" si="3"/>
        <v>0</v>
      </c>
      <c r="R53" t="str">
        <f ca="1">IF($Q53=1,SUM($Q$4:$Q53),"")</f>
        <v/>
      </c>
    </row>
    <row r="54" spans="1:18" ht="14.25" customHeight="1" x14ac:dyDescent="0.3">
      <c r="A54" s="2" t="s">
        <v>171</v>
      </c>
      <c r="B54" s="2" t="s">
        <v>171</v>
      </c>
      <c r="C54" s="3"/>
      <c r="D54" s="3"/>
      <c r="E54" s="2"/>
      <c r="F54" s="2"/>
      <c r="G54" s="5">
        <v>46033</v>
      </c>
      <c r="H54" s="5">
        <v>46117</v>
      </c>
      <c r="I54" s="4"/>
      <c r="J54" s="6">
        <f t="shared" si="1"/>
        <v>84</v>
      </c>
      <c r="K54" s="4" t="str">
        <f t="shared" ca="1" si="2"/>
        <v/>
      </c>
      <c r="L54" s="7">
        <f>IF(I54="Completed","0",IF($H54="","",$H54-'[2]Read Me'!$B$4))</f>
        <v>-70</v>
      </c>
      <c r="M54" s="4" t="str">
        <f>IF($I54="Complete","Green",IF($H54="","Amber",IF($H54&lt;'[2]Read Me'!$B$4,"Red",IF($H54-'[2]Read Me'!$B$4&lt;=21,"Amber","Green"))))</f>
        <v>Red</v>
      </c>
      <c r="N54" s="3"/>
      <c r="O54" t="str">
        <f>IF($I54&lt;&gt;"Complete",IF(COUNTIFS($A$4:$A53,$A54,$B$4:$B53,$B54,$I$4:$I53,"&lt;&gt;Complete")=0,$A54&amp;"|"&amp;$B54,""),"")</f>
        <v>Infrastructure|Infrastructure</v>
      </c>
      <c r="P54" t="str">
        <f ca="1">IF($K54="Yes",COUNTIFS($K$4:$K54,"Yes"),"")</f>
        <v/>
      </c>
      <c r="Q54">
        <f t="shared" ca="1" si="3"/>
        <v>0</v>
      </c>
      <c r="R54" t="str">
        <f ca="1">IF($Q54=1,SUM($Q$4:$Q54),"")</f>
        <v/>
      </c>
    </row>
    <row r="55" spans="1:18" ht="14.25" customHeight="1" x14ac:dyDescent="0.3">
      <c r="A55" s="2" t="s">
        <v>171</v>
      </c>
      <c r="B55" s="2" t="s">
        <v>171</v>
      </c>
      <c r="C55" s="3" t="s">
        <v>171</v>
      </c>
      <c r="D55" s="3" t="s">
        <v>15</v>
      </c>
      <c r="E55" s="2"/>
      <c r="F55" s="2" t="s">
        <v>30</v>
      </c>
      <c r="G55" s="5">
        <v>45993</v>
      </c>
      <c r="H55" s="5">
        <v>45995</v>
      </c>
      <c r="I55" s="4" t="s">
        <v>31</v>
      </c>
      <c r="J55" s="6">
        <f t="shared" si="1"/>
        <v>2</v>
      </c>
      <c r="K55" s="4" t="str">
        <f t="shared" ca="1" si="2"/>
        <v>-</v>
      </c>
      <c r="L55" s="7" t="str">
        <f>IF(I55="Completed","0",IF($H55="","",$H55-'[2]Read Me'!$B$4))</f>
        <v>0</v>
      </c>
      <c r="M55" s="4" t="str">
        <f>IF($I55="Complete","Green",IF($H55="","Amber",IF($H55&lt;'[2]Read Me'!$B$4,"Red",IF($H55-'[2]Read Me'!$B$4&lt;=21,"Amber","Green"))))</f>
        <v>Red</v>
      </c>
      <c r="N55" s="3"/>
      <c r="O55" t="str">
        <f>IF($I55&lt;&gt;"Complete",IF(COUNTIFS($A$4:$A54,$A55,$B$4:$B54,$B55,$I$4:$I54,"&lt;&gt;Complete")=0,$A55&amp;"|"&amp;$B55,""),"")</f>
        <v/>
      </c>
      <c r="P55" t="str">
        <f ca="1">IF($K55="Yes",COUNTIFS($K$4:$K55,"Yes"),"")</f>
        <v/>
      </c>
      <c r="Q55">
        <f t="shared" ca="1" si="3"/>
        <v>0</v>
      </c>
      <c r="R55" t="str">
        <f ca="1">IF($Q55=1,SUM($Q$4:$Q55),"")</f>
        <v/>
      </c>
    </row>
    <row r="56" spans="1:18" ht="14.25" customHeight="1" x14ac:dyDescent="0.3">
      <c r="A56" s="2" t="s">
        <v>171</v>
      </c>
      <c r="B56" s="2" t="s">
        <v>171</v>
      </c>
      <c r="C56" s="3" t="s">
        <v>171</v>
      </c>
      <c r="D56" s="3" t="s">
        <v>35</v>
      </c>
      <c r="E56" s="2"/>
      <c r="F56" s="2"/>
      <c r="G56" s="5">
        <v>46008</v>
      </c>
      <c r="H56" s="5">
        <v>46010</v>
      </c>
      <c r="I56" s="4" t="s">
        <v>31</v>
      </c>
      <c r="J56" s="6">
        <f t="shared" si="1"/>
        <v>2</v>
      </c>
      <c r="K56" s="4" t="str">
        <f t="shared" ca="1" si="2"/>
        <v>-</v>
      </c>
      <c r="L56" s="7" t="str">
        <f>IF(I56="Completed","0",IF($H56="","",$H56-'[2]Read Me'!$B$4))</f>
        <v>0</v>
      </c>
      <c r="M56" s="4" t="str">
        <f>IF($I56="Complete","Green",IF($H56="","Amber",IF($H56&lt;'[2]Read Me'!$B$4,"Red",IF($H56-'[2]Read Me'!$B$4&lt;=21,"Amber","Green"))))</f>
        <v>Red</v>
      </c>
      <c r="N56" s="3"/>
      <c r="O56" t="str">
        <f>IF($I56&lt;&gt;"Complete",IF(COUNTIFS($A$4:$A55,$A56,$B$4:$B55,$B56,$I$4:$I55,"&lt;&gt;Complete")=0,$A56&amp;"|"&amp;$B56,""),"")</f>
        <v/>
      </c>
      <c r="P56" t="str">
        <f ca="1">IF($K56="Yes",COUNTIFS($K$4:$K56,"Yes"),"")</f>
        <v/>
      </c>
      <c r="Q56">
        <f t="shared" ca="1" si="3"/>
        <v>0</v>
      </c>
      <c r="R56" t="str">
        <f ca="1">IF($Q56=1,SUM($Q$4:$Q56),"")</f>
        <v/>
      </c>
    </row>
    <row r="57" spans="1:18" ht="14.25" customHeight="1" x14ac:dyDescent="0.3">
      <c r="A57" s="2" t="s">
        <v>171</v>
      </c>
      <c r="B57" s="2" t="s">
        <v>171</v>
      </c>
      <c r="C57" s="3" t="s">
        <v>171</v>
      </c>
      <c r="D57" s="3" t="s">
        <v>16</v>
      </c>
      <c r="E57" s="2"/>
      <c r="F57" s="2" t="s">
        <v>30</v>
      </c>
      <c r="G57" s="5">
        <v>46023</v>
      </c>
      <c r="H57" s="5">
        <v>46061</v>
      </c>
      <c r="I57" s="4" t="s">
        <v>31</v>
      </c>
      <c r="J57" s="6">
        <f t="shared" si="1"/>
        <v>38</v>
      </c>
      <c r="K57" s="4" t="str">
        <f t="shared" ca="1" si="2"/>
        <v>-</v>
      </c>
      <c r="L57" s="7" t="str">
        <f>IF(I57="Completed","0",IF($H57="","",$H57-'[2]Read Me'!$B$4))</f>
        <v>0</v>
      </c>
      <c r="M57" s="4" t="str">
        <f>IF($I57="Complete","Green",IF($H57="","Amber",IF($H57&lt;'[2]Read Me'!$B$4,"Red",IF($H57-'[2]Read Me'!$B$4&lt;=21,"Amber","Green"))))</f>
        <v>Red</v>
      </c>
      <c r="N57" s="3"/>
      <c r="O57" t="str">
        <f>IF($I57&lt;&gt;"Complete",IF(COUNTIFS($A$4:$A56,$A57,$B$4:$B56,$B57,$I$4:$I56,"&lt;&gt;Complete")=0,$A57&amp;"|"&amp;$B57,""),"")</f>
        <v/>
      </c>
      <c r="P57" t="str">
        <f ca="1">IF($K57="Yes",COUNTIFS($K$4:$K57,"Yes"),"")</f>
        <v/>
      </c>
      <c r="Q57">
        <f t="shared" ca="1" si="3"/>
        <v>0</v>
      </c>
      <c r="R57" t="str">
        <f ca="1">IF($Q57=1,SUM($Q$4:$Q57),"")</f>
        <v/>
      </c>
    </row>
    <row r="58" spans="1:18" ht="14.25" customHeight="1" x14ac:dyDescent="0.3">
      <c r="A58" s="2" t="s">
        <v>171</v>
      </c>
      <c r="B58" s="2" t="s">
        <v>171</v>
      </c>
      <c r="C58" s="3" t="s">
        <v>171</v>
      </c>
      <c r="D58" s="3" t="s">
        <v>37</v>
      </c>
      <c r="E58" s="2"/>
      <c r="F58" s="2"/>
      <c r="G58" s="5">
        <v>46033</v>
      </c>
      <c r="H58" s="5">
        <v>46065</v>
      </c>
      <c r="I58" s="4" t="s">
        <v>31</v>
      </c>
      <c r="J58" s="6">
        <f t="shared" si="1"/>
        <v>32</v>
      </c>
      <c r="K58" s="4" t="str">
        <f t="shared" ca="1" si="2"/>
        <v>-</v>
      </c>
      <c r="L58" s="7" t="str">
        <f>IF(I58="Completed","0",IF($H58="","",$H58-'[2]Read Me'!$B$4))</f>
        <v>0</v>
      </c>
      <c r="M58" s="4" t="str">
        <f>IF($I58="Complete","Green",IF($H58="","Amber",IF($H58&lt;'[2]Read Me'!$B$4,"Red",IF($H58-'[2]Read Me'!$B$4&lt;=21,"Amber","Green"))))</f>
        <v>Red</v>
      </c>
      <c r="N58" s="3"/>
      <c r="O58" t="str">
        <f>IF($I58&lt;&gt;"Complete",IF(COUNTIFS($A$4:$A57,$A58,$B$4:$B57,$B58,$I$4:$I57,"&lt;&gt;Complete")=0,$A58&amp;"|"&amp;$B58,""),"")</f>
        <v/>
      </c>
      <c r="P58" t="str">
        <f ca="1">IF($K58="Yes",COUNTIFS($K$4:$K58,"Yes"),"")</f>
        <v/>
      </c>
      <c r="Q58">
        <f t="shared" ca="1" si="3"/>
        <v>0</v>
      </c>
      <c r="R58" t="str">
        <f ca="1">IF($Q58=1,SUM($Q$4:$Q58),"")</f>
        <v/>
      </c>
    </row>
    <row r="59" spans="1:18" ht="14.25" customHeight="1" x14ac:dyDescent="0.3">
      <c r="A59" s="2" t="s">
        <v>171</v>
      </c>
      <c r="B59" s="2" t="s">
        <v>171</v>
      </c>
      <c r="C59" s="3" t="s">
        <v>171</v>
      </c>
      <c r="D59" s="3" t="s">
        <v>660</v>
      </c>
      <c r="E59" s="2"/>
      <c r="F59" s="2"/>
      <c r="G59" s="5"/>
      <c r="H59" s="5">
        <v>46111</v>
      </c>
      <c r="I59" s="4" t="s">
        <v>31</v>
      </c>
      <c r="J59" s="6" t="str">
        <f t="shared" si="1"/>
        <v/>
      </c>
      <c r="K59" s="4" t="str">
        <f t="shared" ca="1" si="2"/>
        <v>-</v>
      </c>
      <c r="L59" s="7" t="str">
        <f>IF(I59="Completed","0",IF($H59="","",$H59-'[2]Read Me'!$B$4))</f>
        <v>0</v>
      </c>
      <c r="M59" s="4" t="str">
        <f>IF($I59="Complete","Green",IF($H59="","Amber",IF($H59&lt;'[2]Read Me'!$B$4,"Red",IF($H59-'[2]Read Me'!$B$4&lt;=21,"Amber","Green"))))</f>
        <v>Red</v>
      </c>
      <c r="N59" s="3"/>
      <c r="O59" t="str">
        <f>IF($I59&lt;&gt;"Complete",IF(COUNTIFS($A$4:$A58,$A59,$B$4:$B58,$B59,$I$4:$I58,"&lt;&gt;Complete")=0,$A59&amp;"|"&amp;$B59,""),"")</f>
        <v/>
      </c>
      <c r="P59" t="str">
        <f ca="1">IF($K59="Yes",COUNTIFS($K$4:$K59,"Yes"),"")</f>
        <v/>
      </c>
      <c r="Q59">
        <f t="shared" ca="1" si="3"/>
        <v>0</v>
      </c>
      <c r="R59" t="str">
        <f ca="1">IF($Q59=1,SUM($Q$4:$Q59),"")</f>
        <v/>
      </c>
    </row>
    <row r="60" spans="1:18" ht="14.25" customHeight="1" x14ac:dyDescent="0.3">
      <c r="A60" s="2" t="s">
        <v>171</v>
      </c>
      <c r="B60" s="2" t="s">
        <v>171</v>
      </c>
      <c r="C60" s="3" t="s">
        <v>171</v>
      </c>
      <c r="D60" s="3" t="s">
        <v>37</v>
      </c>
      <c r="E60" s="2"/>
      <c r="F60" s="2"/>
      <c r="G60" s="5"/>
      <c r="H60" s="5">
        <v>46117</v>
      </c>
      <c r="I60" s="4" t="s">
        <v>31</v>
      </c>
      <c r="J60" s="6" t="str">
        <f t="shared" si="1"/>
        <v/>
      </c>
      <c r="K60" s="4" t="str">
        <f t="shared" ca="1" si="2"/>
        <v>-</v>
      </c>
      <c r="L60" s="7" t="str">
        <f>IF(I60="Completed","0",IF($H60="","",$H60-'[2]Read Me'!$B$4))</f>
        <v>0</v>
      </c>
      <c r="M60" s="4" t="str">
        <f>IF($I60="Complete","Green",IF($H60="","Amber",IF($H60&lt;'[2]Read Me'!$B$4,"Red",IF($H60-'[2]Read Me'!$B$4&lt;=21,"Amber","Green"))))</f>
        <v>Red</v>
      </c>
      <c r="N60" s="3"/>
      <c r="O60" t="str">
        <f>IF($I60&lt;&gt;"Complete",IF(COUNTIFS($A$4:$A59,$A60,$B$4:$B59,$B60,$I$4:$I59,"&lt;&gt;Complete")=0,$A60&amp;"|"&amp;$B60,""),"")</f>
        <v/>
      </c>
      <c r="P60" t="str">
        <f ca="1">IF($K60="Yes",COUNTIFS($K$4:$K60,"Yes"),"")</f>
        <v/>
      </c>
      <c r="Q60">
        <f t="shared" ca="1" si="3"/>
        <v>0</v>
      </c>
      <c r="R60" t="str">
        <f ca="1">IF($Q60=1,SUM($Q$4:$Q60),"")</f>
        <v/>
      </c>
    </row>
    <row r="61" spans="1:18" ht="14.25" customHeight="1" x14ac:dyDescent="0.3">
      <c r="A61" s="2"/>
      <c r="B61" s="2"/>
      <c r="C61" s="3"/>
      <c r="D61" s="3"/>
      <c r="E61" s="2"/>
      <c r="F61" s="2"/>
      <c r="G61" s="5"/>
      <c r="H61" s="5"/>
      <c r="I61" s="4"/>
      <c r="J61" s="6" t="str">
        <f t="shared" si="1"/>
        <v/>
      </c>
      <c r="K61" s="4" t="str">
        <f t="shared" ca="1" si="2"/>
        <v/>
      </c>
      <c r="L61" s="7" t="str">
        <f>IF(I61="Completed","0",IF($H61="","",$H61-'[2]Read Me'!$B$4))</f>
        <v/>
      </c>
      <c r="M61" s="4" t="str">
        <f>IF($I61="Complete","Green",IF($H61="","Amber",IF($H61&lt;'[2]Read Me'!$B$4,"Red",IF($H61-'[2]Read Me'!$B$4&lt;=21,"Amber","Green"))))</f>
        <v>Amber</v>
      </c>
      <c r="N61" s="3"/>
      <c r="O61" t="str">
        <f>IF($I61&lt;&gt;"Complete",IF(COUNTIFS($A$4:$A60,$A61,$B$4:$B60,$B61,$I$4:$I60,"&lt;&gt;Complete")=0,$A61&amp;"|"&amp;$B61,""),"")</f>
        <v>|</v>
      </c>
      <c r="P61" t="str">
        <f ca="1">IF($K61="Yes",COUNTIFS($K$4:$K61,"Yes"),"")</f>
        <v/>
      </c>
      <c r="Q61">
        <f t="shared" ca="1" si="3"/>
        <v>0</v>
      </c>
      <c r="R61" t="str">
        <f ca="1">IF($Q61=1,SUM($Q$4:$Q61),"")</f>
        <v/>
      </c>
    </row>
    <row r="62" spans="1:18" ht="14.25" customHeight="1" x14ac:dyDescent="0.3">
      <c r="A62" s="2"/>
      <c r="B62" s="2"/>
      <c r="C62" s="3"/>
      <c r="D62" s="3"/>
      <c r="E62" s="2"/>
      <c r="F62" s="2"/>
      <c r="G62" s="5"/>
      <c r="H62" s="5"/>
      <c r="I62" s="4"/>
      <c r="J62" s="6" t="str">
        <f t="shared" si="1"/>
        <v/>
      </c>
      <c r="K62" s="4" t="str">
        <f t="shared" ca="1" si="2"/>
        <v/>
      </c>
      <c r="L62" s="7" t="str">
        <f>IF(I62="Completed","0",IF($H62="","",$H62-'[2]Read Me'!$B$4))</f>
        <v/>
      </c>
      <c r="M62" s="4" t="str">
        <f>IF($I62="Complete","Green",IF($H62="","Amber",IF($H62&lt;'[2]Read Me'!$B$4,"Red",IF($H62-'[2]Read Me'!$B$4&lt;=21,"Amber","Green"))))</f>
        <v>Amber</v>
      </c>
      <c r="N62" s="3"/>
      <c r="O62" t="str">
        <f>IF($I62&lt;&gt;"Complete",IF(COUNTIFS($A$4:$A61,$A62,$B$4:$B61,$B62,$I$4:$I61,"&lt;&gt;Complete")=0,$A62&amp;"|"&amp;$B62,""),"")</f>
        <v>|</v>
      </c>
      <c r="P62" t="str">
        <f ca="1">IF($K62="Yes",COUNTIFS($K$4:$K62,"Yes"),"")</f>
        <v/>
      </c>
      <c r="Q62">
        <f t="shared" ca="1" si="3"/>
        <v>0</v>
      </c>
      <c r="R62" t="str">
        <f ca="1">IF($Q62=1,SUM($Q$4:$Q62),"")</f>
        <v/>
      </c>
    </row>
    <row r="63" spans="1:18" ht="22.5" customHeight="1" x14ac:dyDescent="0.3">
      <c r="A63" s="2"/>
      <c r="B63" s="2"/>
      <c r="C63" s="3"/>
      <c r="D63" s="3"/>
      <c r="E63" s="2"/>
      <c r="F63" s="2"/>
      <c r="G63" s="5"/>
      <c r="H63" s="5"/>
      <c r="I63" s="4"/>
      <c r="J63" s="6" t="str">
        <f t="shared" si="1"/>
        <v/>
      </c>
      <c r="K63" s="4" t="str">
        <f t="shared" ca="1" si="2"/>
        <v/>
      </c>
      <c r="L63" s="7" t="str">
        <f>IF(I63="Completed","0",IF($H63="","",$H63-'[2]Read Me'!$B$4))</f>
        <v/>
      </c>
      <c r="M63" s="4" t="str">
        <f>IF($I63="Complete","Green",IF($H63="","Amber",IF($H63&lt;'[2]Read Me'!$B$4,"Red",IF($H63-'[2]Read Me'!$B$4&lt;=21,"Amber","Green"))))</f>
        <v>Amber</v>
      </c>
      <c r="N63" s="3"/>
      <c r="O63" t="str">
        <f>IF($I63&lt;&gt;"Complete",IF(COUNTIFS($A$4:$A62,$A63,$B$4:$B62,$B63,$I$4:$I62,"&lt;&gt;Complete")=0,$A63&amp;"|"&amp;$B63,""),"")</f>
        <v>|</v>
      </c>
      <c r="P63" t="str">
        <f ca="1">IF($K63="Yes",COUNTIFS($K$4:$K63,"Yes"),"")</f>
        <v/>
      </c>
      <c r="Q63">
        <f t="shared" ca="1" si="3"/>
        <v>0</v>
      </c>
      <c r="R63" t="str">
        <f ca="1">IF($Q63=1,SUM($Q$4:$Q63),"")</f>
        <v/>
      </c>
    </row>
    <row r="64" spans="1:18" ht="22.5" customHeight="1" x14ac:dyDescent="0.3">
      <c r="A64" s="2"/>
      <c r="B64" s="2"/>
      <c r="C64" s="3"/>
      <c r="D64" s="3"/>
      <c r="E64" s="2"/>
      <c r="F64" s="2"/>
      <c r="G64" s="5"/>
      <c r="H64" s="5"/>
      <c r="I64" s="4"/>
      <c r="J64" s="6" t="str">
        <f t="shared" si="1"/>
        <v/>
      </c>
      <c r="K64" s="4" t="str">
        <f t="shared" ca="1" si="2"/>
        <v/>
      </c>
      <c r="L64" s="7" t="str">
        <f>IF(I64="Completed","0",IF($H64="","",$H64-'[2]Read Me'!$B$4))</f>
        <v/>
      </c>
      <c r="M64" s="4" t="str">
        <f>IF($I64="Complete","Green",IF($H64="","Amber",IF($H64&lt;'[2]Read Me'!$B$4,"Red",IF($H64-'[2]Read Me'!$B$4&lt;=21,"Amber","Green"))))</f>
        <v>Amber</v>
      </c>
      <c r="N64" s="3"/>
      <c r="O64" t="str">
        <f>IF($I64&lt;&gt;"Complete",IF(COUNTIFS($A$4:$A63,$A64,$B$4:$B63,$B64,$I$4:$I63,"&lt;&gt;Complete")=0,$A64&amp;"|"&amp;$B64,""),"")</f>
        <v>|</v>
      </c>
      <c r="P64" t="str">
        <f ca="1">IF($K64="Yes",COUNTIFS($K$4:$K64,"Yes"),"")</f>
        <v/>
      </c>
      <c r="Q64">
        <f t="shared" ca="1" si="3"/>
        <v>0</v>
      </c>
      <c r="R64" t="str">
        <f ca="1">IF($Q64=1,SUM($Q$4:$Q64),"")</f>
        <v/>
      </c>
    </row>
    <row r="65" spans="1:18" ht="22.5" customHeight="1" x14ac:dyDescent="0.3">
      <c r="A65" s="2"/>
      <c r="B65" s="2"/>
      <c r="C65" s="3"/>
      <c r="D65" s="3"/>
      <c r="E65" s="2"/>
      <c r="F65" s="2"/>
      <c r="G65" s="5"/>
      <c r="H65" s="5"/>
      <c r="I65" s="4"/>
      <c r="J65" s="6" t="str">
        <f t="shared" si="1"/>
        <v/>
      </c>
      <c r="K65" s="4" t="str">
        <f t="shared" ca="1" si="2"/>
        <v/>
      </c>
      <c r="L65" s="7" t="str">
        <f>IF(I65="Completed","0",IF($H65="","",$H65-'[2]Read Me'!$B$4))</f>
        <v/>
      </c>
      <c r="M65" s="4" t="str">
        <f>IF($I65="Complete","Green",IF($H65="","Amber",IF($H65&lt;'[2]Read Me'!$B$4,"Red",IF($H65-'[2]Read Me'!$B$4&lt;=21,"Amber","Green"))))</f>
        <v>Amber</v>
      </c>
      <c r="N65" s="3"/>
      <c r="O65" t="str">
        <f>IF($I65&lt;&gt;"Complete",IF(COUNTIFS($A$4:$A64,$A65,$B$4:$B64,$B65,$I$4:$I64,"&lt;&gt;Complete")=0,$A65&amp;"|"&amp;$B65,""),"")</f>
        <v>|</v>
      </c>
      <c r="P65" t="str">
        <f ca="1">IF($K65="Yes",COUNTIFS($K$4:$K65,"Yes"),"")</f>
        <v/>
      </c>
      <c r="Q65">
        <f t="shared" ca="1" si="3"/>
        <v>0</v>
      </c>
      <c r="R65" t="str">
        <f ca="1">IF($Q65=1,SUM($Q$4:$Q65),"")</f>
        <v/>
      </c>
    </row>
    <row r="66" spans="1:18" ht="22.5" customHeight="1" x14ac:dyDescent="0.3">
      <c r="A66" s="2"/>
      <c r="B66" s="2"/>
      <c r="C66" s="3"/>
      <c r="D66" s="3"/>
      <c r="E66" s="2"/>
      <c r="F66" s="2"/>
      <c r="G66" s="5"/>
      <c r="H66" s="5"/>
      <c r="I66" s="4"/>
      <c r="J66" s="6" t="str">
        <f t="shared" si="1"/>
        <v/>
      </c>
      <c r="K66" s="4" t="str">
        <f t="shared" ca="1" si="2"/>
        <v/>
      </c>
      <c r="L66" s="7" t="str">
        <f>IF(I66="Completed","0",IF($H66="","",$H66-'[2]Read Me'!$B$4))</f>
        <v/>
      </c>
      <c r="M66" s="4" t="str">
        <f>IF($I66="Complete","Green",IF($H66="","Amber",IF($H66&lt;'[2]Read Me'!$B$4,"Red",IF($H66-'[2]Read Me'!$B$4&lt;=21,"Amber","Green"))))</f>
        <v>Amber</v>
      </c>
      <c r="N66" s="3"/>
      <c r="O66" t="str">
        <f>IF($I66&lt;&gt;"Complete",IF(COUNTIFS($A$4:$A65,$A66,$B$4:$B65,$B66,$I$4:$I65,"&lt;&gt;Complete")=0,$A66&amp;"|"&amp;$B66,""),"")</f>
        <v>|</v>
      </c>
      <c r="P66" t="str">
        <f ca="1">IF($K66="Yes",COUNTIFS($K$4:$K66,"Yes"),"")</f>
        <v/>
      </c>
      <c r="Q66">
        <f t="shared" ca="1" si="3"/>
        <v>0</v>
      </c>
      <c r="R66" t="str">
        <f ca="1">IF($Q66=1,SUM($Q$4:$Q66),"")</f>
        <v/>
      </c>
    </row>
    <row r="67" spans="1:18" ht="22.5" customHeight="1" x14ac:dyDescent="0.3">
      <c r="A67" s="2"/>
      <c r="B67" s="2"/>
      <c r="C67" s="3"/>
      <c r="D67" s="3"/>
      <c r="E67" s="2"/>
      <c r="F67" s="2"/>
      <c r="G67" s="5"/>
      <c r="H67" s="5"/>
      <c r="I67" s="4"/>
      <c r="J67" s="6" t="str">
        <f t="shared" si="1"/>
        <v/>
      </c>
      <c r="K67" s="4" t="str">
        <f t="shared" ca="1" si="2"/>
        <v/>
      </c>
      <c r="L67" s="7" t="str">
        <f>IF(I67="Completed","0",IF($H67="","",$H67-'[2]Read Me'!$B$4))</f>
        <v/>
      </c>
      <c r="M67" s="4" t="str">
        <f>IF($I67="Complete","Green",IF($H67="","Amber",IF($H67&lt;'[2]Read Me'!$B$4,"Red",IF($H67-'[2]Read Me'!$B$4&lt;=21,"Amber","Green"))))</f>
        <v>Amber</v>
      </c>
      <c r="N67" s="3"/>
      <c r="O67" t="str">
        <f>IF($I67&lt;&gt;"Complete",IF(COUNTIFS($A$4:$A66,$A67,$B$4:$B66,$B67,$I$4:$I66,"&lt;&gt;Complete")=0,$A67&amp;"|"&amp;$B67,""),"")</f>
        <v>|</v>
      </c>
      <c r="P67" t="str">
        <f ca="1">IF($K67="Yes",COUNTIFS($K$4:$K67,"Yes"),"")</f>
        <v/>
      </c>
      <c r="Q67">
        <f t="shared" ca="1" si="3"/>
        <v>0</v>
      </c>
      <c r="R67" t="str">
        <f ca="1">IF($Q67=1,SUM($Q$4:$Q67),"")</f>
        <v/>
      </c>
    </row>
    <row r="68" spans="1:18" ht="22.5" customHeight="1" x14ac:dyDescent="0.3">
      <c r="A68" s="2"/>
      <c r="B68" s="2"/>
      <c r="C68" s="3"/>
      <c r="D68" s="3"/>
      <c r="E68" s="2"/>
      <c r="F68" s="2"/>
      <c r="G68" s="5"/>
      <c r="H68" s="5"/>
      <c r="I68" s="4"/>
      <c r="J68" s="6" t="str">
        <f t="shared" ref="J68:J131" si="4">IF(OR($G68="",$H68=""),"",$H68-$G68)</f>
        <v/>
      </c>
      <c r="K68" s="4" t="str">
        <f t="shared" ref="K68:K131" ca="1" si="5">IF(C68="","",IF(H68="","",IF($I68="completed","-",IF($H68&gt;TODAY(),"No","Yes"))))</f>
        <v/>
      </c>
      <c r="L68" s="7" t="str">
        <f>IF(I68="Completed","0",IF($H68="","",$H68-'[2]Read Me'!$B$4))</f>
        <v/>
      </c>
      <c r="M68" s="4" t="str">
        <f>IF($I68="Complete","Green",IF($H68="","Amber",IF($H68&lt;'[2]Read Me'!$B$4,"Red",IF($H68-'[2]Read Me'!$B$4&lt;=21,"Amber","Green"))))</f>
        <v>Amber</v>
      </c>
      <c r="N68" s="3"/>
      <c r="O68" t="str">
        <f>IF($I68&lt;&gt;"Complete",IF(COUNTIFS($A$4:$A67,$A68,$B$4:$B67,$B68,$I$4:$I67,"&lt;&gt;Complete")=0,$A68&amp;"|"&amp;$B68,""),"")</f>
        <v>|</v>
      </c>
      <c r="P68" t="str">
        <f ca="1">IF($K68="Yes",COUNTIFS($K$4:$K68,"Yes"),"")</f>
        <v/>
      </c>
      <c r="Q68">
        <f t="shared" ref="Q68:Q131" ca="1" si="6">IF(OR($I68="In Progress",$K68="Yes"),1,0)</f>
        <v>0</v>
      </c>
      <c r="R68" t="str">
        <f ca="1">IF($Q68=1,SUM($Q$4:$Q68),"")</f>
        <v/>
      </c>
    </row>
    <row r="69" spans="1:18" ht="22.5" customHeight="1" x14ac:dyDescent="0.3">
      <c r="A69" s="2"/>
      <c r="B69" s="2"/>
      <c r="C69" s="3"/>
      <c r="D69" s="3"/>
      <c r="E69" s="2"/>
      <c r="F69" s="2"/>
      <c r="G69" s="5"/>
      <c r="H69" s="5"/>
      <c r="I69" s="4"/>
      <c r="J69" s="6" t="str">
        <f t="shared" si="4"/>
        <v/>
      </c>
      <c r="K69" s="4" t="str">
        <f t="shared" ca="1" si="5"/>
        <v/>
      </c>
      <c r="L69" s="7" t="str">
        <f>IF(I69="Completed","0",IF($H69="","",$H69-'[2]Read Me'!$B$4))</f>
        <v/>
      </c>
      <c r="M69" s="4" t="str">
        <f>IF($I69="Complete","Green",IF($H69="","Amber",IF($H69&lt;'[2]Read Me'!$B$4,"Red",IF($H69-'[2]Read Me'!$B$4&lt;=21,"Amber","Green"))))</f>
        <v>Amber</v>
      </c>
      <c r="N69" s="3"/>
      <c r="O69" t="str">
        <f>IF($I69&lt;&gt;"Complete",IF(COUNTIFS($A$4:$A68,$A69,$B$4:$B68,$B69,$I$4:$I68,"&lt;&gt;Complete")=0,$A69&amp;"|"&amp;$B69,""),"")</f>
        <v>|</v>
      </c>
      <c r="P69" t="str">
        <f ca="1">IF($K69="Yes",COUNTIFS($K$4:$K69,"Yes"),"")</f>
        <v/>
      </c>
      <c r="Q69">
        <f t="shared" ca="1" si="6"/>
        <v>0</v>
      </c>
      <c r="R69" t="str">
        <f ca="1">IF($Q69=1,SUM($Q$4:$Q69),"")</f>
        <v/>
      </c>
    </row>
    <row r="70" spans="1:18" ht="22.5" customHeight="1" x14ac:dyDescent="0.3">
      <c r="A70" s="2"/>
      <c r="B70" s="2"/>
      <c r="C70" s="3"/>
      <c r="D70" s="3"/>
      <c r="E70" s="2"/>
      <c r="F70" s="2"/>
      <c r="G70" s="5"/>
      <c r="H70" s="5"/>
      <c r="I70" s="4"/>
      <c r="J70" s="6" t="str">
        <f t="shared" si="4"/>
        <v/>
      </c>
      <c r="K70" s="4" t="str">
        <f t="shared" ca="1" si="5"/>
        <v/>
      </c>
      <c r="L70" s="7" t="str">
        <f>IF(I70="Completed","0",IF($H70="","",$H70-'[2]Read Me'!$B$4))</f>
        <v/>
      </c>
      <c r="M70" s="4" t="str">
        <f>IF($I70="Complete","Green",IF($H70="","Amber",IF($H70&lt;'[2]Read Me'!$B$4,"Red",IF($H70-'[2]Read Me'!$B$4&lt;=21,"Amber","Green"))))</f>
        <v>Amber</v>
      </c>
      <c r="N70" s="3"/>
      <c r="O70" t="str">
        <f>IF($I70&lt;&gt;"Complete",IF(COUNTIFS($A$4:$A69,$A70,$B$4:$B69,$B70,$I$4:$I69,"&lt;&gt;Complete")=0,$A70&amp;"|"&amp;$B70,""),"")</f>
        <v>|</v>
      </c>
      <c r="P70" t="str">
        <f ca="1">IF($K70="Yes",COUNTIFS($K$4:$K70,"Yes"),"")</f>
        <v/>
      </c>
      <c r="Q70">
        <f t="shared" ca="1" si="6"/>
        <v>0</v>
      </c>
      <c r="R70" t="str">
        <f ca="1">IF($Q70=1,SUM($Q$4:$Q70),"")</f>
        <v/>
      </c>
    </row>
    <row r="71" spans="1:18" ht="22.5" customHeight="1" x14ac:dyDescent="0.3">
      <c r="A71" s="2"/>
      <c r="B71" s="2"/>
      <c r="C71" s="3"/>
      <c r="D71" s="3"/>
      <c r="E71" s="2"/>
      <c r="F71" s="2"/>
      <c r="G71" s="5"/>
      <c r="H71" s="5"/>
      <c r="I71" s="4"/>
      <c r="J71" s="6" t="str">
        <f t="shared" si="4"/>
        <v/>
      </c>
      <c r="K71" s="4" t="str">
        <f t="shared" ca="1" si="5"/>
        <v/>
      </c>
      <c r="L71" s="7" t="str">
        <f>IF(I71="Completed","0",IF($H71="","",$H71-'[2]Read Me'!$B$4))</f>
        <v/>
      </c>
      <c r="M71" s="4" t="str">
        <f>IF($I71="Complete","Green",IF($H71="","Amber",IF($H71&lt;'[2]Read Me'!$B$4,"Red",IF($H71-'[2]Read Me'!$B$4&lt;=21,"Amber","Green"))))</f>
        <v>Amber</v>
      </c>
      <c r="N71" s="3"/>
      <c r="O71" t="str">
        <f>IF($I71&lt;&gt;"Complete",IF(COUNTIFS($A$4:$A70,$A71,$B$4:$B70,$B71,$I$4:$I70,"&lt;&gt;Complete")=0,$A71&amp;"|"&amp;$B71,""),"")</f>
        <v>|</v>
      </c>
      <c r="P71" t="str">
        <f ca="1">IF($K71="Yes",COUNTIFS($K$4:$K71,"Yes"),"")</f>
        <v/>
      </c>
      <c r="Q71">
        <f t="shared" ca="1" si="6"/>
        <v>0</v>
      </c>
      <c r="R71" t="str">
        <f ca="1">IF($Q71=1,SUM($Q$4:$Q71),"")</f>
        <v/>
      </c>
    </row>
    <row r="72" spans="1:18" ht="33.75" customHeight="1" x14ac:dyDescent="0.3">
      <c r="A72" s="2"/>
      <c r="B72" s="2"/>
      <c r="C72" s="3"/>
      <c r="D72" s="3"/>
      <c r="E72" s="2"/>
      <c r="F72" s="2"/>
      <c r="G72" s="5"/>
      <c r="H72" s="5"/>
      <c r="I72" s="4"/>
      <c r="J72" s="6" t="str">
        <f t="shared" si="4"/>
        <v/>
      </c>
      <c r="K72" s="4" t="str">
        <f t="shared" ca="1" si="5"/>
        <v/>
      </c>
      <c r="L72" s="7" t="str">
        <f>IF(I72="Completed","0",IF($H72="","",$H72-'[2]Read Me'!$B$4))</f>
        <v/>
      </c>
      <c r="M72" s="4" t="str">
        <f>IF($I72="Complete","Green",IF($H72="","Amber",IF($H72&lt;'[2]Read Me'!$B$4,"Red",IF($H72-'[2]Read Me'!$B$4&lt;=21,"Amber","Green"))))</f>
        <v>Amber</v>
      </c>
      <c r="N72" s="3"/>
      <c r="O72" t="str">
        <f>IF($I72&lt;&gt;"Complete",IF(COUNTIFS($A$4:$A71,$A72,$B$4:$B71,$B72,$I$4:$I71,"&lt;&gt;Complete")=0,$A72&amp;"|"&amp;$B72,""),"")</f>
        <v>|</v>
      </c>
      <c r="P72" t="str">
        <f ca="1">IF($K72="Yes",COUNTIFS($K$4:$K72,"Yes"),"")</f>
        <v/>
      </c>
      <c r="Q72">
        <f t="shared" ca="1" si="6"/>
        <v>0</v>
      </c>
      <c r="R72" t="str">
        <f ca="1">IF($Q72=1,SUM($Q$4:$Q72),"")</f>
        <v/>
      </c>
    </row>
    <row r="73" spans="1:18" ht="33.75" customHeight="1" x14ac:dyDescent="0.3">
      <c r="A73" s="2"/>
      <c r="B73" s="2"/>
      <c r="C73" s="3"/>
      <c r="D73" s="3"/>
      <c r="E73" s="2"/>
      <c r="F73" s="2"/>
      <c r="G73" s="5"/>
      <c r="H73" s="5"/>
      <c r="I73" s="4"/>
      <c r="J73" s="6" t="str">
        <f t="shared" si="4"/>
        <v/>
      </c>
      <c r="K73" s="4" t="str">
        <f t="shared" ca="1" si="5"/>
        <v/>
      </c>
      <c r="L73" s="7" t="str">
        <f>IF(I73="Completed","0",IF($H73="","",$H73-'[2]Read Me'!$B$4))</f>
        <v/>
      </c>
      <c r="M73" s="4" t="str">
        <f>IF($I73="Complete","Green",IF($H73="","Amber",IF($H73&lt;'[2]Read Me'!$B$4,"Red",IF($H73-'[2]Read Me'!$B$4&lt;=21,"Amber","Green"))))</f>
        <v>Amber</v>
      </c>
      <c r="N73" s="3"/>
      <c r="O73" t="str">
        <f>IF($I73&lt;&gt;"Complete",IF(COUNTIFS($A$4:$A72,$A73,$B$4:$B72,$B73,$I$4:$I72,"&lt;&gt;Complete")=0,$A73&amp;"|"&amp;$B73,""),"")</f>
        <v>|</v>
      </c>
      <c r="P73" t="str">
        <f ca="1">IF($K73="Yes",COUNTIFS($K$4:$K73,"Yes"),"")</f>
        <v/>
      </c>
      <c r="Q73">
        <f t="shared" ca="1" si="6"/>
        <v>0</v>
      </c>
      <c r="R73" t="str">
        <f ca="1">IF($Q73=1,SUM($Q$4:$Q73),"")</f>
        <v/>
      </c>
    </row>
    <row r="74" spans="1:18" ht="33.75" customHeight="1" x14ac:dyDescent="0.3">
      <c r="A74" s="2"/>
      <c r="B74" s="2"/>
      <c r="C74" s="3"/>
      <c r="D74" s="3"/>
      <c r="E74" s="2"/>
      <c r="F74" s="2"/>
      <c r="G74" s="5"/>
      <c r="H74" s="5"/>
      <c r="I74" s="4"/>
      <c r="J74" s="6" t="str">
        <f t="shared" si="4"/>
        <v/>
      </c>
      <c r="K74" s="4" t="str">
        <f t="shared" ca="1" si="5"/>
        <v/>
      </c>
      <c r="L74" s="7" t="str">
        <f>IF(I74="Completed","0",IF($H74="","",$H74-'[2]Read Me'!$B$4))</f>
        <v/>
      </c>
      <c r="M74" s="4" t="str">
        <f>IF($I74="Complete","Green",IF($H74="","Amber",IF($H74&lt;'[2]Read Me'!$B$4,"Red",IF($H74-'[2]Read Me'!$B$4&lt;=21,"Amber","Green"))))</f>
        <v>Amber</v>
      </c>
      <c r="N74" s="3"/>
      <c r="O74" t="str">
        <f>IF($I74&lt;&gt;"Complete",IF(COUNTIFS($A$4:$A73,$A74,$B$4:$B73,$B74,$I$4:$I73,"&lt;&gt;Complete")=0,$A74&amp;"|"&amp;$B74,""),"")</f>
        <v>|</v>
      </c>
      <c r="P74" t="str">
        <f ca="1">IF($K74="Yes",COUNTIFS($K$4:$K74,"Yes"),"")</f>
        <v/>
      </c>
      <c r="Q74">
        <f t="shared" ca="1" si="6"/>
        <v>0</v>
      </c>
      <c r="R74" t="str">
        <f ca="1">IF($Q74=1,SUM($Q$4:$Q74),"")</f>
        <v/>
      </c>
    </row>
    <row r="75" spans="1:18" ht="14.25" customHeight="1" x14ac:dyDescent="0.3">
      <c r="A75" s="2"/>
      <c r="B75" s="2"/>
      <c r="C75" s="3"/>
      <c r="D75" s="3"/>
      <c r="E75" s="2"/>
      <c r="F75" s="2"/>
      <c r="G75" s="5"/>
      <c r="H75" s="5"/>
      <c r="I75" s="4"/>
      <c r="J75" s="6" t="str">
        <f t="shared" si="4"/>
        <v/>
      </c>
      <c r="K75" s="4" t="str">
        <f t="shared" ca="1" si="5"/>
        <v/>
      </c>
      <c r="L75" s="7" t="str">
        <f>IF(I75="Completed","0",IF($H75="","",$H75-'[2]Read Me'!$B$4))</f>
        <v/>
      </c>
      <c r="M75" s="4" t="str">
        <f>IF($I75="Complete","Green",IF($H75="","Amber",IF($H75&lt;'[2]Read Me'!$B$4,"Red",IF($H75-'[2]Read Me'!$B$4&lt;=21,"Amber","Green"))))</f>
        <v>Amber</v>
      </c>
      <c r="N75" s="3"/>
      <c r="O75" t="str">
        <f>IF($I75&lt;&gt;"Complete",IF(COUNTIFS($A$4:$A74,$A75,$B$4:$B74,$B75,$I$4:$I74,"&lt;&gt;Complete")=0,$A75&amp;"|"&amp;$B75,""),"")</f>
        <v>|</v>
      </c>
      <c r="P75" t="str">
        <f ca="1">IF($K75="Yes",COUNTIFS($K$4:$K75,"Yes"),"")</f>
        <v/>
      </c>
      <c r="Q75">
        <f t="shared" ca="1" si="6"/>
        <v>0</v>
      </c>
      <c r="R75" t="str">
        <f ca="1">IF($Q75=1,SUM($Q$4:$Q75),"")</f>
        <v/>
      </c>
    </row>
    <row r="76" spans="1:18" ht="14.25" customHeight="1" x14ac:dyDescent="0.3">
      <c r="A76" s="2"/>
      <c r="B76" s="2"/>
      <c r="C76" s="3"/>
      <c r="D76" s="3"/>
      <c r="E76" s="2"/>
      <c r="F76" s="2"/>
      <c r="G76" s="5"/>
      <c r="H76" s="5"/>
      <c r="I76" s="4"/>
      <c r="J76" s="6" t="str">
        <f t="shared" si="4"/>
        <v/>
      </c>
      <c r="K76" s="4" t="str">
        <f t="shared" ca="1" si="5"/>
        <v/>
      </c>
      <c r="L76" s="7" t="str">
        <f>IF(I76="Completed","0",IF($H76="","",$H76-'[2]Read Me'!$B$4))</f>
        <v/>
      </c>
      <c r="M76" s="4" t="str">
        <f>IF($I76="Complete","Green",IF($H76="","Amber",IF($H76&lt;'[2]Read Me'!$B$4,"Red",IF($H76-'[2]Read Me'!$B$4&lt;=21,"Amber","Green"))))</f>
        <v>Amber</v>
      </c>
      <c r="N76" s="3"/>
      <c r="O76" t="str">
        <f>IF($I76&lt;&gt;"Complete",IF(COUNTIFS($A$4:$A75,$A76,$B$4:$B75,$B76,$I$4:$I75,"&lt;&gt;Complete")=0,$A76&amp;"|"&amp;$B76,""),"")</f>
        <v>|</v>
      </c>
      <c r="P76" t="str">
        <f ca="1">IF($K76="Yes",COUNTIFS($K$4:$K76,"Yes"),"")</f>
        <v/>
      </c>
      <c r="Q76">
        <f t="shared" ca="1" si="6"/>
        <v>0</v>
      </c>
      <c r="R76" t="str">
        <f ca="1">IF($Q76=1,SUM($Q$4:$Q76),"")</f>
        <v/>
      </c>
    </row>
    <row r="77" spans="1:18" ht="22.5" customHeight="1" x14ac:dyDescent="0.3">
      <c r="A77" s="2"/>
      <c r="B77" s="2"/>
      <c r="C77" s="3"/>
      <c r="D77" s="3"/>
      <c r="E77" s="2"/>
      <c r="F77" s="2"/>
      <c r="G77" s="5"/>
      <c r="H77" s="5"/>
      <c r="I77" s="4"/>
      <c r="J77" s="6" t="str">
        <f t="shared" si="4"/>
        <v/>
      </c>
      <c r="K77" s="4" t="str">
        <f t="shared" ca="1" si="5"/>
        <v/>
      </c>
      <c r="L77" s="7" t="str">
        <f>IF(I77="Completed","0",IF($H77="","",$H77-'[2]Read Me'!$B$4))</f>
        <v/>
      </c>
      <c r="M77" s="4" t="str">
        <f>IF($I77="Complete","Green",IF($H77="","Amber",IF($H77&lt;'[2]Read Me'!$B$4,"Red",IF($H77-'[2]Read Me'!$B$4&lt;=21,"Amber","Green"))))</f>
        <v>Amber</v>
      </c>
      <c r="N77" s="3"/>
      <c r="O77" t="str">
        <f>IF($I77&lt;&gt;"Complete",IF(COUNTIFS($A$4:$A76,$A77,$B$4:$B76,$B77,$I$4:$I76,"&lt;&gt;Complete")=0,$A77&amp;"|"&amp;$B77,""),"")</f>
        <v>|</v>
      </c>
      <c r="P77" t="str">
        <f ca="1">IF($K77="Yes",COUNTIFS($K$4:$K77,"Yes"),"")</f>
        <v/>
      </c>
      <c r="Q77">
        <f t="shared" ca="1" si="6"/>
        <v>0</v>
      </c>
      <c r="R77" t="str">
        <f ca="1">IF($Q77=1,SUM($Q$4:$Q77),"")</f>
        <v/>
      </c>
    </row>
    <row r="78" spans="1:18" ht="14.25" customHeight="1" x14ac:dyDescent="0.3">
      <c r="A78" s="2"/>
      <c r="B78" s="2"/>
      <c r="C78" s="3"/>
      <c r="D78" s="3"/>
      <c r="E78" s="2"/>
      <c r="F78" s="2"/>
      <c r="G78" s="5"/>
      <c r="H78" s="5"/>
      <c r="I78" s="4"/>
      <c r="J78" s="6" t="str">
        <f t="shared" si="4"/>
        <v/>
      </c>
      <c r="K78" s="4" t="str">
        <f t="shared" ca="1" si="5"/>
        <v/>
      </c>
      <c r="L78" s="7" t="str">
        <f>IF(I78="Completed","0",IF($H78="","",$H78-'[2]Read Me'!$B$4))</f>
        <v/>
      </c>
      <c r="M78" s="4" t="str">
        <f>IF($I78="Complete","Green",IF($H78="","Amber",IF($H78&lt;'[2]Read Me'!$B$4,"Red",IF($H78-'[2]Read Me'!$B$4&lt;=21,"Amber","Green"))))</f>
        <v>Amber</v>
      </c>
      <c r="N78" s="3"/>
      <c r="O78" t="str">
        <f>IF($I78&lt;&gt;"Complete",IF(COUNTIFS($A$4:$A77,$A78,$B$4:$B77,$B78,$I$4:$I77,"&lt;&gt;Complete")=0,$A78&amp;"|"&amp;$B78,""),"")</f>
        <v>|</v>
      </c>
      <c r="P78" t="str">
        <f ca="1">IF($K78="Yes",COUNTIFS($K$4:$K78,"Yes"),"")</f>
        <v/>
      </c>
      <c r="Q78">
        <f t="shared" ca="1" si="6"/>
        <v>0</v>
      </c>
      <c r="R78" t="str">
        <f ca="1">IF($Q78=1,SUM($Q$4:$Q78),"")</f>
        <v/>
      </c>
    </row>
    <row r="79" spans="1:18" ht="33.75" customHeight="1" x14ac:dyDescent="0.3">
      <c r="A79" s="2"/>
      <c r="B79" s="2"/>
      <c r="C79" s="3"/>
      <c r="D79" s="3"/>
      <c r="E79" s="2"/>
      <c r="F79" s="2"/>
      <c r="G79" s="5"/>
      <c r="H79" s="5"/>
      <c r="I79" s="4"/>
      <c r="J79" s="6" t="str">
        <f t="shared" si="4"/>
        <v/>
      </c>
      <c r="K79" s="4" t="str">
        <f t="shared" ca="1" si="5"/>
        <v/>
      </c>
      <c r="L79" s="7" t="str">
        <f>IF(I79="Completed","0",IF($H79="","",$H79-'[2]Read Me'!$B$4))</f>
        <v/>
      </c>
      <c r="M79" s="4" t="str">
        <f>IF($I79="Complete","Green",IF($H79="","Amber",IF($H79&lt;'[2]Read Me'!$B$4,"Red",IF($H79-'[2]Read Me'!$B$4&lt;=21,"Amber","Green"))))</f>
        <v>Amber</v>
      </c>
      <c r="N79" s="3"/>
      <c r="O79" t="str">
        <f>IF($I79&lt;&gt;"Complete",IF(COUNTIFS($A$4:$A78,$A79,$B$4:$B78,$B79,$I$4:$I78,"&lt;&gt;Complete")=0,$A79&amp;"|"&amp;$B79,""),"")</f>
        <v>|</v>
      </c>
      <c r="P79" t="str">
        <f ca="1">IF($K79="Yes",COUNTIFS($K$4:$K79,"Yes"),"")</f>
        <v/>
      </c>
      <c r="Q79">
        <f t="shared" ca="1" si="6"/>
        <v>0</v>
      </c>
      <c r="R79" t="str">
        <f ca="1">IF($Q79=1,SUM($Q$4:$Q79),"")</f>
        <v/>
      </c>
    </row>
    <row r="80" spans="1:18" ht="33.75" customHeight="1" x14ac:dyDescent="0.3">
      <c r="A80" s="2"/>
      <c r="B80" s="2"/>
      <c r="C80" s="3"/>
      <c r="D80" s="3"/>
      <c r="E80" s="2"/>
      <c r="F80" s="2"/>
      <c r="G80" s="5"/>
      <c r="H80" s="5"/>
      <c r="I80" s="4"/>
      <c r="J80" s="6" t="str">
        <f t="shared" si="4"/>
        <v/>
      </c>
      <c r="K80" s="4" t="str">
        <f t="shared" ca="1" si="5"/>
        <v/>
      </c>
      <c r="L80" s="7" t="str">
        <f>IF(I80="Completed","0",IF($H80="","",$H80-'[2]Read Me'!$B$4))</f>
        <v/>
      </c>
      <c r="M80" s="4" t="str">
        <f>IF($I80="Complete","Green",IF($H80="","Amber",IF($H80&lt;'[2]Read Me'!$B$4,"Red",IF($H80-'[2]Read Me'!$B$4&lt;=21,"Amber","Green"))))</f>
        <v>Amber</v>
      </c>
      <c r="N80" s="3"/>
      <c r="O80" t="str">
        <f>IF($I80&lt;&gt;"Complete",IF(COUNTIFS($A$4:$A79,$A80,$B$4:$B79,$B80,$I$4:$I79,"&lt;&gt;Complete")=0,$A80&amp;"|"&amp;$B80,""),"")</f>
        <v>|</v>
      </c>
      <c r="P80" t="str">
        <f ca="1">IF($K80="Yes",COUNTIFS($K$4:$K80,"Yes"),"")</f>
        <v/>
      </c>
      <c r="Q80">
        <f t="shared" ca="1" si="6"/>
        <v>0</v>
      </c>
      <c r="R80" t="str">
        <f ca="1">IF($Q80=1,SUM($Q$4:$Q80),"")</f>
        <v/>
      </c>
    </row>
    <row r="81" spans="1:18" ht="33.75" customHeight="1" x14ac:dyDescent="0.3">
      <c r="A81" s="2"/>
      <c r="B81" s="2"/>
      <c r="C81" s="3"/>
      <c r="D81" s="3"/>
      <c r="E81" s="2"/>
      <c r="F81" s="2"/>
      <c r="G81" s="5"/>
      <c r="H81" s="5"/>
      <c r="I81" s="4"/>
      <c r="J81" s="6" t="str">
        <f t="shared" si="4"/>
        <v/>
      </c>
      <c r="K81" s="4" t="str">
        <f t="shared" ca="1" si="5"/>
        <v/>
      </c>
      <c r="L81" s="7" t="str">
        <f>IF(I81="Completed","0",IF($H81="","",$H81-'[2]Read Me'!$B$4))</f>
        <v/>
      </c>
      <c r="M81" s="4" t="str">
        <f>IF($I81="Complete","Green",IF($H81="","Amber",IF($H81&lt;'[2]Read Me'!$B$4,"Red",IF($H81-'[2]Read Me'!$B$4&lt;=21,"Amber","Green"))))</f>
        <v>Amber</v>
      </c>
      <c r="N81" s="3"/>
      <c r="O81" t="str">
        <f>IF($I81&lt;&gt;"Complete",IF(COUNTIFS($A$4:$A80,$A81,$B$4:$B80,$B81,$I$4:$I80,"&lt;&gt;Complete")=0,$A81&amp;"|"&amp;$B81,""),"")</f>
        <v>|</v>
      </c>
      <c r="P81" t="str">
        <f ca="1">IF($K81="Yes",COUNTIFS($K$4:$K81,"Yes"),"")</f>
        <v/>
      </c>
      <c r="Q81">
        <f t="shared" ca="1" si="6"/>
        <v>0</v>
      </c>
      <c r="R81" t="str">
        <f ca="1">IF($Q81=1,SUM($Q$4:$Q81),"")</f>
        <v/>
      </c>
    </row>
    <row r="82" spans="1:18" ht="33.75" customHeight="1" x14ac:dyDescent="0.3">
      <c r="A82" s="2"/>
      <c r="B82" s="2"/>
      <c r="C82" s="3"/>
      <c r="D82" s="3"/>
      <c r="E82" s="2"/>
      <c r="F82" s="2"/>
      <c r="G82" s="5"/>
      <c r="H82" s="5"/>
      <c r="I82" s="4"/>
      <c r="J82" s="6" t="str">
        <f t="shared" si="4"/>
        <v/>
      </c>
      <c r="K82" s="4" t="str">
        <f t="shared" ca="1" si="5"/>
        <v/>
      </c>
      <c r="L82" s="7" t="str">
        <f>IF(I82="Completed","0",IF($H82="","",$H82-'[2]Read Me'!$B$4))</f>
        <v/>
      </c>
      <c r="M82" s="4" t="str">
        <f>IF($I82="Complete","Green",IF($H82="","Amber",IF($H82&lt;'[2]Read Me'!$B$4,"Red",IF($H82-'[2]Read Me'!$B$4&lt;=21,"Amber","Green"))))</f>
        <v>Amber</v>
      </c>
      <c r="N82" s="3"/>
      <c r="O82" t="str">
        <f>IF($I82&lt;&gt;"Complete",IF(COUNTIFS($A$4:$A81,$A82,$B$4:$B81,$B82,$I$4:$I81,"&lt;&gt;Complete")=0,$A82&amp;"|"&amp;$B82,""),"")</f>
        <v>|</v>
      </c>
      <c r="P82" t="str">
        <f ca="1">IF($K82="Yes",COUNTIFS($K$4:$K82,"Yes"),"")</f>
        <v/>
      </c>
      <c r="Q82">
        <f t="shared" ca="1" si="6"/>
        <v>0</v>
      </c>
      <c r="R82" t="str">
        <f ca="1">IF($Q82=1,SUM($Q$4:$Q82),"")</f>
        <v/>
      </c>
    </row>
    <row r="83" spans="1:18" ht="33.75" customHeight="1" x14ac:dyDescent="0.3">
      <c r="A83" s="2"/>
      <c r="B83" s="2"/>
      <c r="C83" s="3"/>
      <c r="D83" s="3"/>
      <c r="E83" s="2"/>
      <c r="F83" s="2"/>
      <c r="G83" s="5"/>
      <c r="H83" s="5"/>
      <c r="I83" s="4"/>
      <c r="J83" s="6" t="str">
        <f t="shared" si="4"/>
        <v/>
      </c>
      <c r="K83" s="4" t="str">
        <f t="shared" ca="1" si="5"/>
        <v/>
      </c>
      <c r="L83" s="7" t="str">
        <f>IF(I83="Completed","0",IF($H83="","",$H83-'[2]Read Me'!$B$4))</f>
        <v/>
      </c>
      <c r="M83" s="4" t="str">
        <f>IF($I83="Complete","Green",IF($H83="","Amber",IF($H83&lt;'[2]Read Me'!$B$4,"Red",IF($H83-'[2]Read Me'!$B$4&lt;=21,"Amber","Green"))))</f>
        <v>Amber</v>
      </c>
      <c r="N83" s="3"/>
      <c r="O83" t="str">
        <f>IF($I83&lt;&gt;"Complete",IF(COUNTIFS($A$4:$A82,$A83,$B$4:$B82,$B83,$I$4:$I82,"&lt;&gt;Complete")=0,$A83&amp;"|"&amp;$B83,""),"")</f>
        <v>|</v>
      </c>
      <c r="P83" t="str">
        <f ca="1">IF($K83="Yes",COUNTIFS($K$4:$K83,"Yes"),"")</f>
        <v/>
      </c>
      <c r="Q83">
        <f t="shared" ca="1" si="6"/>
        <v>0</v>
      </c>
      <c r="R83" t="str">
        <f ca="1">IF($Q83=1,SUM($Q$4:$Q83),"")</f>
        <v/>
      </c>
    </row>
    <row r="84" spans="1:18" ht="33.75" customHeight="1" x14ac:dyDescent="0.3">
      <c r="A84" s="2"/>
      <c r="B84" s="2"/>
      <c r="C84" s="3"/>
      <c r="D84" s="3"/>
      <c r="E84" s="2"/>
      <c r="F84" s="2"/>
      <c r="G84" s="5"/>
      <c r="H84" s="5"/>
      <c r="I84" s="4"/>
      <c r="J84" s="6" t="str">
        <f t="shared" si="4"/>
        <v/>
      </c>
      <c r="K84" s="4" t="str">
        <f t="shared" ca="1" si="5"/>
        <v/>
      </c>
      <c r="L84" s="7" t="str">
        <f>IF(I84="Completed","0",IF($H84="","",$H84-'[2]Read Me'!$B$4))</f>
        <v/>
      </c>
      <c r="M84" s="4" t="str">
        <f>IF($I84="Complete","Green",IF($H84="","Amber",IF($H84&lt;'[2]Read Me'!$B$4,"Red",IF($H84-'[2]Read Me'!$B$4&lt;=21,"Amber","Green"))))</f>
        <v>Amber</v>
      </c>
      <c r="N84" s="3"/>
      <c r="O84" t="str">
        <f>IF($I84&lt;&gt;"Complete",IF(COUNTIFS($A$4:$A83,$A84,$B$4:$B83,$B84,$I$4:$I83,"&lt;&gt;Complete")=0,$A84&amp;"|"&amp;$B84,""),"")</f>
        <v>|</v>
      </c>
      <c r="P84" t="str">
        <f ca="1">IF($K84="Yes",COUNTIFS($K$4:$K84,"Yes"),"")</f>
        <v/>
      </c>
      <c r="Q84">
        <f t="shared" ca="1" si="6"/>
        <v>0</v>
      </c>
      <c r="R84" t="str">
        <f ca="1">IF($Q84=1,SUM($Q$4:$Q84),"")</f>
        <v/>
      </c>
    </row>
    <row r="85" spans="1:18" ht="33.75" customHeight="1" x14ac:dyDescent="0.3">
      <c r="A85" s="2"/>
      <c r="B85" s="2"/>
      <c r="C85" s="3"/>
      <c r="D85" s="3"/>
      <c r="E85" s="2"/>
      <c r="F85" s="2"/>
      <c r="G85" s="5"/>
      <c r="H85" s="5"/>
      <c r="I85" s="4"/>
      <c r="J85" s="6" t="str">
        <f t="shared" si="4"/>
        <v/>
      </c>
      <c r="K85" s="4" t="str">
        <f t="shared" ca="1" si="5"/>
        <v/>
      </c>
      <c r="L85" s="7" t="str">
        <f>IF(I85="Completed","0",IF($H85="","",$H85-'[2]Read Me'!$B$4))</f>
        <v/>
      </c>
      <c r="M85" s="4" t="str">
        <f>IF($I85="Complete","Green",IF($H85="","Amber",IF($H85&lt;'[2]Read Me'!$B$4,"Red",IF($H85-'[2]Read Me'!$B$4&lt;=21,"Amber","Green"))))</f>
        <v>Amber</v>
      </c>
      <c r="N85" s="3"/>
      <c r="O85" t="str">
        <f>IF($I85&lt;&gt;"Complete",IF(COUNTIFS($A$4:$A84,$A85,$B$4:$B84,$B85,$I$4:$I84,"&lt;&gt;Complete")=0,$A85&amp;"|"&amp;$B85,""),"")</f>
        <v>|</v>
      </c>
      <c r="P85" t="str">
        <f ca="1">IF($K85="Yes",COUNTIFS($K$4:$K85,"Yes"),"")</f>
        <v/>
      </c>
      <c r="Q85">
        <f t="shared" ca="1" si="6"/>
        <v>0</v>
      </c>
      <c r="R85" t="str">
        <f ca="1">IF($Q85=1,SUM($Q$4:$Q85),"")</f>
        <v/>
      </c>
    </row>
    <row r="86" spans="1:18" ht="33.75" customHeight="1" x14ac:dyDescent="0.3">
      <c r="A86" s="2"/>
      <c r="B86" s="2"/>
      <c r="C86" s="3"/>
      <c r="D86" s="3"/>
      <c r="E86" s="2"/>
      <c r="F86" s="2"/>
      <c r="G86" s="5"/>
      <c r="H86" s="5"/>
      <c r="I86" s="4"/>
      <c r="J86" s="6" t="str">
        <f t="shared" si="4"/>
        <v/>
      </c>
      <c r="K86" s="4" t="str">
        <f t="shared" ca="1" si="5"/>
        <v/>
      </c>
      <c r="L86" s="7" t="str">
        <f>IF(I86="Completed","0",IF($H86="","",$H86-'[2]Read Me'!$B$4))</f>
        <v/>
      </c>
      <c r="M86" s="4" t="str">
        <f>IF($I86="Complete","Green",IF($H86="","Amber",IF($H86&lt;'[2]Read Me'!$B$4,"Red",IF($H86-'[2]Read Me'!$B$4&lt;=21,"Amber","Green"))))</f>
        <v>Amber</v>
      </c>
      <c r="N86" s="3"/>
      <c r="O86" t="str">
        <f>IF($I86&lt;&gt;"Complete",IF(COUNTIFS($A$4:$A85,$A86,$B$4:$B85,$B86,$I$4:$I85,"&lt;&gt;Complete")=0,$A86&amp;"|"&amp;$B86,""),"")</f>
        <v>|</v>
      </c>
      <c r="P86" t="str">
        <f ca="1">IF($K86="Yes",COUNTIFS($K$4:$K86,"Yes"),"")</f>
        <v/>
      </c>
      <c r="Q86">
        <f t="shared" ca="1" si="6"/>
        <v>0</v>
      </c>
      <c r="R86" t="str">
        <f ca="1">IF($Q86=1,SUM($Q$4:$Q86),"")</f>
        <v/>
      </c>
    </row>
    <row r="87" spans="1:18" ht="33.75" customHeight="1" x14ac:dyDescent="0.3">
      <c r="A87" s="2"/>
      <c r="B87" s="2"/>
      <c r="C87" s="3"/>
      <c r="D87" s="3"/>
      <c r="E87" s="2"/>
      <c r="F87" s="2"/>
      <c r="G87" s="5"/>
      <c r="H87" s="5"/>
      <c r="I87" s="4"/>
      <c r="J87" s="6" t="str">
        <f t="shared" si="4"/>
        <v/>
      </c>
      <c r="K87" s="4" t="str">
        <f t="shared" ca="1" si="5"/>
        <v/>
      </c>
      <c r="L87" s="7" t="str">
        <f>IF(I87="Completed","0",IF($H87="","",$H87-'[2]Read Me'!$B$4))</f>
        <v/>
      </c>
      <c r="M87" s="4" t="str">
        <f>IF($I87="Complete","Green",IF($H87="","Amber",IF($H87&lt;'[2]Read Me'!$B$4,"Red",IF($H87-'[2]Read Me'!$B$4&lt;=21,"Amber","Green"))))</f>
        <v>Amber</v>
      </c>
      <c r="N87" s="3"/>
      <c r="O87" t="str">
        <f>IF($I87&lt;&gt;"Complete",IF(COUNTIFS($A$4:$A86,$A87,$B$4:$B86,$B87,$I$4:$I86,"&lt;&gt;Complete")=0,$A87&amp;"|"&amp;$B87,""),"")</f>
        <v>|</v>
      </c>
      <c r="P87" t="str">
        <f ca="1">IF($K87="Yes",COUNTIFS($K$4:$K87,"Yes"),"")</f>
        <v/>
      </c>
      <c r="Q87">
        <f t="shared" ca="1" si="6"/>
        <v>0</v>
      </c>
      <c r="R87" t="str">
        <f ca="1">IF($Q87=1,SUM($Q$4:$Q87),"")</f>
        <v/>
      </c>
    </row>
    <row r="88" spans="1:18" ht="33.75" customHeight="1" x14ac:dyDescent="0.3">
      <c r="A88" s="2"/>
      <c r="B88" s="2"/>
      <c r="C88" s="3"/>
      <c r="D88" s="3"/>
      <c r="E88" s="2"/>
      <c r="F88" s="2"/>
      <c r="G88" s="5"/>
      <c r="H88" s="5"/>
      <c r="I88" s="4"/>
      <c r="J88" s="6" t="str">
        <f t="shared" si="4"/>
        <v/>
      </c>
      <c r="K88" s="4" t="str">
        <f t="shared" ca="1" si="5"/>
        <v/>
      </c>
      <c r="L88" s="7" t="str">
        <f>IF(I88="Completed","0",IF($H88="","",$H88-'[2]Read Me'!$B$4))</f>
        <v/>
      </c>
      <c r="M88" s="4" t="str">
        <f>IF($I88="Complete","Green",IF($H88="","Amber",IF($H88&lt;'[2]Read Me'!$B$4,"Red",IF($H88-'[2]Read Me'!$B$4&lt;=21,"Amber","Green"))))</f>
        <v>Amber</v>
      </c>
      <c r="N88" s="3"/>
      <c r="O88" t="str">
        <f>IF($I88&lt;&gt;"Complete",IF(COUNTIFS($A$4:$A87,$A88,$B$4:$B87,$B88,$I$4:$I87,"&lt;&gt;Complete")=0,$A88&amp;"|"&amp;$B88,""),"")</f>
        <v>|</v>
      </c>
      <c r="P88" t="str">
        <f ca="1">IF($K88="Yes",COUNTIFS($K$4:$K88,"Yes"),"")</f>
        <v/>
      </c>
      <c r="Q88">
        <f t="shared" ca="1" si="6"/>
        <v>0</v>
      </c>
      <c r="R88" t="str">
        <f ca="1">IF($Q88=1,SUM($Q$4:$Q88),"")</f>
        <v/>
      </c>
    </row>
    <row r="89" spans="1:18" ht="33.75" customHeight="1" x14ac:dyDescent="0.3">
      <c r="A89" s="2"/>
      <c r="B89" s="2"/>
      <c r="C89" s="3"/>
      <c r="D89" s="3"/>
      <c r="E89" s="2"/>
      <c r="F89" s="2"/>
      <c r="G89" s="5"/>
      <c r="H89" s="5"/>
      <c r="I89" s="4"/>
      <c r="J89" s="6" t="str">
        <f t="shared" si="4"/>
        <v/>
      </c>
      <c r="K89" s="4" t="str">
        <f t="shared" ca="1" si="5"/>
        <v/>
      </c>
      <c r="L89" s="7" t="str">
        <f>IF(I89="Completed","0",IF($H89="","",$H89-'[2]Read Me'!$B$4))</f>
        <v/>
      </c>
      <c r="M89" s="4" t="str">
        <f>IF($I89="Complete","Green",IF($H89="","Amber",IF($H89&lt;'[2]Read Me'!$B$4,"Red",IF($H89-'[2]Read Me'!$B$4&lt;=21,"Amber","Green"))))</f>
        <v>Amber</v>
      </c>
      <c r="N89" s="3"/>
      <c r="O89" t="str">
        <f>IF($I89&lt;&gt;"Complete",IF(COUNTIFS($A$4:$A88,$A89,$B$4:$B88,$B89,$I$4:$I88,"&lt;&gt;Complete")=0,$A89&amp;"|"&amp;$B89,""),"")</f>
        <v>|</v>
      </c>
      <c r="P89" t="str">
        <f ca="1">IF($K89="Yes",COUNTIFS($K$4:$K89,"Yes"),"")</f>
        <v/>
      </c>
      <c r="Q89">
        <f t="shared" ca="1" si="6"/>
        <v>0</v>
      </c>
      <c r="R89" t="str">
        <f ca="1">IF($Q89=1,SUM($Q$4:$Q89),"")</f>
        <v/>
      </c>
    </row>
    <row r="90" spans="1:18" ht="33.75" customHeight="1" x14ac:dyDescent="0.3">
      <c r="A90" s="2"/>
      <c r="B90" s="2"/>
      <c r="C90" s="3"/>
      <c r="D90" s="3"/>
      <c r="E90" s="2"/>
      <c r="F90" s="2"/>
      <c r="G90" s="5"/>
      <c r="H90" s="5"/>
      <c r="I90" s="4"/>
      <c r="J90" s="6" t="str">
        <f t="shared" si="4"/>
        <v/>
      </c>
      <c r="K90" s="4" t="str">
        <f t="shared" ca="1" si="5"/>
        <v/>
      </c>
      <c r="L90" s="7" t="str">
        <f>IF(I90="Completed","0",IF($H90="","",$H90-'[2]Read Me'!$B$4))</f>
        <v/>
      </c>
      <c r="M90" s="4" t="str">
        <f>IF($I90="Complete","Green",IF($H90="","Amber",IF($H90&lt;'[2]Read Me'!$B$4,"Red",IF($H90-'[2]Read Me'!$B$4&lt;=21,"Amber","Green"))))</f>
        <v>Amber</v>
      </c>
      <c r="N90" s="3"/>
      <c r="O90" t="str">
        <f>IF($I90&lt;&gt;"Complete",IF(COUNTIFS($A$4:$A89,$A90,$B$4:$B89,$B90,$I$4:$I89,"&lt;&gt;Complete")=0,$A90&amp;"|"&amp;$B90,""),"")</f>
        <v>|</v>
      </c>
      <c r="P90" t="str">
        <f ca="1">IF($K90="Yes",COUNTIFS($K$4:$K90,"Yes"),"")</f>
        <v/>
      </c>
      <c r="Q90">
        <f t="shared" ca="1" si="6"/>
        <v>0</v>
      </c>
      <c r="R90" t="str">
        <f ca="1">IF($Q90=1,SUM($Q$4:$Q90),"")</f>
        <v/>
      </c>
    </row>
    <row r="91" spans="1:18" ht="33.75" customHeight="1" x14ac:dyDescent="0.3">
      <c r="A91" s="2"/>
      <c r="B91" s="2"/>
      <c r="C91" s="3"/>
      <c r="D91" s="3"/>
      <c r="E91" s="2"/>
      <c r="F91" s="2"/>
      <c r="G91" s="5"/>
      <c r="H91" s="5"/>
      <c r="I91" s="4"/>
      <c r="J91" s="6" t="str">
        <f t="shared" si="4"/>
        <v/>
      </c>
      <c r="K91" s="4" t="str">
        <f t="shared" ca="1" si="5"/>
        <v/>
      </c>
      <c r="L91" s="7" t="str">
        <f>IF(I91="Completed","0",IF($H91="","",$H91-'[2]Read Me'!$B$4))</f>
        <v/>
      </c>
      <c r="M91" s="4" t="str">
        <f>IF($I91="Complete","Green",IF($H91="","Amber",IF($H91&lt;'[2]Read Me'!$B$4,"Red",IF($H91-'[2]Read Me'!$B$4&lt;=21,"Amber","Green"))))</f>
        <v>Amber</v>
      </c>
      <c r="N91" s="3"/>
      <c r="O91" t="str">
        <f>IF($I91&lt;&gt;"Complete",IF(COUNTIFS($A$4:$A90,$A91,$B$4:$B90,$B91,$I$4:$I90,"&lt;&gt;Complete")=0,$A91&amp;"|"&amp;$B91,""),"")</f>
        <v>|</v>
      </c>
      <c r="P91" t="str">
        <f ca="1">IF($K91="Yes",COUNTIFS($K$4:$K91,"Yes"),"")</f>
        <v/>
      </c>
      <c r="Q91">
        <f t="shared" ca="1" si="6"/>
        <v>0</v>
      </c>
      <c r="R91" t="str">
        <f ca="1">IF($Q91=1,SUM($Q$4:$Q91),"")</f>
        <v/>
      </c>
    </row>
    <row r="92" spans="1:18" ht="33.75" customHeight="1" x14ac:dyDescent="0.3">
      <c r="A92" s="2"/>
      <c r="B92" s="2"/>
      <c r="C92" s="3"/>
      <c r="D92" s="3"/>
      <c r="E92" s="2"/>
      <c r="F92" s="2"/>
      <c r="G92" s="5"/>
      <c r="H92" s="5"/>
      <c r="I92" s="4"/>
      <c r="J92" s="6" t="str">
        <f t="shared" si="4"/>
        <v/>
      </c>
      <c r="K92" s="4" t="str">
        <f t="shared" ca="1" si="5"/>
        <v/>
      </c>
      <c r="L92" s="7" t="str">
        <f>IF(I92="Completed","0",IF($H92="","",$H92-'[2]Read Me'!$B$4))</f>
        <v/>
      </c>
      <c r="M92" s="4" t="str">
        <f>IF($I92="Complete","Green",IF($H92="","Amber",IF($H92&lt;'[2]Read Me'!$B$4,"Red",IF($H92-'[2]Read Me'!$B$4&lt;=21,"Amber","Green"))))</f>
        <v>Amber</v>
      </c>
      <c r="N92" s="3"/>
      <c r="O92" t="str">
        <f>IF($I92&lt;&gt;"Complete",IF(COUNTIFS($A$4:$A91,$A92,$B$4:$B91,$B92,$I$4:$I91,"&lt;&gt;Complete")=0,$A92&amp;"|"&amp;$B92,""),"")</f>
        <v>|</v>
      </c>
      <c r="P92" t="str">
        <f ca="1">IF($K92="Yes",COUNTIFS($K$4:$K92,"Yes"),"")</f>
        <v/>
      </c>
      <c r="Q92">
        <f t="shared" ca="1" si="6"/>
        <v>0</v>
      </c>
      <c r="R92" t="str">
        <f ca="1">IF($Q92=1,SUM($Q$4:$Q92),"")</f>
        <v/>
      </c>
    </row>
    <row r="93" spans="1:18" ht="33.75" customHeight="1" x14ac:dyDescent="0.3">
      <c r="A93" s="2"/>
      <c r="B93" s="2"/>
      <c r="C93" s="3"/>
      <c r="D93" s="3"/>
      <c r="E93" s="2"/>
      <c r="F93" s="2"/>
      <c r="G93" s="5"/>
      <c r="H93" s="5"/>
      <c r="I93" s="4"/>
      <c r="J93" s="6" t="str">
        <f t="shared" si="4"/>
        <v/>
      </c>
      <c r="K93" s="4" t="str">
        <f t="shared" ca="1" si="5"/>
        <v/>
      </c>
      <c r="L93" s="7" t="str">
        <f>IF(I93="Completed","0",IF($H93="","",$H93-'[2]Read Me'!$B$4))</f>
        <v/>
      </c>
      <c r="M93" s="4" t="str">
        <f>IF($I93="Complete","Green",IF($H93="","Amber",IF($H93&lt;'[2]Read Me'!$B$4,"Red",IF($H93-'[2]Read Me'!$B$4&lt;=21,"Amber","Green"))))</f>
        <v>Amber</v>
      </c>
      <c r="N93" s="3"/>
      <c r="O93" t="str">
        <f>IF($I93&lt;&gt;"Complete",IF(COUNTIFS($A$4:$A92,$A93,$B$4:$B92,$B93,$I$4:$I92,"&lt;&gt;Complete")=0,$A93&amp;"|"&amp;$B93,""),"")</f>
        <v>|</v>
      </c>
      <c r="P93" t="str">
        <f ca="1">IF($K93="Yes",COUNTIFS($K$4:$K93,"Yes"),"")</f>
        <v/>
      </c>
      <c r="Q93">
        <f t="shared" ca="1" si="6"/>
        <v>0</v>
      </c>
      <c r="R93" t="str">
        <f ca="1">IF($Q93=1,SUM($Q$4:$Q93),"")</f>
        <v/>
      </c>
    </row>
    <row r="94" spans="1:18" ht="33.75" customHeight="1" x14ac:dyDescent="0.3">
      <c r="A94" s="2"/>
      <c r="B94" s="2"/>
      <c r="C94" s="3"/>
      <c r="D94" s="3"/>
      <c r="E94" s="2"/>
      <c r="F94" s="2"/>
      <c r="G94" s="5"/>
      <c r="H94" s="5"/>
      <c r="I94" s="4"/>
      <c r="J94" s="6" t="str">
        <f t="shared" si="4"/>
        <v/>
      </c>
      <c r="K94" s="4" t="str">
        <f t="shared" ca="1" si="5"/>
        <v/>
      </c>
      <c r="L94" s="7" t="str">
        <f>IF(I94="Completed","0",IF($H94="","",$H94-'[2]Read Me'!$B$4))</f>
        <v/>
      </c>
      <c r="M94" s="4" t="str">
        <f>IF($I94="Complete","Green",IF($H94="","Amber",IF($H94&lt;'[2]Read Me'!$B$4,"Red",IF($H94-'[2]Read Me'!$B$4&lt;=21,"Amber","Green"))))</f>
        <v>Amber</v>
      </c>
      <c r="N94" s="3"/>
      <c r="O94" t="str">
        <f>IF($I94&lt;&gt;"Complete",IF(COUNTIFS($A$4:$A93,$A94,$B$4:$B93,$B94,$I$4:$I93,"&lt;&gt;Complete")=0,$A94&amp;"|"&amp;$B94,""),"")</f>
        <v>|</v>
      </c>
      <c r="P94" t="str">
        <f ca="1">IF($K94="Yes",COUNTIFS($K$4:$K94,"Yes"),"")</f>
        <v/>
      </c>
      <c r="Q94">
        <f t="shared" ca="1" si="6"/>
        <v>0</v>
      </c>
      <c r="R94" t="str">
        <f ca="1">IF($Q94=1,SUM($Q$4:$Q94),"")</f>
        <v/>
      </c>
    </row>
    <row r="95" spans="1:18" ht="33.75" customHeight="1" x14ac:dyDescent="0.3">
      <c r="A95" s="2"/>
      <c r="B95" s="2"/>
      <c r="C95" s="3"/>
      <c r="D95" s="3"/>
      <c r="E95" s="2"/>
      <c r="F95" s="2"/>
      <c r="G95" s="5"/>
      <c r="H95" s="5"/>
      <c r="I95" s="4"/>
      <c r="J95" s="6" t="str">
        <f t="shared" si="4"/>
        <v/>
      </c>
      <c r="K95" s="4" t="str">
        <f t="shared" ca="1" si="5"/>
        <v/>
      </c>
      <c r="L95" s="7" t="str">
        <f>IF(I95="Completed","0",IF($H95="","",$H95-'[2]Read Me'!$B$4))</f>
        <v/>
      </c>
      <c r="M95" s="4" t="str">
        <f>IF($I95="Complete","Green",IF($H95="","Amber",IF($H95&lt;'[2]Read Me'!$B$4,"Red",IF($H95-'[2]Read Me'!$B$4&lt;=21,"Amber","Green"))))</f>
        <v>Amber</v>
      </c>
      <c r="N95" s="3"/>
      <c r="O95" t="str">
        <f>IF($I95&lt;&gt;"Complete",IF(COUNTIFS($A$4:$A94,$A95,$B$4:$B94,$B95,$I$4:$I94,"&lt;&gt;Complete")=0,$A95&amp;"|"&amp;$B95,""),"")</f>
        <v>|</v>
      </c>
      <c r="P95" t="str">
        <f ca="1">IF($K95="Yes",COUNTIFS($K$4:$K95,"Yes"),"")</f>
        <v/>
      </c>
      <c r="Q95">
        <f t="shared" ca="1" si="6"/>
        <v>0</v>
      </c>
      <c r="R95" t="str">
        <f ca="1">IF($Q95=1,SUM($Q$4:$Q95),"")</f>
        <v/>
      </c>
    </row>
    <row r="96" spans="1:18" ht="33.75" customHeight="1" x14ac:dyDescent="0.3">
      <c r="A96" s="2"/>
      <c r="B96" s="2"/>
      <c r="C96" s="3"/>
      <c r="D96" s="3"/>
      <c r="E96" s="2"/>
      <c r="F96" s="2"/>
      <c r="G96" s="5"/>
      <c r="H96" s="5"/>
      <c r="I96" s="4"/>
      <c r="J96" s="6" t="str">
        <f t="shared" si="4"/>
        <v/>
      </c>
      <c r="K96" s="4" t="str">
        <f t="shared" ca="1" si="5"/>
        <v/>
      </c>
      <c r="L96" s="7" t="str">
        <f>IF(I96="Completed","0",IF($H96="","",$H96-'[2]Read Me'!$B$4))</f>
        <v/>
      </c>
      <c r="M96" s="4" t="str">
        <f>IF($I96="Complete","Green",IF($H96="","Amber",IF($H96&lt;'[2]Read Me'!$B$4,"Red",IF($H96-'[2]Read Me'!$B$4&lt;=21,"Amber","Green"))))</f>
        <v>Amber</v>
      </c>
      <c r="N96" s="3"/>
      <c r="O96" t="str">
        <f>IF($I96&lt;&gt;"Complete",IF(COUNTIFS($A$4:$A95,$A96,$B$4:$B95,$B96,$I$4:$I95,"&lt;&gt;Complete")=0,$A96&amp;"|"&amp;$B96,""),"")</f>
        <v>|</v>
      </c>
      <c r="P96" t="str">
        <f ca="1">IF($K96="Yes",COUNTIFS($K$4:$K96,"Yes"),"")</f>
        <v/>
      </c>
      <c r="Q96">
        <f t="shared" ca="1" si="6"/>
        <v>0</v>
      </c>
      <c r="R96" t="str">
        <f ca="1">IF($Q96=1,SUM($Q$4:$Q96),"")</f>
        <v/>
      </c>
    </row>
    <row r="97" spans="1:18" ht="33.75" customHeight="1" x14ac:dyDescent="0.3">
      <c r="A97" s="2"/>
      <c r="B97" s="2"/>
      <c r="C97" s="3"/>
      <c r="D97" s="3"/>
      <c r="E97" s="2"/>
      <c r="F97" s="2"/>
      <c r="G97" s="5"/>
      <c r="H97" s="5"/>
      <c r="I97" s="4"/>
      <c r="J97" s="6" t="str">
        <f t="shared" si="4"/>
        <v/>
      </c>
      <c r="K97" s="4" t="str">
        <f t="shared" ca="1" si="5"/>
        <v/>
      </c>
      <c r="L97" s="7" t="str">
        <f>IF(I97="Completed","0",IF($H97="","",$H97-'[2]Read Me'!$B$4))</f>
        <v/>
      </c>
      <c r="M97" s="4" t="str">
        <f>IF($I97="Complete","Green",IF($H97="","Amber",IF($H97&lt;'[2]Read Me'!$B$4,"Red",IF($H97-'[2]Read Me'!$B$4&lt;=21,"Amber","Green"))))</f>
        <v>Amber</v>
      </c>
      <c r="N97" s="3"/>
      <c r="O97" t="str">
        <f>IF($I97&lt;&gt;"Complete",IF(COUNTIFS($A$4:$A96,$A97,$B$4:$B96,$B97,$I$4:$I96,"&lt;&gt;Complete")=0,$A97&amp;"|"&amp;$B97,""),"")</f>
        <v>|</v>
      </c>
      <c r="P97" t="str">
        <f ca="1">IF($K97="Yes",COUNTIFS($K$4:$K97,"Yes"),"")</f>
        <v/>
      </c>
      <c r="Q97">
        <f t="shared" ca="1" si="6"/>
        <v>0</v>
      </c>
      <c r="R97" t="str">
        <f ca="1">IF($Q97=1,SUM($Q$4:$Q97),"")</f>
        <v/>
      </c>
    </row>
    <row r="98" spans="1:18" ht="33.75" customHeight="1" x14ac:dyDescent="0.3">
      <c r="A98" s="2"/>
      <c r="B98" s="2"/>
      <c r="C98" s="3"/>
      <c r="D98" s="3"/>
      <c r="E98" s="2"/>
      <c r="F98" s="2"/>
      <c r="G98" s="5"/>
      <c r="H98" s="5"/>
      <c r="I98" s="4"/>
      <c r="J98" s="6" t="str">
        <f t="shared" si="4"/>
        <v/>
      </c>
      <c r="K98" s="4" t="str">
        <f t="shared" ca="1" si="5"/>
        <v/>
      </c>
      <c r="L98" s="7" t="str">
        <f>IF(I98="Completed","0",IF($H98="","",$H98-'[2]Read Me'!$B$4))</f>
        <v/>
      </c>
      <c r="M98" s="4" t="str">
        <f>IF($I98="Complete","Green",IF($H98="","Amber",IF($H98&lt;'[2]Read Me'!$B$4,"Red",IF($H98-'[2]Read Me'!$B$4&lt;=21,"Amber","Green"))))</f>
        <v>Amber</v>
      </c>
      <c r="N98" s="3"/>
      <c r="O98" t="str">
        <f>IF($I98&lt;&gt;"Complete",IF(COUNTIFS($A$4:$A97,$A98,$B$4:$B97,$B98,$I$4:$I97,"&lt;&gt;Complete")=0,$A98&amp;"|"&amp;$B98,""),"")</f>
        <v>|</v>
      </c>
      <c r="P98" t="str">
        <f ca="1">IF($K98="Yes",COUNTIFS($K$4:$K98,"Yes"),"")</f>
        <v/>
      </c>
      <c r="Q98">
        <f t="shared" ca="1" si="6"/>
        <v>0</v>
      </c>
      <c r="R98" t="str">
        <f ca="1">IF($Q98=1,SUM($Q$4:$Q98),"")</f>
        <v/>
      </c>
    </row>
    <row r="99" spans="1:18" ht="33.75" customHeight="1" x14ac:dyDescent="0.3">
      <c r="A99" s="2"/>
      <c r="B99" s="2"/>
      <c r="C99" s="3"/>
      <c r="D99" s="3"/>
      <c r="E99" s="2"/>
      <c r="F99" s="2"/>
      <c r="G99" s="5"/>
      <c r="H99" s="5"/>
      <c r="I99" s="4"/>
      <c r="J99" s="6" t="str">
        <f t="shared" si="4"/>
        <v/>
      </c>
      <c r="K99" s="4" t="str">
        <f t="shared" ca="1" si="5"/>
        <v/>
      </c>
      <c r="L99" s="7" t="str">
        <f>IF(I99="Completed","0",IF($H99="","",$H99-'[2]Read Me'!$B$4))</f>
        <v/>
      </c>
      <c r="M99" s="4" t="str">
        <f>IF($I99="Complete","Green",IF($H99="","Amber",IF($H99&lt;'[2]Read Me'!$B$4,"Red",IF($H99-'[2]Read Me'!$B$4&lt;=21,"Amber","Green"))))</f>
        <v>Amber</v>
      </c>
      <c r="N99" s="3"/>
      <c r="O99" t="str">
        <f>IF($I99&lt;&gt;"Complete",IF(COUNTIFS($A$4:$A98,$A99,$B$4:$B98,$B99,$I$4:$I98,"&lt;&gt;Complete")=0,$A99&amp;"|"&amp;$B99,""),"")</f>
        <v>|</v>
      </c>
      <c r="P99" t="str">
        <f ca="1">IF($K99="Yes",COUNTIFS($K$4:$K99,"Yes"),"")</f>
        <v/>
      </c>
      <c r="Q99">
        <f t="shared" ca="1" si="6"/>
        <v>0</v>
      </c>
      <c r="R99" t="str">
        <f ca="1">IF($Q99=1,SUM($Q$4:$Q99),"")</f>
        <v/>
      </c>
    </row>
    <row r="100" spans="1:18" ht="33.75" customHeight="1" x14ac:dyDescent="0.3">
      <c r="A100" s="2"/>
      <c r="B100" s="2"/>
      <c r="C100" s="3"/>
      <c r="D100" s="3"/>
      <c r="E100" s="2"/>
      <c r="F100" s="2"/>
      <c r="G100" s="5"/>
      <c r="H100" s="5"/>
      <c r="I100" s="4"/>
      <c r="J100" s="6" t="str">
        <f t="shared" si="4"/>
        <v/>
      </c>
      <c r="K100" s="4" t="str">
        <f t="shared" ca="1" si="5"/>
        <v/>
      </c>
      <c r="L100" s="7" t="str">
        <f>IF(I100="Completed","0",IF($H100="","",$H100-'[2]Read Me'!$B$4))</f>
        <v/>
      </c>
      <c r="M100" s="4" t="str">
        <f>IF($I100="Complete","Green",IF($H100="","Amber",IF($H100&lt;'[2]Read Me'!$B$4,"Red",IF($H100-'[2]Read Me'!$B$4&lt;=21,"Amber","Green"))))</f>
        <v>Amber</v>
      </c>
      <c r="N100" s="3"/>
      <c r="O100" t="str">
        <f>IF($I100&lt;&gt;"Complete",IF(COUNTIFS($A$4:$A99,$A100,$B$4:$B99,$B100,$I$4:$I99,"&lt;&gt;Complete")=0,$A100&amp;"|"&amp;$B100,""),"")</f>
        <v>|</v>
      </c>
      <c r="P100" t="str">
        <f ca="1">IF($K100="Yes",COUNTIFS($K$4:$K100,"Yes"),"")</f>
        <v/>
      </c>
      <c r="Q100">
        <f t="shared" ca="1" si="6"/>
        <v>0</v>
      </c>
      <c r="R100" t="str">
        <f ca="1">IF($Q100=1,SUM($Q$4:$Q100),"")</f>
        <v/>
      </c>
    </row>
    <row r="101" spans="1:18" ht="33.75" customHeight="1" x14ac:dyDescent="0.3">
      <c r="A101" s="2"/>
      <c r="B101" s="2"/>
      <c r="C101" s="3"/>
      <c r="D101" s="3"/>
      <c r="E101" s="2"/>
      <c r="F101" s="2"/>
      <c r="G101" s="5"/>
      <c r="H101" s="5"/>
      <c r="I101" s="4"/>
      <c r="J101" s="6" t="str">
        <f t="shared" si="4"/>
        <v/>
      </c>
      <c r="K101" s="4" t="str">
        <f t="shared" ca="1" si="5"/>
        <v/>
      </c>
      <c r="L101" s="7" t="str">
        <f>IF(I101="Completed","0",IF($H101="","",$H101-'[2]Read Me'!$B$4))</f>
        <v/>
      </c>
      <c r="M101" s="4" t="str">
        <f>IF($I101="Complete","Green",IF($H101="","Amber",IF($H101&lt;'[2]Read Me'!$B$4,"Red",IF($H101-'[2]Read Me'!$B$4&lt;=21,"Amber","Green"))))</f>
        <v>Amber</v>
      </c>
      <c r="N101" s="3"/>
      <c r="O101" t="str">
        <f>IF($I101&lt;&gt;"Complete",IF(COUNTIFS($A$4:$A100,$A101,$B$4:$B100,$B101,$I$4:$I100,"&lt;&gt;Complete")=0,$A101&amp;"|"&amp;$B101,""),"")</f>
        <v>|</v>
      </c>
      <c r="P101" t="str">
        <f ca="1">IF($K101="Yes",COUNTIFS($K$4:$K101,"Yes"),"")</f>
        <v/>
      </c>
      <c r="Q101">
        <f t="shared" ca="1" si="6"/>
        <v>0</v>
      </c>
      <c r="R101" t="str">
        <f ca="1">IF($Q101=1,SUM($Q$4:$Q101),"")</f>
        <v/>
      </c>
    </row>
    <row r="102" spans="1:18" ht="33.75" customHeight="1" x14ac:dyDescent="0.3">
      <c r="A102" s="2"/>
      <c r="B102" s="2"/>
      <c r="C102" s="3"/>
      <c r="D102" s="3"/>
      <c r="E102" s="2"/>
      <c r="F102" s="2"/>
      <c r="G102" s="5"/>
      <c r="H102" s="5"/>
      <c r="I102" s="4"/>
      <c r="J102" s="6" t="str">
        <f t="shared" si="4"/>
        <v/>
      </c>
      <c r="K102" s="4" t="str">
        <f t="shared" ca="1" si="5"/>
        <v/>
      </c>
      <c r="L102" s="7" t="str">
        <f>IF(I102="Completed","0",IF($H102="","",$H102-'[2]Read Me'!$B$4))</f>
        <v/>
      </c>
      <c r="M102" s="4" t="str">
        <f>IF($I102="Complete","Green",IF($H102="","Amber",IF($H102&lt;'[2]Read Me'!$B$4,"Red",IF($H102-'[2]Read Me'!$B$4&lt;=21,"Amber","Green"))))</f>
        <v>Amber</v>
      </c>
      <c r="N102" s="3"/>
      <c r="O102" t="str">
        <f>IF($I102&lt;&gt;"Complete",IF(COUNTIFS($A$4:$A101,$A102,$B$4:$B101,$B102,$I$4:$I101,"&lt;&gt;Complete")=0,$A102&amp;"|"&amp;$B102,""),"")</f>
        <v>|</v>
      </c>
      <c r="P102" t="str">
        <f ca="1">IF($K102="Yes",COUNTIFS($K$4:$K102,"Yes"),"")</f>
        <v/>
      </c>
      <c r="Q102">
        <f t="shared" ca="1" si="6"/>
        <v>0</v>
      </c>
      <c r="R102" t="str">
        <f ca="1">IF($Q102=1,SUM($Q$4:$Q102),"")</f>
        <v/>
      </c>
    </row>
    <row r="103" spans="1:18" ht="33.75" customHeight="1" x14ac:dyDescent="0.3">
      <c r="A103" s="2"/>
      <c r="B103" s="2"/>
      <c r="C103" s="3"/>
      <c r="D103" s="3"/>
      <c r="E103" s="2"/>
      <c r="F103" s="2"/>
      <c r="G103" s="5"/>
      <c r="H103" s="5"/>
      <c r="I103" s="4"/>
      <c r="J103" s="6" t="str">
        <f t="shared" si="4"/>
        <v/>
      </c>
      <c r="K103" s="4" t="str">
        <f t="shared" ca="1" si="5"/>
        <v/>
      </c>
      <c r="L103" s="7" t="str">
        <f>IF(I103="Completed","0",IF($H103="","",$H103-'[2]Read Me'!$B$4))</f>
        <v/>
      </c>
      <c r="M103" s="4" t="str">
        <f>IF($I103="Complete","Green",IF($H103="","Amber",IF($H103&lt;'[2]Read Me'!$B$4,"Red",IF($H103-'[2]Read Me'!$B$4&lt;=21,"Amber","Green"))))</f>
        <v>Amber</v>
      </c>
      <c r="N103" s="3"/>
      <c r="O103" t="str">
        <f>IF($I103&lt;&gt;"Complete",IF(COUNTIFS($A$4:$A102,$A103,$B$4:$B102,$B103,$I$4:$I102,"&lt;&gt;Complete")=0,$A103&amp;"|"&amp;$B103,""),"")</f>
        <v>|</v>
      </c>
      <c r="P103" t="str">
        <f ca="1">IF($K103="Yes",COUNTIFS($K$4:$K103,"Yes"),"")</f>
        <v/>
      </c>
      <c r="Q103">
        <f t="shared" ca="1" si="6"/>
        <v>0</v>
      </c>
      <c r="R103" t="str">
        <f ca="1">IF($Q103=1,SUM($Q$4:$Q103),"")</f>
        <v/>
      </c>
    </row>
    <row r="104" spans="1:18" ht="33.75" customHeight="1" x14ac:dyDescent="0.3">
      <c r="A104" s="2"/>
      <c r="B104" s="2"/>
      <c r="C104" s="3"/>
      <c r="D104" s="3"/>
      <c r="E104" s="2"/>
      <c r="F104" s="2"/>
      <c r="G104" s="5"/>
      <c r="H104" s="5"/>
      <c r="I104" s="4"/>
      <c r="J104" s="6" t="str">
        <f t="shared" si="4"/>
        <v/>
      </c>
      <c r="K104" s="4" t="str">
        <f t="shared" ca="1" si="5"/>
        <v/>
      </c>
      <c r="L104" s="7" t="str">
        <f>IF(I104="Completed","0",IF($H104="","",$H104-'[2]Read Me'!$B$4))</f>
        <v/>
      </c>
      <c r="M104" s="4" t="str">
        <f>IF($I104="Complete","Green",IF($H104="","Amber",IF($H104&lt;'[2]Read Me'!$B$4,"Red",IF($H104-'[2]Read Me'!$B$4&lt;=21,"Amber","Green"))))</f>
        <v>Amber</v>
      </c>
      <c r="N104" s="3"/>
      <c r="O104" t="str">
        <f>IF($I104&lt;&gt;"Complete",IF(COUNTIFS($A$4:$A103,$A104,$B$4:$B103,$B104,$I$4:$I103,"&lt;&gt;Complete")=0,$A104&amp;"|"&amp;$B104,""),"")</f>
        <v>|</v>
      </c>
      <c r="P104" t="str">
        <f ca="1">IF($K104="Yes",COUNTIFS($K$4:$K104,"Yes"),"")</f>
        <v/>
      </c>
      <c r="Q104">
        <f t="shared" ca="1" si="6"/>
        <v>0</v>
      </c>
      <c r="R104" t="str">
        <f ca="1">IF($Q104=1,SUM($Q$4:$Q104),"")</f>
        <v/>
      </c>
    </row>
    <row r="105" spans="1:18" ht="33.75" customHeight="1" x14ac:dyDescent="0.3">
      <c r="A105" s="2"/>
      <c r="B105" s="2"/>
      <c r="C105" s="3"/>
      <c r="D105" s="3"/>
      <c r="E105" s="2"/>
      <c r="F105" s="2"/>
      <c r="G105" s="5"/>
      <c r="H105" s="5"/>
      <c r="I105" s="4"/>
      <c r="J105" s="6" t="str">
        <f t="shared" si="4"/>
        <v/>
      </c>
      <c r="K105" s="4" t="str">
        <f t="shared" ca="1" si="5"/>
        <v/>
      </c>
      <c r="L105" s="7" t="str">
        <f>IF(I105="Completed","0",IF($H105="","",$H105-'[2]Read Me'!$B$4))</f>
        <v/>
      </c>
      <c r="M105" s="4" t="str">
        <f>IF($I105="Complete","Green",IF($H105="","Amber",IF($H105&lt;'[2]Read Me'!$B$4,"Red",IF($H105-'[2]Read Me'!$B$4&lt;=21,"Amber","Green"))))</f>
        <v>Amber</v>
      </c>
      <c r="N105" s="3"/>
      <c r="O105" t="str">
        <f>IF($I105&lt;&gt;"Complete",IF(COUNTIFS($A$4:$A104,$A105,$B$4:$B104,$B105,$I$4:$I104,"&lt;&gt;Complete")=0,$A105&amp;"|"&amp;$B105,""),"")</f>
        <v>|</v>
      </c>
      <c r="P105" t="str">
        <f ca="1">IF($K105="Yes",COUNTIFS($K$4:$K105,"Yes"),"")</f>
        <v/>
      </c>
      <c r="Q105">
        <f t="shared" ca="1" si="6"/>
        <v>0</v>
      </c>
      <c r="R105" t="str">
        <f ca="1">IF($Q105=1,SUM($Q$4:$Q105),"")</f>
        <v/>
      </c>
    </row>
    <row r="106" spans="1:18" ht="22.5" customHeight="1" x14ac:dyDescent="0.3">
      <c r="A106" s="2"/>
      <c r="B106" s="2"/>
      <c r="C106" s="3"/>
      <c r="D106" s="3"/>
      <c r="E106" s="2"/>
      <c r="F106" s="2"/>
      <c r="G106" s="5"/>
      <c r="H106" s="5"/>
      <c r="I106" s="4"/>
      <c r="J106" s="6" t="str">
        <f t="shared" si="4"/>
        <v/>
      </c>
      <c r="K106" s="4" t="str">
        <f t="shared" ca="1" si="5"/>
        <v/>
      </c>
      <c r="L106" s="7" t="str">
        <f>IF(I106="Completed","0",IF($H106="","",$H106-'[2]Read Me'!$B$4))</f>
        <v/>
      </c>
      <c r="M106" s="4" t="str">
        <f>IF($I106="Complete","Green",IF($H106="","Amber",IF($H106&lt;'[2]Read Me'!$B$4,"Red",IF($H106-'[2]Read Me'!$B$4&lt;=21,"Amber","Green"))))</f>
        <v>Amber</v>
      </c>
      <c r="N106" s="3"/>
      <c r="O106" t="str">
        <f>IF($I106&lt;&gt;"Complete",IF(COUNTIFS($A$4:$A105,$A106,$B$4:$B105,$B106,$I$4:$I105,"&lt;&gt;Complete")=0,$A106&amp;"|"&amp;$B106,""),"")</f>
        <v>|</v>
      </c>
      <c r="P106" t="str">
        <f ca="1">IF($K106="Yes",COUNTIFS($K$4:$K106,"Yes"),"")</f>
        <v/>
      </c>
      <c r="Q106">
        <f t="shared" ca="1" si="6"/>
        <v>0</v>
      </c>
      <c r="R106" t="str">
        <f ca="1">IF($Q106=1,SUM($Q$4:$Q106),"")</f>
        <v/>
      </c>
    </row>
    <row r="107" spans="1:18" ht="22.5" customHeight="1" x14ac:dyDescent="0.3">
      <c r="A107" s="2"/>
      <c r="B107" s="2"/>
      <c r="C107" s="3"/>
      <c r="D107" s="3"/>
      <c r="E107" s="2"/>
      <c r="F107" s="2"/>
      <c r="G107" s="5"/>
      <c r="H107" s="5"/>
      <c r="I107" s="4"/>
      <c r="J107" s="6" t="str">
        <f t="shared" si="4"/>
        <v/>
      </c>
      <c r="K107" s="4" t="str">
        <f t="shared" ca="1" si="5"/>
        <v/>
      </c>
      <c r="L107" s="7" t="str">
        <f>IF(I107="Completed","0",IF($H107="","",$H107-'[2]Read Me'!$B$4))</f>
        <v/>
      </c>
      <c r="M107" s="4" t="str">
        <f>IF($I107="Complete","Green",IF($H107="","Amber",IF($H107&lt;'[2]Read Me'!$B$4,"Red",IF($H107-'[2]Read Me'!$B$4&lt;=21,"Amber","Green"))))</f>
        <v>Amber</v>
      </c>
      <c r="N107" s="3"/>
      <c r="O107" t="str">
        <f>IF($I107&lt;&gt;"Complete",IF(COUNTIFS($A$4:$A106,$A107,$B$4:$B106,$B107,$I$4:$I106,"&lt;&gt;Complete")=0,$A107&amp;"|"&amp;$B107,""),"")</f>
        <v>|</v>
      </c>
      <c r="P107" t="str">
        <f ca="1">IF($K107="Yes",COUNTIFS($K$4:$K107,"Yes"),"")</f>
        <v/>
      </c>
      <c r="Q107">
        <f t="shared" ca="1" si="6"/>
        <v>0</v>
      </c>
      <c r="R107" t="str">
        <f ca="1">IF($Q107=1,SUM($Q$4:$Q107),"")</f>
        <v/>
      </c>
    </row>
    <row r="108" spans="1:18" ht="22.5" customHeight="1" x14ac:dyDescent="0.3">
      <c r="A108" s="2"/>
      <c r="B108" s="2"/>
      <c r="C108" s="3"/>
      <c r="D108" s="3"/>
      <c r="E108" s="2"/>
      <c r="F108" s="2"/>
      <c r="G108" s="5"/>
      <c r="H108" s="5"/>
      <c r="I108" s="4"/>
      <c r="J108" s="6" t="str">
        <f t="shared" si="4"/>
        <v/>
      </c>
      <c r="K108" s="4" t="str">
        <f t="shared" ca="1" si="5"/>
        <v/>
      </c>
      <c r="L108" s="7" t="str">
        <f>IF(I108="Completed","0",IF($H108="","",$H108-'[2]Read Me'!$B$4))</f>
        <v/>
      </c>
      <c r="M108" s="4" t="str">
        <f>IF($I108="Complete","Green",IF($H108="","Amber",IF($H108&lt;'[2]Read Me'!$B$4,"Red",IF($H108-'[2]Read Me'!$B$4&lt;=21,"Amber","Green"))))</f>
        <v>Amber</v>
      </c>
      <c r="N108" s="3"/>
      <c r="O108" t="str">
        <f>IF($I108&lt;&gt;"Complete",IF(COUNTIFS($A$4:$A107,$A108,$B$4:$B107,$B108,$I$4:$I107,"&lt;&gt;Complete")=0,$A108&amp;"|"&amp;$B108,""),"")</f>
        <v>|</v>
      </c>
      <c r="P108" t="str">
        <f ca="1">IF($K108="Yes",COUNTIFS($K$4:$K108,"Yes"),"")</f>
        <v/>
      </c>
      <c r="Q108">
        <f t="shared" ca="1" si="6"/>
        <v>0</v>
      </c>
      <c r="R108" t="str">
        <f ca="1">IF($Q108=1,SUM($Q$4:$Q108),"")</f>
        <v/>
      </c>
    </row>
    <row r="109" spans="1:18" ht="22.5" customHeight="1" x14ac:dyDescent="0.3">
      <c r="A109" s="2"/>
      <c r="B109" s="2"/>
      <c r="C109" s="3"/>
      <c r="D109" s="3"/>
      <c r="E109" s="2"/>
      <c r="F109" s="2"/>
      <c r="G109" s="5"/>
      <c r="H109" s="5"/>
      <c r="I109" s="4"/>
      <c r="J109" s="6" t="str">
        <f t="shared" si="4"/>
        <v/>
      </c>
      <c r="K109" s="4" t="str">
        <f t="shared" ca="1" si="5"/>
        <v/>
      </c>
      <c r="L109" s="7" t="str">
        <f>IF(I109="Completed","0",IF($H109="","",$H109-'[2]Read Me'!$B$4))</f>
        <v/>
      </c>
      <c r="M109" s="4" t="str">
        <f>IF($I109="Complete","Green",IF($H109="","Amber",IF($H109&lt;'[2]Read Me'!$B$4,"Red",IF($H109-'[2]Read Me'!$B$4&lt;=21,"Amber","Green"))))</f>
        <v>Amber</v>
      </c>
      <c r="N109" s="3"/>
      <c r="O109" t="str">
        <f>IF($I109&lt;&gt;"Complete",IF(COUNTIFS($A$4:$A108,$A109,$B$4:$B108,$B109,$I$4:$I108,"&lt;&gt;Complete")=0,$A109&amp;"|"&amp;$B109,""),"")</f>
        <v>|</v>
      </c>
      <c r="P109" t="str">
        <f ca="1">IF($K109="Yes",COUNTIFS($K$4:$K109,"Yes"),"")</f>
        <v/>
      </c>
      <c r="Q109">
        <f t="shared" ca="1" si="6"/>
        <v>0</v>
      </c>
      <c r="R109" t="str">
        <f ca="1">IF($Q109=1,SUM($Q$4:$Q109),"")</f>
        <v/>
      </c>
    </row>
    <row r="110" spans="1:18" ht="22.5" customHeight="1" x14ac:dyDescent="0.3">
      <c r="A110" s="2"/>
      <c r="B110" s="2"/>
      <c r="C110" s="3"/>
      <c r="D110" s="3"/>
      <c r="E110" s="2"/>
      <c r="F110" s="2"/>
      <c r="G110" s="5"/>
      <c r="H110" s="5"/>
      <c r="I110" s="4"/>
      <c r="J110" s="6" t="str">
        <f t="shared" si="4"/>
        <v/>
      </c>
      <c r="K110" s="4" t="str">
        <f t="shared" ca="1" si="5"/>
        <v/>
      </c>
      <c r="L110" s="7" t="str">
        <f>IF(I110="Completed","0",IF($H110="","",$H110-'[2]Read Me'!$B$4))</f>
        <v/>
      </c>
      <c r="M110" s="4" t="str">
        <f>IF($I110="Complete","Green",IF($H110="","Amber",IF($H110&lt;'[2]Read Me'!$B$4,"Red",IF($H110-'[2]Read Me'!$B$4&lt;=21,"Amber","Green"))))</f>
        <v>Amber</v>
      </c>
      <c r="N110" s="3"/>
      <c r="O110" t="str">
        <f>IF($I110&lt;&gt;"Complete",IF(COUNTIFS($A$4:$A109,$A110,$B$4:$B109,$B110,$I$4:$I109,"&lt;&gt;Complete")=0,$A110&amp;"|"&amp;$B110,""),"")</f>
        <v>|</v>
      </c>
      <c r="P110" t="str">
        <f ca="1">IF($K110="Yes",COUNTIFS($K$4:$K110,"Yes"),"")</f>
        <v/>
      </c>
      <c r="Q110">
        <f t="shared" ca="1" si="6"/>
        <v>0</v>
      </c>
      <c r="R110" t="str">
        <f ca="1">IF($Q110=1,SUM($Q$4:$Q110),"")</f>
        <v/>
      </c>
    </row>
    <row r="111" spans="1:18" ht="22.5" customHeight="1" x14ac:dyDescent="0.3">
      <c r="A111" s="2"/>
      <c r="B111" s="2"/>
      <c r="C111" s="3"/>
      <c r="D111" s="3"/>
      <c r="E111" s="2"/>
      <c r="F111" s="2"/>
      <c r="G111" s="5"/>
      <c r="H111" s="5"/>
      <c r="I111" s="4"/>
      <c r="J111" s="6" t="str">
        <f t="shared" si="4"/>
        <v/>
      </c>
      <c r="K111" s="4" t="str">
        <f t="shared" ca="1" si="5"/>
        <v/>
      </c>
      <c r="L111" s="7" t="str">
        <f>IF(I111="Completed","0",IF($H111="","",$H111-'[2]Read Me'!$B$4))</f>
        <v/>
      </c>
      <c r="M111" s="4" t="str">
        <f>IF($I111="Complete","Green",IF($H111="","Amber",IF($H111&lt;'[2]Read Me'!$B$4,"Red",IF($H111-'[2]Read Me'!$B$4&lt;=21,"Amber","Green"))))</f>
        <v>Amber</v>
      </c>
      <c r="N111" s="3"/>
      <c r="O111" t="str">
        <f>IF($I111&lt;&gt;"Complete",IF(COUNTIFS($A$4:$A110,$A111,$B$4:$B110,$B111,$I$4:$I110,"&lt;&gt;Complete")=0,$A111&amp;"|"&amp;$B111,""),"")</f>
        <v>|</v>
      </c>
      <c r="P111" t="str">
        <f ca="1">IF($K111="Yes",COUNTIFS($K$4:$K111,"Yes"),"")</f>
        <v/>
      </c>
      <c r="Q111">
        <f t="shared" ca="1" si="6"/>
        <v>0</v>
      </c>
      <c r="R111" t="str">
        <f ca="1">IF($Q111=1,SUM($Q$4:$Q111),"")</f>
        <v/>
      </c>
    </row>
    <row r="112" spans="1:18" ht="22.5" customHeight="1" x14ac:dyDescent="0.3">
      <c r="A112" s="2"/>
      <c r="B112" s="2"/>
      <c r="C112" s="3"/>
      <c r="D112" s="3"/>
      <c r="E112" s="2"/>
      <c r="F112" s="2"/>
      <c r="G112" s="5"/>
      <c r="H112" s="5"/>
      <c r="I112" s="4"/>
      <c r="J112" s="6" t="str">
        <f t="shared" si="4"/>
        <v/>
      </c>
      <c r="K112" s="4" t="str">
        <f t="shared" ca="1" si="5"/>
        <v/>
      </c>
      <c r="L112" s="7" t="str">
        <f>IF(I112="Completed","0",IF($H112="","",$H112-'[2]Read Me'!$B$4))</f>
        <v/>
      </c>
      <c r="M112" s="4" t="str">
        <f>IF($I112="Complete","Green",IF($H112="","Amber",IF($H112&lt;'[2]Read Me'!$B$4,"Red",IF($H112-'[2]Read Me'!$B$4&lt;=21,"Amber","Green"))))</f>
        <v>Amber</v>
      </c>
      <c r="N112" s="3"/>
      <c r="O112" t="str">
        <f>IF($I112&lt;&gt;"Complete",IF(COUNTIFS($A$4:$A111,$A112,$B$4:$B111,$B112,$I$4:$I111,"&lt;&gt;Complete")=0,$A112&amp;"|"&amp;$B112,""),"")</f>
        <v>|</v>
      </c>
      <c r="P112" t="str">
        <f ca="1">IF($K112="Yes",COUNTIFS($K$4:$K112,"Yes"),"")</f>
        <v/>
      </c>
      <c r="Q112">
        <f t="shared" ca="1" si="6"/>
        <v>0</v>
      </c>
      <c r="R112" t="str">
        <f ca="1">IF($Q112=1,SUM($Q$4:$Q112),"")</f>
        <v/>
      </c>
    </row>
    <row r="113" spans="1:18" ht="22.5" customHeight="1" x14ac:dyDescent="0.3">
      <c r="A113" s="2"/>
      <c r="B113" s="2"/>
      <c r="C113" s="3"/>
      <c r="D113" s="3"/>
      <c r="E113" s="2"/>
      <c r="F113" s="2"/>
      <c r="G113" s="5"/>
      <c r="H113" s="5"/>
      <c r="I113" s="4"/>
      <c r="J113" s="6" t="str">
        <f t="shared" si="4"/>
        <v/>
      </c>
      <c r="K113" s="4" t="str">
        <f t="shared" ca="1" si="5"/>
        <v/>
      </c>
      <c r="L113" s="7" t="str">
        <f>IF(I113="Completed","0",IF($H113="","",$H113-'[2]Read Me'!$B$4))</f>
        <v/>
      </c>
      <c r="M113" s="4" t="str">
        <f>IF($I113="Complete","Green",IF($H113="","Amber",IF($H113&lt;'[2]Read Me'!$B$4,"Red",IF($H113-'[2]Read Me'!$B$4&lt;=21,"Amber","Green"))))</f>
        <v>Amber</v>
      </c>
      <c r="N113" s="3"/>
      <c r="O113" t="str">
        <f>IF($I113&lt;&gt;"Complete",IF(COUNTIFS($A$4:$A112,$A113,$B$4:$B112,$B113,$I$4:$I112,"&lt;&gt;Complete")=0,$A113&amp;"|"&amp;$B113,""),"")</f>
        <v>|</v>
      </c>
      <c r="P113" t="str">
        <f ca="1">IF($K113="Yes",COUNTIFS($K$4:$K113,"Yes"),"")</f>
        <v/>
      </c>
      <c r="Q113">
        <f t="shared" ca="1" si="6"/>
        <v>0</v>
      </c>
      <c r="R113" t="str">
        <f ca="1">IF($Q113=1,SUM($Q$4:$Q113),"")</f>
        <v/>
      </c>
    </row>
    <row r="114" spans="1:18" ht="22.5" customHeight="1" x14ac:dyDescent="0.3">
      <c r="A114" s="2"/>
      <c r="B114" s="2"/>
      <c r="C114" s="3"/>
      <c r="D114" s="3"/>
      <c r="E114" s="2"/>
      <c r="F114" s="2"/>
      <c r="G114" s="5"/>
      <c r="H114" s="5"/>
      <c r="I114" s="4"/>
      <c r="J114" s="6" t="str">
        <f t="shared" si="4"/>
        <v/>
      </c>
      <c r="K114" s="4" t="str">
        <f t="shared" ca="1" si="5"/>
        <v/>
      </c>
      <c r="L114" s="7" t="str">
        <f>IF(I114="Completed","0",IF($H114="","",$H114-'[2]Read Me'!$B$4))</f>
        <v/>
      </c>
      <c r="M114" s="4" t="str">
        <f>IF($I114="Complete","Green",IF($H114="","Amber",IF($H114&lt;'[2]Read Me'!$B$4,"Red",IF($H114-'[2]Read Me'!$B$4&lt;=21,"Amber","Green"))))</f>
        <v>Amber</v>
      </c>
      <c r="N114" s="3"/>
      <c r="O114" t="str">
        <f>IF($I114&lt;&gt;"Complete",IF(COUNTIFS($A$4:$A113,$A114,$B$4:$B113,$B114,$I$4:$I113,"&lt;&gt;Complete")=0,$A114&amp;"|"&amp;$B114,""),"")</f>
        <v>|</v>
      </c>
      <c r="P114" t="str">
        <f ca="1">IF($K114="Yes",COUNTIFS($K$4:$K114,"Yes"),"")</f>
        <v/>
      </c>
      <c r="Q114">
        <f t="shared" ca="1" si="6"/>
        <v>0</v>
      </c>
      <c r="R114" t="str">
        <f ca="1">IF($Q114=1,SUM($Q$4:$Q114),"")</f>
        <v/>
      </c>
    </row>
    <row r="115" spans="1:18" ht="22.5" customHeight="1" x14ac:dyDescent="0.3">
      <c r="A115" s="2"/>
      <c r="B115" s="2"/>
      <c r="C115" s="3"/>
      <c r="D115" s="3"/>
      <c r="E115" s="2"/>
      <c r="F115" s="2"/>
      <c r="G115" s="5"/>
      <c r="H115" s="5"/>
      <c r="I115" s="4"/>
      <c r="J115" s="6" t="str">
        <f t="shared" si="4"/>
        <v/>
      </c>
      <c r="K115" s="4" t="str">
        <f t="shared" ca="1" si="5"/>
        <v/>
      </c>
      <c r="L115" s="7" t="str">
        <f>IF(I115="Completed","0",IF($H115="","",$H115-'[2]Read Me'!$B$4))</f>
        <v/>
      </c>
      <c r="M115" s="4" t="str">
        <f>IF($I115="Complete","Green",IF($H115="","Amber",IF($H115&lt;'[2]Read Me'!$B$4,"Red",IF($H115-'[2]Read Me'!$B$4&lt;=21,"Amber","Green"))))</f>
        <v>Amber</v>
      </c>
      <c r="N115" s="3"/>
      <c r="O115" t="str">
        <f>IF($I115&lt;&gt;"Complete",IF(COUNTIFS($A$4:$A114,$A115,$B$4:$B114,$B115,$I$4:$I114,"&lt;&gt;Complete")=0,$A115&amp;"|"&amp;$B115,""),"")</f>
        <v>|</v>
      </c>
      <c r="P115" t="str">
        <f ca="1">IF($K115="Yes",COUNTIFS($K$4:$K115,"Yes"),"")</f>
        <v/>
      </c>
      <c r="Q115">
        <f t="shared" ca="1" si="6"/>
        <v>0</v>
      </c>
      <c r="R115" t="str">
        <f ca="1">IF($Q115=1,SUM($Q$4:$Q115),"")</f>
        <v/>
      </c>
    </row>
    <row r="116" spans="1:18" ht="22.5" customHeight="1" x14ac:dyDescent="0.3">
      <c r="A116" s="2"/>
      <c r="B116" s="2"/>
      <c r="C116" s="3"/>
      <c r="D116" s="3"/>
      <c r="E116" s="2"/>
      <c r="F116" s="2"/>
      <c r="G116" s="5"/>
      <c r="H116" s="5"/>
      <c r="I116" s="4"/>
      <c r="J116" s="6" t="str">
        <f t="shared" si="4"/>
        <v/>
      </c>
      <c r="K116" s="4" t="str">
        <f t="shared" ca="1" si="5"/>
        <v/>
      </c>
      <c r="L116" s="7" t="str">
        <f>IF(I116="Completed","0",IF($H116="","",$H116-'[2]Read Me'!$B$4))</f>
        <v/>
      </c>
      <c r="M116" s="4" t="str">
        <f>IF($I116="Complete","Green",IF($H116="","Amber",IF($H116&lt;'[2]Read Me'!$B$4,"Red",IF($H116-'[2]Read Me'!$B$4&lt;=21,"Amber","Green"))))</f>
        <v>Amber</v>
      </c>
      <c r="N116" s="3"/>
      <c r="O116" t="str">
        <f>IF($I116&lt;&gt;"Complete",IF(COUNTIFS($A$4:$A115,$A116,$B$4:$B115,$B116,$I$4:$I115,"&lt;&gt;Complete")=0,$A116&amp;"|"&amp;$B116,""),"")</f>
        <v>|</v>
      </c>
      <c r="P116" t="str">
        <f ca="1">IF($K116="Yes",COUNTIFS($K$4:$K116,"Yes"),"")</f>
        <v/>
      </c>
      <c r="Q116">
        <f t="shared" ca="1" si="6"/>
        <v>0</v>
      </c>
      <c r="R116" t="str">
        <f ca="1">IF($Q116=1,SUM($Q$4:$Q116),"")</f>
        <v/>
      </c>
    </row>
    <row r="117" spans="1:18" ht="22.5" customHeight="1" x14ac:dyDescent="0.3">
      <c r="A117" s="2"/>
      <c r="B117" s="2"/>
      <c r="C117" s="3"/>
      <c r="D117" s="3"/>
      <c r="E117" s="2"/>
      <c r="F117" s="2"/>
      <c r="G117" s="5"/>
      <c r="H117" s="5"/>
      <c r="I117" s="4"/>
      <c r="J117" s="6" t="str">
        <f t="shared" si="4"/>
        <v/>
      </c>
      <c r="K117" s="4" t="str">
        <f t="shared" ca="1" si="5"/>
        <v/>
      </c>
      <c r="L117" s="7" t="str">
        <f>IF(I117="Completed","0",IF($H117="","",$H117-'[2]Read Me'!$B$4))</f>
        <v/>
      </c>
      <c r="M117" s="4" t="str">
        <f>IF($I117="Complete","Green",IF($H117="","Amber",IF($H117&lt;'[2]Read Me'!$B$4,"Red",IF($H117-'[2]Read Me'!$B$4&lt;=21,"Amber","Green"))))</f>
        <v>Amber</v>
      </c>
      <c r="N117" s="3"/>
      <c r="O117" t="str">
        <f>IF($I117&lt;&gt;"Complete",IF(COUNTIFS($A$4:$A116,$A117,$B$4:$B116,$B117,$I$4:$I116,"&lt;&gt;Complete")=0,$A117&amp;"|"&amp;$B117,""),"")</f>
        <v>|</v>
      </c>
      <c r="P117" t="str">
        <f ca="1">IF($K117="Yes",COUNTIFS($K$4:$K117,"Yes"),"")</f>
        <v/>
      </c>
      <c r="Q117">
        <f t="shared" ca="1" si="6"/>
        <v>0</v>
      </c>
      <c r="R117" t="str">
        <f ca="1">IF($Q117=1,SUM($Q$4:$Q117),"")</f>
        <v/>
      </c>
    </row>
    <row r="118" spans="1:18" ht="22.5" customHeight="1" x14ac:dyDescent="0.3">
      <c r="A118" s="2"/>
      <c r="B118" s="2"/>
      <c r="C118" s="3"/>
      <c r="D118" s="3"/>
      <c r="E118" s="2"/>
      <c r="F118" s="2"/>
      <c r="G118" s="5"/>
      <c r="H118" s="5"/>
      <c r="I118" s="4"/>
      <c r="J118" s="6" t="str">
        <f t="shared" si="4"/>
        <v/>
      </c>
      <c r="K118" s="4" t="str">
        <f t="shared" ca="1" si="5"/>
        <v/>
      </c>
      <c r="L118" s="7" t="str">
        <f>IF(I118="Completed","0",IF($H118="","",$H118-'[2]Read Me'!$B$4))</f>
        <v/>
      </c>
      <c r="M118" s="4" t="str">
        <f>IF($I118="Complete","Green",IF($H118="","Amber",IF($H118&lt;'[2]Read Me'!$B$4,"Red",IF($H118-'[2]Read Me'!$B$4&lt;=21,"Amber","Green"))))</f>
        <v>Amber</v>
      </c>
      <c r="N118" s="3"/>
      <c r="O118" t="str">
        <f>IF($I118&lt;&gt;"Complete",IF(COUNTIFS($A$4:$A117,$A118,$B$4:$B117,$B118,$I$4:$I117,"&lt;&gt;Complete")=0,$A118&amp;"|"&amp;$B118,""),"")</f>
        <v>|</v>
      </c>
      <c r="P118" t="str">
        <f ca="1">IF($K118="Yes",COUNTIFS($K$4:$K118,"Yes"),"")</f>
        <v/>
      </c>
      <c r="Q118">
        <f t="shared" ca="1" si="6"/>
        <v>0</v>
      </c>
      <c r="R118" t="str">
        <f ca="1">IF($Q118=1,SUM($Q$4:$Q118),"")</f>
        <v/>
      </c>
    </row>
    <row r="119" spans="1:18" ht="22.5" customHeight="1" x14ac:dyDescent="0.3">
      <c r="A119" s="2"/>
      <c r="B119" s="2"/>
      <c r="C119" s="3"/>
      <c r="D119" s="3"/>
      <c r="E119" s="2"/>
      <c r="F119" s="2"/>
      <c r="G119" s="5"/>
      <c r="H119" s="5"/>
      <c r="I119" s="4"/>
      <c r="J119" s="6" t="str">
        <f t="shared" si="4"/>
        <v/>
      </c>
      <c r="K119" s="4" t="str">
        <f t="shared" ca="1" si="5"/>
        <v/>
      </c>
      <c r="L119" s="7" t="str">
        <f>IF(I119="Completed","0",IF($H119="","",$H119-'[2]Read Me'!$B$4))</f>
        <v/>
      </c>
      <c r="M119" s="4" t="str">
        <f>IF($I119="Complete","Green",IF($H119="","Amber",IF($H119&lt;'[2]Read Me'!$B$4,"Red",IF($H119-'[2]Read Me'!$B$4&lt;=21,"Amber","Green"))))</f>
        <v>Amber</v>
      </c>
      <c r="N119" s="3"/>
      <c r="O119" t="str">
        <f>IF($I119&lt;&gt;"Complete",IF(COUNTIFS($A$4:$A118,$A119,$B$4:$B118,$B119,$I$4:$I118,"&lt;&gt;Complete")=0,$A119&amp;"|"&amp;$B119,""),"")</f>
        <v>|</v>
      </c>
      <c r="P119" t="str">
        <f ca="1">IF($K119="Yes",COUNTIFS($K$4:$K119,"Yes"),"")</f>
        <v/>
      </c>
      <c r="Q119">
        <f t="shared" ca="1" si="6"/>
        <v>0</v>
      </c>
      <c r="R119" t="str">
        <f ca="1">IF($Q119=1,SUM($Q$4:$Q119),"")</f>
        <v/>
      </c>
    </row>
    <row r="120" spans="1:18" ht="22.5" customHeight="1" x14ac:dyDescent="0.3">
      <c r="A120" s="2"/>
      <c r="B120" s="2"/>
      <c r="C120" s="3"/>
      <c r="D120" s="3"/>
      <c r="E120" s="2"/>
      <c r="F120" s="2"/>
      <c r="G120" s="5"/>
      <c r="H120" s="5"/>
      <c r="I120" s="4"/>
      <c r="J120" s="6" t="str">
        <f t="shared" si="4"/>
        <v/>
      </c>
      <c r="K120" s="4" t="str">
        <f t="shared" ca="1" si="5"/>
        <v/>
      </c>
      <c r="L120" s="7" t="str">
        <f>IF(I120="Completed","0",IF($H120="","",$H120-'[2]Read Me'!$B$4))</f>
        <v/>
      </c>
      <c r="M120" s="4" t="str">
        <f>IF($I120="Complete","Green",IF($H120="","Amber",IF($H120&lt;'[2]Read Me'!$B$4,"Red",IF($H120-'[2]Read Me'!$B$4&lt;=21,"Amber","Green"))))</f>
        <v>Amber</v>
      </c>
      <c r="N120" s="3"/>
      <c r="O120" t="str">
        <f>IF($I120&lt;&gt;"Complete",IF(COUNTIFS($A$4:$A119,$A120,$B$4:$B119,$B120,$I$4:$I119,"&lt;&gt;Complete")=0,$A120&amp;"|"&amp;$B120,""),"")</f>
        <v>|</v>
      </c>
      <c r="P120" t="str">
        <f ca="1">IF($K120="Yes",COUNTIFS($K$4:$K120,"Yes"),"")</f>
        <v/>
      </c>
      <c r="Q120">
        <f t="shared" ca="1" si="6"/>
        <v>0</v>
      </c>
      <c r="R120" t="str">
        <f ca="1">IF($Q120=1,SUM($Q$4:$Q120),"")</f>
        <v/>
      </c>
    </row>
    <row r="121" spans="1:18" ht="22.5" customHeight="1" x14ac:dyDescent="0.3">
      <c r="A121" s="2"/>
      <c r="B121" s="2"/>
      <c r="C121" s="3"/>
      <c r="D121" s="3"/>
      <c r="E121" s="2"/>
      <c r="F121" s="2"/>
      <c r="G121" s="5"/>
      <c r="H121" s="5"/>
      <c r="I121" s="4"/>
      <c r="J121" s="6" t="str">
        <f t="shared" si="4"/>
        <v/>
      </c>
      <c r="K121" s="4" t="str">
        <f t="shared" ca="1" si="5"/>
        <v/>
      </c>
      <c r="L121" s="7" t="str">
        <f>IF(I121="Completed","0",IF($H121="","",$H121-'[2]Read Me'!$B$4))</f>
        <v/>
      </c>
      <c r="M121" s="4" t="str">
        <f>IF($I121="Complete","Green",IF($H121="","Amber",IF($H121&lt;'[2]Read Me'!$B$4,"Red",IF($H121-'[2]Read Me'!$B$4&lt;=21,"Amber","Green"))))</f>
        <v>Amber</v>
      </c>
      <c r="N121" s="3"/>
      <c r="O121" t="str">
        <f>IF($I121&lt;&gt;"Complete",IF(COUNTIFS($A$4:$A120,$A121,$B$4:$B120,$B121,$I$4:$I120,"&lt;&gt;Complete")=0,$A121&amp;"|"&amp;$B121,""),"")</f>
        <v>|</v>
      </c>
      <c r="P121" t="str">
        <f ca="1">IF($K121="Yes",COUNTIFS($K$4:$K121,"Yes"),"")</f>
        <v/>
      </c>
      <c r="Q121">
        <f t="shared" ca="1" si="6"/>
        <v>0</v>
      </c>
      <c r="R121" t="str">
        <f ca="1">IF($Q121=1,SUM($Q$4:$Q121),"")</f>
        <v/>
      </c>
    </row>
    <row r="122" spans="1:18" ht="22.5" customHeight="1" x14ac:dyDescent="0.3">
      <c r="A122" s="2"/>
      <c r="B122" s="2"/>
      <c r="C122" s="3"/>
      <c r="D122" s="3"/>
      <c r="E122" s="2"/>
      <c r="F122" s="2"/>
      <c r="G122" s="5"/>
      <c r="H122" s="5"/>
      <c r="I122" s="4"/>
      <c r="J122" s="6" t="str">
        <f t="shared" si="4"/>
        <v/>
      </c>
      <c r="K122" s="4" t="str">
        <f t="shared" ca="1" si="5"/>
        <v/>
      </c>
      <c r="L122" s="7" t="str">
        <f>IF(I122="Completed","0",IF($H122="","",$H122-'[2]Read Me'!$B$4))</f>
        <v/>
      </c>
      <c r="M122" s="4" t="str">
        <f>IF($I122="Complete","Green",IF($H122="","Amber",IF($H122&lt;'[2]Read Me'!$B$4,"Red",IF($H122-'[2]Read Me'!$B$4&lt;=21,"Amber","Green"))))</f>
        <v>Amber</v>
      </c>
      <c r="N122" s="3"/>
      <c r="O122" t="str">
        <f>IF($I122&lt;&gt;"Complete",IF(COUNTIFS($A$4:$A121,$A122,$B$4:$B121,$B122,$I$4:$I121,"&lt;&gt;Complete")=0,$A122&amp;"|"&amp;$B122,""),"")</f>
        <v>|</v>
      </c>
      <c r="P122" t="str">
        <f ca="1">IF($K122="Yes",COUNTIFS($K$4:$K122,"Yes"),"")</f>
        <v/>
      </c>
      <c r="Q122">
        <f t="shared" ca="1" si="6"/>
        <v>0</v>
      </c>
      <c r="R122" t="str">
        <f ca="1">IF($Q122=1,SUM($Q$4:$Q122),"")</f>
        <v/>
      </c>
    </row>
    <row r="123" spans="1:18" ht="22.5" customHeight="1" x14ac:dyDescent="0.3">
      <c r="A123" s="2"/>
      <c r="B123" s="2"/>
      <c r="C123" s="3"/>
      <c r="D123" s="3"/>
      <c r="E123" s="2"/>
      <c r="F123" s="2"/>
      <c r="G123" s="5"/>
      <c r="H123" s="5"/>
      <c r="I123" s="4"/>
      <c r="J123" s="6" t="str">
        <f t="shared" si="4"/>
        <v/>
      </c>
      <c r="K123" s="4" t="str">
        <f t="shared" ca="1" si="5"/>
        <v/>
      </c>
      <c r="L123" s="7" t="str">
        <f>IF(I123="Completed","0",IF($H123="","",$H123-'[2]Read Me'!$B$4))</f>
        <v/>
      </c>
      <c r="M123" s="4" t="str">
        <f>IF($I123="Complete","Green",IF($H123="","Amber",IF($H123&lt;'[2]Read Me'!$B$4,"Red",IF($H123-'[2]Read Me'!$B$4&lt;=21,"Amber","Green"))))</f>
        <v>Amber</v>
      </c>
      <c r="N123" s="3"/>
      <c r="O123" t="str">
        <f>IF($I123&lt;&gt;"Complete",IF(COUNTIFS($A$4:$A122,$A123,$B$4:$B122,$B123,$I$4:$I122,"&lt;&gt;Complete")=0,$A123&amp;"|"&amp;$B123,""),"")</f>
        <v>|</v>
      </c>
      <c r="P123" t="str">
        <f ca="1">IF($K123="Yes",COUNTIFS($K$4:$K123,"Yes"),"")</f>
        <v/>
      </c>
      <c r="Q123">
        <f t="shared" ca="1" si="6"/>
        <v>0</v>
      </c>
      <c r="R123" t="str">
        <f ca="1">IF($Q123=1,SUM($Q$4:$Q123),"")</f>
        <v/>
      </c>
    </row>
    <row r="124" spans="1:18" ht="22.5" customHeight="1" x14ac:dyDescent="0.3">
      <c r="A124" s="2"/>
      <c r="B124" s="2"/>
      <c r="C124" s="3"/>
      <c r="D124" s="3"/>
      <c r="E124" s="2"/>
      <c r="F124" s="2"/>
      <c r="G124" s="5"/>
      <c r="H124" s="5"/>
      <c r="I124" s="4"/>
      <c r="J124" s="6" t="str">
        <f t="shared" si="4"/>
        <v/>
      </c>
      <c r="K124" s="4" t="str">
        <f t="shared" ca="1" si="5"/>
        <v/>
      </c>
      <c r="L124" s="7" t="str">
        <f>IF(I124="Completed","0",IF($H124="","",$H124-'[2]Read Me'!$B$4))</f>
        <v/>
      </c>
      <c r="M124" s="4" t="str">
        <f>IF($I124="Complete","Green",IF($H124="","Amber",IF($H124&lt;'[2]Read Me'!$B$4,"Red",IF($H124-'[2]Read Me'!$B$4&lt;=21,"Amber","Green"))))</f>
        <v>Amber</v>
      </c>
      <c r="N124" s="3"/>
      <c r="O124" t="str">
        <f>IF($I124&lt;&gt;"Complete",IF(COUNTIFS($A$4:$A123,$A124,$B$4:$B123,$B124,$I$4:$I123,"&lt;&gt;Complete")=0,$A124&amp;"|"&amp;$B124,""),"")</f>
        <v>|</v>
      </c>
      <c r="P124" t="str">
        <f ca="1">IF($K124="Yes",COUNTIFS($K$4:$K124,"Yes"),"")</f>
        <v/>
      </c>
      <c r="Q124">
        <f t="shared" ca="1" si="6"/>
        <v>0</v>
      </c>
      <c r="R124" t="str">
        <f ca="1">IF($Q124=1,SUM($Q$4:$Q124),"")</f>
        <v/>
      </c>
    </row>
    <row r="125" spans="1:18" ht="22.5" customHeight="1" x14ac:dyDescent="0.3">
      <c r="A125" s="2"/>
      <c r="B125" s="2"/>
      <c r="C125" s="3"/>
      <c r="D125" s="3"/>
      <c r="E125" s="2"/>
      <c r="F125" s="2"/>
      <c r="G125" s="5"/>
      <c r="H125" s="5"/>
      <c r="I125" s="4"/>
      <c r="J125" s="6" t="str">
        <f t="shared" si="4"/>
        <v/>
      </c>
      <c r="K125" s="4" t="str">
        <f t="shared" ca="1" si="5"/>
        <v/>
      </c>
      <c r="L125" s="7" t="str">
        <f>IF(I125="Completed","0",IF($H125="","",$H125-'[2]Read Me'!$B$4))</f>
        <v/>
      </c>
      <c r="M125" s="4" t="str">
        <f>IF($I125="Complete","Green",IF($H125="","Amber",IF($H125&lt;'[2]Read Me'!$B$4,"Red",IF($H125-'[2]Read Me'!$B$4&lt;=21,"Amber","Green"))))</f>
        <v>Amber</v>
      </c>
      <c r="N125" s="3"/>
      <c r="O125" t="str">
        <f>IF($I125&lt;&gt;"Complete",IF(COUNTIFS($A$4:$A124,$A125,$B$4:$B124,$B125,$I$4:$I124,"&lt;&gt;Complete")=0,$A125&amp;"|"&amp;$B125,""),"")</f>
        <v>|</v>
      </c>
      <c r="P125" t="str">
        <f ca="1">IF($K125="Yes",COUNTIFS($K$4:$K125,"Yes"),"")</f>
        <v/>
      </c>
      <c r="Q125">
        <f t="shared" ca="1" si="6"/>
        <v>0</v>
      </c>
      <c r="R125" t="str">
        <f ca="1">IF($Q125=1,SUM($Q$4:$Q125),"")</f>
        <v/>
      </c>
    </row>
    <row r="126" spans="1:18" ht="22.5" customHeight="1" x14ac:dyDescent="0.3">
      <c r="A126" s="2"/>
      <c r="B126" s="2"/>
      <c r="C126" s="3"/>
      <c r="D126" s="3"/>
      <c r="E126" s="2"/>
      <c r="F126" s="2"/>
      <c r="G126" s="5"/>
      <c r="H126" s="5"/>
      <c r="I126" s="4"/>
      <c r="J126" s="6" t="str">
        <f t="shared" si="4"/>
        <v/>
      </c>
      <c r="K126" s="4" t="str">
        <f t="shared" ca="1" si="5"/>
        <v/>
      </c>
      <c r="L126" s="7" t="str">
        <f>IF(I126="Completed","0",IF($H126="","",$H126-'[2]Read Me'!$B$4))</f>
        <v/>
      </c>
      <c r="M126" s="4" t="str">
        <f>IF($I126="Complete","Green",IF($H126="","Amber",IF($H126&lt;'[2]Read Me'!$B$4,"Red",IF($H126-'[2]Read Me'!$B$4&lt;=21,"Amber","Green"))))</f>
        <v>Amber</v>
      </c>
      <c r="N126" s="3"/>
      <c r="O126" t="str">
        <f>IF($I126&lt;&gt;"Complete",IF(COUNTIFS($A$4:$A125,$A126,$B$4:$B125,$B126,$I$4:$I125,"&lt;&gt;Complete")=0,$A126&amp;"|"&amp;$B126,""),"")</f>
        <v>|</v>
      </c>
      <c r="P126" t="str">
        <f ca="1">IF($K126="Yes",COUNTIFS($K$4:$K126,"Yes"),"")</f>
        <v/>
      </c>
      <c r="Q126">
        <f t="shared" ca="1" si="6"/>
        <v>0</v>
      </c>
      <c r="R126" t="str">
        <f ca="1">IF($Q126=1,SUM($Q$4:$Q126),"")</f>
        <v/>
      </c>
    </row>
    <row r="127" spans="1:18" ht="22.5" customHeight="1" x14ac:dyDescent="0.3">
      <c r="A127" s="2"/>
      <c r="B127" s="2"/>
      <c r="C127" s="3"/>
      <c r="D127" s="3"/>
      <c r="E127" s="2"/>
      <c r="F127" s="2"/>
      <c r="G127" s="5"/>
      <c r="H127" s="5"/>
      <c r="I127" s="4"/>
      <c r="J127" s="6" t="str">
        <f t="shared" si="4"/>
        <v/>
      </c>
      <c r="K127" s="4" t="str">
        <f t="shared" ca="1" si="5"/>
        <v/>
      </c>
      <c r="L127" s="7" t="str">
        <f>IF(I127="Completed","0",IF($H127="","",$H127-'[2]Read Me'!$B$4))</f>
        <v/>
      </c>
      <c r="M127" s="4" t="str">
        <f>IF($I127="Complete","Green",IF($H127="","Amber",IF($H127&lt;'[2]Read Me'!$B$4,"Red",IF($H127-'[2]Read Me'!$B$4&lt;=21,"Amber","Green"))))</f>
        <v>Amber</v>
      </c>
      <c r="N127" s="3"/>
      <c r="O127" t="str">
        <f>IF($I127&lt;&gt;"Complete",IF(COUNTIFS($A$4:$A126,$A127,$B$4:$B126,$B127,$I$4:$I126,"&lt;&gt;Complete")=0,$A127&amp;"|"&amp;$B127,""),"")</f>
        <v>|</v>
      </c>
      <c r="P127" t="str">
        <f ca="1">IF($K127="Yes",COUNTIFS($K$4:$K127,"Yes"),"")</f>
        <v/>
      </c>
      <c r="Q127">
        <f t="shared" ca="1" si="6"/>
        <v>0</v>
      </c>
      <c r="R127" t="str">
        <f ca="1">IF($Q127=1,SUM($Q$4:$Q127),"")</f>
        <v/>
      </c>
    </row>
    <row r="128" spans="1:18" ht="22.5" customHeight="1" x14ac:dyDescent="0.3">
      <c r="A128" s="2"/>
      <c r="B128" s="2"/>
      <c r="C128" s="3"/>
      <c r="D128" s="3"/>
      <c r="E128" s="2"/>
      <c r="F128" s="2"/>
      <c r="G128" s="5"/>
      <c r="H128" s="5"/>
      <c r="I128" s="4"/>
      <c r="J128" s="6" t="str">
        <f t="shared" si="4"/>
        <v/>
      </c>
      <c r="K128" s="4" t="str">
        <f t="shared" ca="1" si="5"/>
        <v/>
      </c>
      <c r="L128" s="7" t="str">
        <f>IF(I128="Completed","0",IF($H128="","",$H128-'[2]Read Me'!$B$4))</f>
        <v/>
      </c>
      <c r="M128" s="4" t="str">
        <f>IF($I128="Complete","Green",IF($H128="","Amber",IF($H128&lt;'[2]Read Me'!$B$4,"Red",IF($H128-'[2]Read Me'!$B$4&lt;=21,"Amber","Green"))))</f>
        <v>Amber</v>
      </c>
      <c r="N128" s="3"/>
      <c r="O128" t="str">
        <f>IF($I128&lt;&gt;"Complete",IF(COUNTIFS($A$4:$A127,$A128,$B$4:$B127,$B128,$I$4:$I127,"&lt;&gt;Complete")=0,$A128&amp;"|"&amp;$B128,""),"")</f>
        <v>|</v>
      </c>
      <c r="P128" t="str">
        <f ca="1">IF($K128="Yes",COUNTIFS($K$4:$K128,"Yes"),"")</f>
        <v/>
      </c>
      <c r="Q128">
        <f t="shared" ca="1" si="6"/>
        <v>0</v>
      </c>
      <c r="R128" t="str">
        <f ca="1">IF($Q128=1,SUM($Q$4:$Q128),"")</f>
        <v/>
      </c>
    </row>
    <row r="129" spans="1:18" ht="22.5" customHeight="1" x14ac:dyDescent="0.3">
      <c r="A129" s="2"/>
      <c r="B129" s="2"/>
      <c r="C129" s="3"/>
      <c r="D129" s="3"/>
      <c r="E129" s="2"/>
      <c r="F129" s="2"/>
      <c r="G129" s="5"/>
      <c r="H129" s="5"/>
      <c r="I129" s="4"/>
      <c r="J129" s="6" t="str">
        <f t="shared" si="4"/>
        <v/>
      </c>
      <c r="K129" s="4" t="str">
        <f t="shared" ca="1" si="5"/>
        <v/>
      </c>
      <c r="L129" s="7" t="str">
        <f>IF(I129="Completed","0",IF($H129="","",$H129-'[2]Read Me'!$B$4))</f>
        <v/>
      </c>
      <c r="M129" s="4" t="str">
        <f>IF($I129="Complete","Green",IF($H129="","Amber",IF($H129&lt;'[2]Read Me'!$B$4,"Red",IF($H129-'[2]Read Me'!$B$4&lt;=21,"Amber","Green"))))</f>
        <v>Amber</v>
      </c>
      <c r="N129" s="3"/>
      <c r="O129" t="str">
        <f>IF($I129&lt;&gt;"Complete",IF(COUNTIFS($A$4:$A128,$A129,$B$4:$B128,$B129,$I$4:$I128,"&lt;&gt;Complete")=0,$A129&amp;"|"&amp;$B129,""),"")</f>
        <v>|</v>
      </c>
      <c r="P129" t="str">
        <f ca="1">IF($K129="Yes",COUNTIFS($K$4:$K129,"Yes"),"")</f>
        <v/>
      </c>
      <c r="Q129">
        <f t="shared" ca="1" si="6"/>
        <v>0</v>
      </c>
      <c r="R129" t="str">
        <f ca="1">IF($Q129=1,SUM($Q$4:$Q129),"")</f>
        <v/>
      </c>
    </row>
    <row r="130" spans="1:18" ht="22.5" customHeight="1" x14ac:dyDescent="0.3">
      <c r="A130" s="2"/>
      <c r="B130" s="2"/>
      <c r="C130" s="3"/>
      <c r="D130" s="3"/>
      <c r="E130" s="2"/>
      <c r="F130" s="2"/>
      <c r="G130" s="5"/>
      <c r="H130" s="5"/>
      <c r="I130" s="4"/>
      <c r="J130" s="6" t="str">
        <f t="shared" si="4"/>
        <v/>
      </c>
      <c r="K130" s="4" t="str">
        <f t="shared" ca="1" si="5"/>
        <v/>
      </c>
      <c r="L130" s="7" t="str">
        <f>IF(I130="Completed","0",IF($H130="","",$H130-'[2]Read Me'!$B$4))</f>
        <v/>
      </c>
      <c r="M130" s="4" t="str">
        <f>IF($I130="Complete","Green",IF($H130="","Amber",IF($H130&lt;'[2]Read Me'!$B$4,"Red",IF($H130-'[2]Read Me'!$B$4&lt;=21,"Amber","Green"))))</f>
        <v>Amber</v>
      </c>
      <c r="N130" s="3"/>
      <c r="O130" t="str">
        <f>IF($I130&lt;&gt;"Complete",IF(COUNTIFS($A$4:$A129,$A130,$B$4:$B129,$B130,$I$4:$I129,"&lt;&gt;Complete")=0,$A130&amp;"|"&amp;$B130,""),"")</f>
        <v>|</v>
      </c>
      <c r="P130" t="str">
        <f ca="1">IF($K130="Yes",COUNTIFS($K$4:$K130,"Yes"),"")</f>
        <v/>
      </c>
      <c r="Q130">
        <f t="shared" ca="1" si="6"/>
        <v>0</v>
      </c>
      <c r="R130" t="str">
        <f ca="1">IF($Q130=1,SUM($Q$4:$Q130),"")</f>
        <v/>
      </c>
    </row>
    <row r="131" spans="1:18" ht="22.5" customHeight="1" x14ac:dyDescent="0.3">
      <c r="A131" s="2"/>
      <c r="B131" s="2"/>
      <c r="C131" s="3"/>
      <c r="D131" s="3"/>
      <c r="E131" s="2"/>
      <c r="F131" s="2"/>
      <c r="G131" s="5"/>
      <c r="H131" s="5"/>
      <c r="I131" s="4"/>
      <c r="J131" s="6" t="str">
        <f t="shared" si="4"/>
        <v/>
      </c>
      <c r="K131" s="4" t="str">
        <f t="shared" ca="1" si="5"/>
        <v/>
      </c>
      <c r="L131" s="7" t="str">
        <f>IF(I131="Completed","0",IF($H131="","",$H131-'[2]Read Me'!$B$4))</f>
        <v/>
      </c>
      <c r="M131" s="4" t="str">
        <f>IF($I131="Complete","Green",IF($H131="","Amber",IF($H131&lt;'[2]Read Me'!$B$4,"Red",IF($H131-'[2]Read Me'!$B$4&lt;=21,"Amber","Green"))))</f>
        <v>Amber</v>
      </c>
      <c r="N131" s="3"/>
      <c r="O131" t="str">
        <f>IF($I131&lt;&gt;"Complete",IF(COUNTIFS($A$4:$A130,$A131,$B$4:$B130,$B131,$I$4:$I130,"&lt;&gt;Complete")=0,$A131&amp;"|"&amp;$B131,""),"")</f>
        <v>|</v>
      </c>
      <c r="P131" t="str">
        <f ca="1">IF($K131="Yes",COUNTIFS($K$4:$K131,"Yes"),"")</f>
        <v/>
      </c>
      <c r="Q131">
        <f t="shared" ca="1" si="6"/>
        <v>0</v>
      </c>
      <c r="R131" t="str">
        <f ca="1">IF($Q131=1,SUM($Q$4:$Q131),"")</f>
        <v/>
      </c>
    </row>
    <row r="132" spans="1:18" ht="22.5" customHeight="1" x14ac:dyDescent="0.3">
      <c r="A132" s="2"/>
      <c r="B132" s="2"/>
      <c r="C132" s="3"/>
      <c r="D132" s="3"/>
      <c r="E132" s="2"/>
      <c r="F132" s="2"/>
      <c r="G132" s="5"/>
      <c r="H132" s="5"/>
      <c r="I132" s="4"/>
      <c r="J132" s="6" t="str">
        <f t="shared" ref="J132:J195" si="7">IF(OR($G132="",$H132=""),"",$H132-$G132)</f>
        <v/>
      </c>
      <c r="K132" s="4" t="str">
        <f t="shared" ref="K132:K195" ca="1" si="8">IF(C132="","",IF(H132="","",IF($I132="completed","-",IF($H132&gt;TODAY(),"No","Yes"))))</f>
        <v/>
      </c>
      <c r="L132" s="7" t="str">
        <f>IF(I132="Completed","0",IF($H132="","",$H132-'[2]Read Me'!$B$4))</f>
        <v/>
      </c>
      <c r="M132" s="4" t="str">
        <f>IF($I132="Complete","Green",IF($H132="","Amber",IF($H132&lt;'[2]Read Me'!$B$4,"Red",IF($H132-'[2]Read Me'!$B$4&lt;=21,"Amber","Green"))))</f>
        <v>Amber</v>
      </c>
      <c r="N132" s="3"/>
      <c r="O132" t="str">
        <f>IF($I132&lt;&gt;"Complete",IF(COUNTIFS($A$4:$A131,$A132,$B$4:$B131,$B132,$I$4:$I131,"&lt;&gt;Complete")=0,$A132&amp;"|"&amp;$B132,""),"")</f>
        <v>|</v>
      </c>
      <c r="P132" t="str">
        <f ca="1">IF($K132="Yes",COUNTIFS($K$4:$K132,"Yes"),"")</f>
        <v/>
      </c>
      <c r="Q132">
        <f t="shared" ref="Q132:Q195" ca="1" si="9">IF(OR($I132="In Progress",$K132="Yes"),1,0)</f>
        <v>0</v>
      </c>
      <c r="R132" t="str">
        <f ca="1">IF($Q132=1,SUM($Q$4:$Q132),"")</f>
        <v/>
      </c>
    </row>
    <row r="133" spans="1:18" ht="22.5" customHeight="1" x14ac:dyDescent="0.3">
      <c r="A133" s="2"/>
      <c r="B133" s="2"/>
      <c r="C133" s="3"/>
      <c r="D133" s="3"/>
      <c r="E133" s="2"/>
      <c r="F133" s="2"/>
      <c r="G133" s="5"/>
      <c r="H133" s="5"/>
      <c r="I133" s="4"/>
      <c r="J133" s="6" t="str">
        <f t="shared" si="7"/>
        <v/>
      </c>
      <c r="K133" s="4" t="str">
        <f t="shared" ca="1" si="8"/>
        <v/>
      </c>
      <c r="L133" s="7" t="str">
        <f>IF(I133="Completed","0",IF($H133="","",$H133-'[2]Read Me'!$B$4))</f>
        <v/>
      </c>
      <c r="M133" s="4" t="str">
        <f>IF($I133="Complete","Green",IF($H133="","Amber",IF($H133&lt;'[2]Read Me'!$B$4,"Red",IF($H133-'[2]Read Me'!$B$4&lt;=21,"Amber","Green"))))</f>
        <v>Amber</v>
      </c>
      <c r="N133" s="3"/>
      <c r="O133" t="str">
        <f>IF($I133&lt;&gt;"Complete",IF(COUNTIFS($A$4:$A132,$A133,$B$4:$B132,$B133,$I$4:$I132,"&lt;&gt;Complete")=0,$A133&amp;"|"&amp;$B133,""),"")</f>
        <v>|</v>
      </c>
      <c r="P133" t="str">
        <f ca="1">IF($K133="Yes",COUNTIFS($K$4:$K133,"Yes"),"")</f>
        <v/>
      </c>
      <c r="Q133">
        <f t="shared" ca="1" si="9"/>
        <v>0</v>
      </c>
      <c r="R133" t="str">
        <f ca="1">IF($Q133=1,SUM($Q$4:$Q133),"")</f>
        <v/>
      </c>
    </row>
    <row r="134" spans="1:18" ht="22.5" customHeight="1" x14ac:dyDescent="0.3">
      <c r="A134" s="2"/>
      <c r="B134" s="2"/>
      <c r="C134" s="3"/>
      <c r="D134" s="3"/>
      <c r="E134" s="2"/>
      <c r="F134" s="2"/>
      <c r="G134" s="5"/>
      <c r="H134" s="5"/>
      <c r="I134" s="4"/>
      <c r="J134" s="6" t="str">
        <f t="shared" si="7"/>
        <v/>
      </c>
      <c r="K134" s="4" t="str">
        <f t="shared" ca="1" si="8"/>
        <v/>
      </c>
      <c r="L134" s="7" t="str">
        <f>IF(I134="Completed","0",IF($H134="","",$H134-'[2]Read Me'!$B$4))</f>
        <v/>
      </c>
      <c r="M134" s="4" t="str">
        <f>IF($I134="Complete","Green",IF($H134="","Amber",IF($H134&lt;'[2]Read Me'!$B$4,"Red",IF($H134-'[2]Read Me'!$B$4&lt;=21,"Amber","Green"))))</f>
        <v>Amber</v>
      </c>
      <c r="N134" s="3"/>
      <c r="O134" t="str">
        <f>IF($I134&lt;&gt;"Complete",IF(COUNTIFS($A$4:$A133,$A134,$B$4:$B133,$B134,$I$4:$I133,"&lt;&gt;Complete")=0,$A134&amp;"|"&amp;$B134,""),"")</f>
        <v>|</v>
      </c>
      <c r="P134" t="str">
        <f ca="1">IF($K134="Yes",COUNTIFS($K$4:$K134,"Yes"),"")</f>
        <v/>
      </c>
      <c r="Q134">
        <f t="shared" ca="1" si="9"/>
        <v>0</v>
      </c>
      <c r="R134" t="str">
        <f ca="1">IF($Q134=1,SUM($Q$4:$Q134),"")</f>
        <v/>
      </c>
    </row>
    <row r="135" spans="1:18" ht="22.5" customHeight="1" x14ac:dyDescent="0.3">
      <c r="A135" s="2"/>
      <c r="B135" s="2"/>
      <c r="C135" s="3"/>
      <c r="D135" s="3"/>
      <c r="E135" s="2"/>
      <c r="F135" s="2"/>
      <c r="G135" s="5"/>
      <c r="H135" s="5"/>
      <c r="I135" s="4"/>
      <c r="J135" s="6" t="str">
        <f t="shared" si="7"/>
        <v/>
      </c>
      <c r="K135" s="4" t="str">
        <f t="shared" ca="1" si="8"/>
        <v/>
      </c>
      <c r="L135" s="7" t="str">
        <f>IF(I135="Completed","0",IF($H135="","",$H135-'[2]Read Me'!$B$4))</f>
        <v/>
      </c>
      <c r="M135" s="4" t="str">
        <f>IF($I135="Complete","Green",IF($H135="","Amber",IF($H135&lt;'[2]Read Me'!$B$4,"Red",IF($H135-'[2]Read Me'!$B$4&lt;=21,"Amber","Green"))))</f>
        <v>Amber</v>
      </c>
      <c r="N135" s="3"/>
      <c r="O135" t="str">
        <f>IF($I135&lt;&gt;"Complete",IF(COUNTIFS($A$4:$A134,$A135,$B$4:$B134,$B135,$I$4:$I134,"&lt;&gt;Complete")=0,$A135&amp;"|"&amp;$B135,""),"")</f>
        <v>|</v>
      </c>
      <c r="P135" t="str">
        <f ca="1">IF($K135="Yes",COUNTIFS($K$4:$K135,"Yes"),"")</f>
        <v/>
      </c>
      <c r="Q135">
        <f t="shared" ca="1" si="9"/>
        <v>0</v>
      </c>
      <c r="R135" t="str">
        <f ca="1">IF($Q135=1,SUM($Q$4:$Q135),"")</f>
        <v/>
      </c>
    </row>
    <row r="136" spans="1:18" ht="22.5" customHeight="1" x14ac:dyDescent="0.3">
      <c r="A136" s="2"/>
      <c r="B136" s="2"/>
      <c r="C136" s="3"/>
      <c r="D136" s="3"/>
      <c r="E136" s="2"/>
      <c r="F136" s="2"/>
      <c r="G136" s="5"/>
      <c r="H136" s="5"/>
      <c r="I136" s="4"/>
      <c r="J136" s="6" t="str">
        <f t="shared" si="7"/>
        <v/>
      </c>
      <c r="K136" s="4" t="str">
        <f t="shared" ca="1" si="8"/>
        <v/>
      </c>
      <c r="L136" s="7" t="str">
        <f>IF(I136="Completed","0",IF($H136="","",$H136-'[2]Read Me'!$B$4))</f>
        <v/>
      </c>
      <c r="M136" s="4" t="str">
        <f>IF($I136="Complete","Green",IF($H136="","Amber",IF($H136&lt;'[2]Read Me'!$B$4,"Red",IF($H136-'[2]Read Me'!$B$4&lt;=21,"Amber","Green"))))</f>
        <v>Amber</v>
      </c>
      <c r="N136" s="3"/>
      <c r="O136" t="str">
        <f>IF($I136&lt;&gt;"Complete",IF(COUNTIFS($A$4:$A135,$A136,$B$4:$B135,$B136,$I$4:$I135,"&lt;&gt;Complete")=0,$A136&amp;"|"&amp;$B136,""),"")</f>
        <v>|</v>
      </c>
      <c r="P136" t="str">
        <f ca="1">IF($K136="Yes",COUNTIFS($K$4:$K136,"Yes"),"")</f>
        <v/>
      </c>
      <c r="Q136">
        <f t="shared" ca="1" si="9"/>
        <v>0</v>
      </c>
      <c r="R136" t="str">
        <f ca="1">IF($Q136=1,SUM($Q$4:$Q136),"")</f>
        <v/>
      </c>
    </row>
    <row r="137" spans="1:18" ht="22.5" customHeight="1" x14ac:dyDescent="0.3">
      <c r="A137" s="2"/>
      <c r="B137" s="2"/>
      <c r="C137" s="3"/>
      <c r="D137" s="3"/>
      <c r="E137" s="2"/>
      <c r="F137" s="2"/>
      <c r="G137" s="5"/>
      <c r="H137" s="5"/>
      <c r="I137" s="4"/>
      <c r="J137" s="6" t="str">
        <f t="shared" si="7"/>
        <v/>
      </c>
      <c r="K137" s="4" t="str">
        <f t="shared" ca="1" si="8"/>
        <v/>
      </c>
      <c r="L137" s="7" t="str">
        <f>IF(I137="Completed","0",IF($H137="","",$H137-'[2]Read Me'!$B$4))</f>
        <v/>
      </c>
      <c r="M137" s="4" t="str">
        <f>IF($I137="Complete","Green",IF($H137="","Amber",IF($H137&lt;'[2]Read Me'!$B$4,"Red",IF($H137-'[2]Read Me'!$B$4&lt;=21,"Amber","Green"))))</f>
        <v>Amber</v>
      </c>
      <c r="N137" s="3"/>
      <c r="O137" t="str">
        <f>IF($I137&lt;&gt;"Complete",IF(COUNTIFS($A$4:$A136,$A137,$B$4:$B136,$B137,$I$4:$I136,"&lt;&gt;Complete")=0,$A137&amp;"|"&amp;$B137,""),"")</f>
        <v>|</v>
      </c>
      <c r="P137" t="str">
        <f ca="1">IF($K137="Yes",COUNTIFS($K$4:$K137,"Yes"),"")</f>
        <v/>
      </c>
      <c r="Q137">
        <f t="shared" ca="1" si="9"/>
        <v>0</v>
      </c>
      <c r="R137" t="str">
        <f ca="1">IF($Q137=1,SUM($Q$4:$Q137),"")</f>
        <v/>
      </c>
    </row>
    <row r="138" spans="1:18" ht="22.5" customHeight="1" x14ac:dyDescent="0.3">
      <c r="A138" s="2"/>
      <c r="B138" s="2"/>
      <c r="C138" s="3"/>
      <c r="D138" s="3"/>
      <c r="E138" s="2"/>
      <c r="F138" s="2"/>
      <c r="G138" s="5"/>
      <c r="H138" s="5"/>
      <c r="I138" s="4"/>
      <c r="J138" s="6" t="str">
        <f t="shared" si="7"/>
        <v/>
      </c>
      <c r="K138" s="4" t="str">
        <f t="shared" ca="1" si="8"/>
        <v/>
      </c>
      <c r="L138" s="7" t="str">
        <f>IF(I138="Completed","0",IF($H138="","",$H138-'[2]Read Me'!$B$4))</f>
        <v/>
      </c>
      <c r="M138" s="4" t="str">
        <f>IF($I138="Complete","Green",IF($H138="","Amber",IF($H138&lt;'[2]Read Me'!$B$4,"Red",IF($H138-'[2]Read Me'!$B$4&lt;=21,"Amber","Green"))))</f>
        <v>Amber</v>
      </c>
      <c r="N138" s="3"/>
      <c r="O138" t="str">
        <f>IF($I138&lt;&gt;"Complete",IF(COUNTIFS($A$4:$A137,$A138,$B$4:$B137,$B138,$I$4:$I137,"&lt;&gt;Complete")=0,$A138&amp;"|"&amp;$B138,""),"")</f>
        <v>|</v>
      </c>
      <c r="P138" t="str">
        <f ca="1">IF($K138="Yes",COUNTIFS($K$4:$K138,"Yes"),"")</f>
        <v/>
      </c>
      <c r="Q138">
        <f t="shared" ca="1" si="9"/>
        <v>0</v>
      </c>
      <c r="R138" t="str">
        <f ca="1">IF($Q138=1,SUM($Q$4:$Q138),"")</f>
        <v/>
      </c>
    </row>
    <row r="139" spans="1:18" ht="22.5" customHeight="1" x14ac:dyDescent="0.3">
      <c r="A139" s="2"/>
      <c r="B139" s="2"/>
      <c r="C139" s="3"/>
      <c r="D139" s="3"/>
      <c r="E139" s="2"/>
      <c r="F139" s="2"/>
      <c r="G139" s="5"/>
      <c r="H139" s="5"/>
      <c r="I139" s="4"/>
      <c r="J139" s="6" t="str">
        <f t="shared" si="7"/>
        <v/>
      </c>
      <c r="K139" s="4" t="str">
        <f t="shared" ca="1" si="8"/>
        <v/>
      </c>
      <c r="L139" s="7" t="str">
        <f>IF(I139="Completed","0",IF($H139="","",$H139-'[2]Read Me'!$B$4))</f>
        <v/>
      </c>
      <c r="M139" s="4" t="str">
        <f>IF($I139="Complete","Green",IF($H139="","Amber",IF($H139&lt;'[2]Read Me'!$B$4,"Red",IF($H139-'[2]Read Me'!$B$4&lt;=21,"Amber","Green"))))</f>
        <v>Amber</v>
      </c>
      <c r="N139" s="3"/>
      <c r="O139" t="str">
        <f>IF($I139&lt;&gt;"Complete",IF(COUNTIFS($A$4:$A138,$A139,$B$4:$B138,$B139,$I$4:$I138,"&lt;&gt;Complete")=0,$A139&amp;"|"&amp;$B139,""),"")</f>
        <v>|</v>
      </c>
      <c r="P139" t="str">
        <f ca="1">IF($K139="Yes",COUNTIFS($K$4:$K139,"Yes"),"")</f>
        <v/>
      </c>
      <c r="Q139">
        <f t="shared" ca="1" si="9"/>
        <v>0</v>
      </c>
      <c r="R139" t="str">
        <f ca="1">IF($Q139=1,SUM($Q$4:$Q139),"")</f>
        <v/>
      </c>
    </row>
    <row r="140" spans="1:18" ht="22.5" customHeight="1" x14ac:dyDescent="0.3">
      <c r="A140" s="2"/>
      <c r="B140" s="2"/>
      <c r="C140" s="3"/>
      <c r="D140" s="3"/>
      <c r="E140" s="2"/>
      <c r="F140" s="2"/>
      <c r="G140" s="5"/>
      <c r="H140" s="5"/>
      <c r="I140" s="4"/>
      <c r="J140" s="6" t="str">
        <f t="shared" si="7"/>
        <v/>
      </c>
      <c r="K140" s="4" t="str">
        <f t="shared" ca="1" si="8"/>
        <v/>
      </c>
      <c r="L140" s="7" t="str">
        <f>IF(I140="Completed","0",IF($H140="","",$H140-'[2]Read Me'!$B$4))</f>
        <v/>
      </c>
      <c r="M140" s="4" t="str">
        <f>IF($I140="Complete","Green",IF($H140="","Amber",IF($H140&lt;'[2]Read Me'!$B$4,"Red",IF($H140-'[2]Read Me'!$B$4&lt;=21,"Amber","Green"))))</f>
        <v>Amber</v>
      </c>
      <c r="N140" s="3"/>
      <c r="O140" t="str">
        <f>IF($I140&lt;&gt;"Complete",IF(COUNTIFS($A$4:$A139,$A140,$B$4:$B139,$B140,$I$4:$I139,"&lt;&gt;Complete")=0,$A140&amp;"|"&amp;$B140,""),"")</f>
        <v>|</v>
      </c>
      <c r="P140" t="str">
        <f ca="1">IF($K140="Yes",COUNTIFS($K$4:$K140,"Yes"),"")</f>
        <v/>
      </c>
      <c r="Q140">
        <f t="shared" ca="1" si="9"/>
        <v>0</v>
      </c>
      <c r="R140" t="str">
        <f ca="1">IF($Q140=1,SUM($Q$4:$Q140),"")</f>
        <v/>
      </c>
    </row>
    <row r="141" spans="1:18" ht="22.5" customHeight="1" x14ac:dyDescent="0.3">
      <c r="A141" s="2"/>
      <c r="B141" s="2"/>
      <c r="C141" s="3"/>
      <c r="D141" s="3"/>
      <c r="E141" s="2"/>
      <c r="F141" s="2"/>
      <c r="G141" s="5"/>
      <c r="H141" s="5"/>
      <c r="I141" s="4"/>
      <c r="J141" s="6" t="str">
        <f t="shared" si="7"/>
        <v/>
      </c>
      <c r="K141" s="4" t="str">
        <f t="shared" ca="1" si="8"/>
        <v/>
      </c>
      <c r="L141" s="7" t="str">
        <f>IF(I141="Completed","0",IF($H141="","",$H141-'[2]Read Me'!$B$4))</f>
        <v/>
      </c>
      <c r="M141" s="4" t="str">
        <f>IF($I141="Complete","Green",IF($H141="","Amber",IF($H141&lt;'[2]Read Me'!$B$4,"Red",IF($H141-'[2]Read Me'!$B$4&lt;=21,"Amber","Green"))))</f>
        <v>Amber</v>
      </c>
      <c r="N141" s="3"/>
      <c r="O141" t="str">
        <f>IF($I141&lt;&gt;"Complete",IF(COUNTIFS($A$4:$A140,$A141,$B$4:$B140,$B141,$I$4:$I140,"&lt;&gt;Complete")=0,$A141&amp;"|"&amp;$B141,""),"")</f>
        <v>|</v>
      </c>
      <c r="P141" t="str">
        <f ca="1">IF($K141="Yes",COUNTIFS($K$4:$K141,"Yes"),"")</f>
        <v/>
      </c>
      <c r="Q141">
        <f t="shared" ca="1" si="9"/>
        <v>0</v>
      </c>
      <c r="R141" t="str">
        <f ca="1">IF($Q141=1,SUM($Q$4:$Q141),"")</f>
        <v/>
      </c>
    </row>
    <row r="142" spans="1:18" ht="22.5" customHeight="1" x14ac:dyDescent="0.3">
      <c r="A142" s="2"/>
      <c r="B142" s="2"/>
      <c r="C142" s="3"/>
      <c r="D142" s="3"/>
      <c r="E142" s="2"/>
      <c r="F142" s="2"/>
      <c r="G142" s="5"/>
      <c r="H142" s="5"/>
      <c r="I142" s="4"/>
      <c r="J142" s="6" t="str">
        <f t="shared" si="7"/>
        <v/>
      </c>
      <c r="K142" s="4" t="str">
        <f t="shared" ca="1" si="8"/>
        <v/>
      </c>
      <c r="L142" s="7" t="str">
        <f>IF(I142="Completed","0",IF($H142="","",$H142-'[2]Read Me'!$B$4))</f>
        <v/>
      </c>
      <c r="M142" s="4" t="str">
        <f>IF($I142="Complete","Green",IF($H142="","Amber",IF($H142&lt;'[2]Read Me'!$B$4,"Red",IF($H142-'[2]Read Me'!$B$4&lt;=21,"Amber","Green"))))</f>
        <v>Amber</v>
      </c>
      <c r="N142" s="3"/>
      <c r="O142" t="str">
        <f>IF($I142&lt;&gt;"Complete",IF(COUNTIFS($A$4:$A141,$A142,$B$4:$B141,$B142,$I$4:$I141,"&lt;&gt;Complete")=0,$A142&amp;"|"&amp;$B142,""),"")</f>
        <v>|</v>
      </c>
      <c r="P142" t="str">
        <f ca="1">IF($K142="Yes",COUNTIFS($K$4:$K142,"Yes"),"")</f>
        <v/>
      </c>
      <c r="Q142">
        <f t="shared" ca="1" si="9"/>
        <v>0</v>
      </c>
      <c r="R142" t="str">
        <f ca="1">IF($Q142=1,SUM($Q$4:$Q142),"")</f>
        <v/>
      </c>
    </row>
    <row r="143" spans="1:18" ht="22.5" customHeight="1" x14ac:dyDescent="0.3">
      <c r="A143" s="2"/>
      <c r="B143" s="2"/>
      <c r="C143" s="3"/>
      <c r="D143" s="3"/>
      <c r="E143" s="2"/>
      <c r="F143" s="2"/>
      <c r="G143" s="5"/>
      <c r="H143" s="5"/>
      <c r="I143" s="4"/>
      <c r="J143" s="6" t="str">
        <f t="shared" si="7"/>
        <v/>
      </c>
      <c r="K143" s="4" t="str">
        <f t="shared" ca="1" si="8"/>
        <v/>
      </c>
      <c r="L143" s="7" t="str">
        <f>IF(I143="Completed","0",IF($H143="","",$H143-'[2]Read Me'!$B$4))</f>
        <v/>
      </c>
      <c r="M143" s="4" t="str">
        <f>IF($I143="Complete","Green",IF($H143="","Amber",IF($H143&lt;'[2]Read Me'!$B$4,"Red",IF($H143-'[2]Read Me'!$B$4&lt;=21,"Amber","Green"))))</f>
        <v>Amber</v>
      </c>
      <c r="N143" s="3"/>
      <c r="O143" t="str">
        <f>IF($I143&lt;&gt;"Complete",IF(COUNTIFS($A$4:$A142,$A143,$B$4:$B142,$B143,$I$4:$I142,"&lt;&gt;Complete")=0,$A143&amp;"|"&amp;$B143,""),"")</f>
        <v>|</v>
      </c>
      <c r="P143" t="str">
        <f ca="1">IF($K143="Yes",COUNTIFS($K$4:$K143,"Yes"),"")</f>
        <v/>
      </c>
      <c r="Q143">
        <f t="shared" ca="1" si="9"/>
        <v>0</v>
      </c>
      <c r="R143" t="str">
        <f ca="1">IF($Q143=1,SUM($Q$4:$Q143),"")</f>
        <v/>
      </c>
    </row>
    <row r="144" spans="1:18" ht="22.5" customHeight="1" x14ac:dyDescent="0.3">
      <c r="A144" s="2"/>
      <c r="B144" s="2"/>
      <c r="C144" s="3"/>
      <c r="D144" s="3"/>
      <c r="E144" s="2"/>
      <c r="F144" s="2"/>
      <c r="G144" s="5"/>
      <c r="H144" s="5"/>
      <c r="I144" s="4"/>
      <c r="J144" s="6" t="str">
        <f t="shared" si="7"/>
        <v/>
      </c>
      <c r="K144" s="4" t="str">
        <f t="shared" ca="1" si="8"/>
        <v/>
      </c>
      <c r="L144" s="7" t="str">
        <f>IF(I144="Completed","0",IF($H144="","",$H144-'[2]Read Me'!$B$4))</f>
        <v/>
      </c>
      <c r="M144" s="4" t="str">
        <f>IF($I144="Complete","Green",IF($H144="","Amber",IF($H144&lt;'[2]Read Me'!$B$4,"Red",IF($H144-'[2]Read Me'!$B$4&lt;=21,"Amber","Green"))))</f>
        <v>Amber</v>
      </c>
      <c r="N144" s="3"/>
      <c r="O144" t="str">
        <f>IF($I144&lt;&gt;"Complete",IF(COUNTIFS($A$4:$A143,$A144,$B$4:$B143,$B144,$I$4:$I143,"&lt;&gt;Complete")=0,$A144&amp;"|"&amp;$B144,""),"")</f>
        <v>|</v>
      </c>
      <c r="P144" t="str">
        <f ca="1">IF($K144="Yes",COUNTIFS($K$4:$K144,"Yes"),"")</f>
        <v/>
      </c>
      <c r="Q144">
        <f t="shared" ca="1" si="9"/>
        <v>0</v>
      </c>
      <c r="R144" t="str">
        <f ca="1">IF($Q144=1,SUM($Q$4:$Q144),"")</f>
        <v/>
      </c>
    </row>
    <row r="145" spans="1:18" ht="22.5" customHeight="1" x14ac:dyDescent="0.3">
      <c r="A145" s="2"/>
      <c r="B145" s="2"/>
      <c r="C145" s="3"/>
      <c r="D145" s="3"/>
      <c r="E145" s="2"/>
      <c r="F145" s="2"/>
      <c r="G145" s="5"/>
      <c r="H145" s="5"/>
      <c r="I145" s="4"/>
      <c r="J145" s="6" t="str">
        <f t="shared" si="7"/>
        <v/>
      </c>
      <c r="K145" s="4" t="str">
        <f t="shared" ca="1" si="8"/>
        <v/>
      </c>
      <c r="L145" s="7" t="str">
        <f>IF(I145="Completed","0",IF($H145="","",$H145-'[2]Read Me'!$B$4))</f>
        <v/>
      </c>
      <c r="M145" s="4" t="str">
        <f>IF($I145="Complete","Green",IF($H145="","Amber",IF($H145&lt;'[2]Read Me'!$B$4,"Red",IF($H145-'[2]Read Me'!$B$4&lt;=21,"Amber","Green"))))</f>
        <v>Amber</v>
      </c>
      <c r="N145" s="3"/>
      <c r="O145" t="str">
        <f>IF($I145&lt;&gt;"Complete",IF(COUNTIFS($A$4:$A144,$A145,$B$4:$B144,$B145,$I$4:$I144,"&lt;&gt;Complete")=0,$A145&amp;"|"&amp;$B145,""),"")</f>
        <v>|</v>
      </c>
      <c r="P145" t="str">
        <f ca="1">IF($K145="Yes",COUNTIFS($K$4:$K145,"Yes"),"")</f>
        <v/>
      </c>
      <c r="Q145">
        <f t="shared" ca="1" si="9"/>
        <v>0</v>
      </c>
      <c r="R145" t="str">
        <f ca="1">IF($Q145=1,SUM($Q$4:$Q145),"")</f>
        <v/>
      </c>
    </row>
    <row r="146" spans="1:18" ht="22.5" customHeight="1" x14ac:dyDescent="0.3">
      <c r="A146" s="2"/>
      <c r="B146" s="2"/>
      <c r="C146" s="3"/>
      <c r="D146" s="3"/>
      <c r="E146" s="2"/>
      <c r="F146" s="2"/>
      <c r="G146" s="5"/>
      <c r="H146" s="5"/>
      <c r="I146" s="4"/>
      <c r="J146" s="6" t="str">
        <f t="shared" si="7"/>
        <v/>
      </c>
      <c r="K146" s="4" t="str">
        <f t="shared" ca="1" si="8"/>
        <v/>
      </c>
      <c r="L146" s="7" t="str">
        <f>IF(I146="Completed","0",IF($H146="","",$H146-'[2]Read Me'!$B$4))</f>
        <v/>
      </c>
      <c r="M146" s="4" t="str">
        <f>IF($I146="Complete","Green",IF($H146="","Amber",IF($H146&lt;'[2]Read Me'!$B$4,"Red",IF($H146-'[2]Read Me'!$B$4&lt;=21,"Amber","Green"))))</f>
        <v>Amber</v>
      </c>
      <c r="N146" s="3"/>
      <c r="O146" t="str">
        <f>IF($I146&lt;&gt;"Complete",IF(COUNTIFS($A$4:$A145,$A146,$B$4:$B145,$B146,$I$4:$I145,"&lt;&gt;Complete")=0,$A146&amp;"|"&amp;$B146,""),"")</f>
        <v>|</v>
      </c>
      <c r="P146" t="str">
        <f ca="1">IF($K146="Yes",COUNTIFS($K$4:$K146,"Yes"),"")</f>
        <v/>
      </c>
      <c r="Q146">
        <f t="shared" ca="1" si="9"/>
        <v>0</v>
      </c>
      <c r="R146" t="str">
        <f ca="1">IF($Q146=1,SUM($Q$4:$Q146),"")</f>
        <v/>
      </c>
    </row>
    <row r="147" spans="1:18" ht="22.5" customHeight="1" x14ac:dyDescent="0.3">
      <c r="A147" s="2"/>
      <c r="B147" s="2"/>
      <c r="C147" s="3"/>
      <c r="D147" s="3"/>
      <c r="E147" s="2"/>
      <c r="F147" s="2"/>
      <c r="G147" s="5"/>
      <c r="H147" s="5"/>
      <c r="I147" s="4"/>
      <c r="J147" s="6" t="str">
        <f t="shared" si="7"/>
        <v/>
      </c>
      <c r="K147" s="4" t="str">
        <f t="shared" ca="1" si="8"/>
        <v/>
      </c>
      <c r="L147" s="7" t="str">
        <f>IF(I147="Completed","0",IF($H147="","",$H147-'[2]Read Me'!$B$4))</f>
        <v/>
      </c>
      <c r="M147" s="4" t="str">
        <f>IF($I147="Complete","Green",IF($H147="","Amber",IF($H147&lt;'[2]Read Me'!$B$4,"Red",IF($H147-'[2]Read Me'!$B$4&lt;=21,"Amber","Green"))))</f>
        <v>Amber</v>
      </c>
      <c r="N147" s="3"/>
      <c r="O147" t="str">
        <f>IF($I147&lt;&gt;"Complete",IF(COUNTIFS($A$4:$A146,$A147,$B$4:$B146,$B147,$I$4:$I146,"&lt;&gt;Complete")=0,$A147&amp;"|"&amp;$B147,""),"")</f>
        <v>|</v>
      </c>
      <c r="P147" t="str">
        <f ca="1">IF($K147="Yes",COUNTIFS($K$4:$K147,"Yes"),"")</f>
        <v/>
      </c>
      <c r="Q147">
        <f t="shared" ca="1" si="9"/>
        <v>0</v>
      </c>
      <c r="R147" t="str">
        <f ca="1">IF($Q147=1,SUM($Q$4:$Q147),"")</f>
        <v/>
      </c>
    </row>
    <row r="148" spans="1:18" ht="22.5" customHeight="1" x14ac:dyDescent="0.3">
      <c r="A148" s="2"/>
      <c r="B148" s="2"/>
      <c r="C148" s="3"/>
      <c r="D148" s="3"/>
      <c r="E148" s="2"/>
      <c r="F148" s="2"/>
      <c r="G148" s="5"/>
      <c r="H148" s="5"/>
      <c r="I148" s="4"/>
      <c r="J148" s="6" t="str">
        <f t="shared" si="7"/>
        <v/>
      </c>
      <c r="K148" s="4" t="str">
        <f t="shared" ca="1" si="8"/>
        <v/>
      </c>
      <c r="L148" s="7" t="str">
        <f>IF(I148="Completed","0",IF($H148="","",$H148-'[2]Read Me'!$B$4))</f>
        <v/>
      </c>
      <c r="M148" s="4" t="str">
        <f>IF($I148="Complete","Green",IF($H148="","Amber",IF($H148&lt;'[2]Read Me'!$B$4,"Red",IF($H148-'[2]Read Me'!$B$4&lt;=21,"Amber","Green"))))</f>
        <v>Amber</v>
      </c>
      <c r="N148" s="3"/>
      <c r="O148" t="str">
        <f>IF($I148&lt;&gt;"Complete",IF(COUNTIFS($A$4:$A147,$A148,$B$4:$B147,$B148,$I$4:$I147,"&lt;&gt;Complete")=0,$A148&amp;"|"&amp;$B148,""),"")</f>
        <v>|</v>
      </c>
      <c r="P148" t="str">
        <f ca="1">IF($K148="Yes",COUNTIFS($K$4:$K148,"Yes"),"")</f>
        <v/>
      </c>
      <c r="Q148">
        <f t="shared" ca="1" si="9"/>
        <v>0</v>
      </c>
      <c r="R148" t="str">
        <f ca="1">IF($Q148=1,SUM($Q$4:$Q148),"")</f>
        <v/>
      </c>
    </row>
    <row r="149" spans="1:18" ht="22.5" customHeight="1" x14ac:dyDescent="0.3">
      <c r="A149" s="2"/>
      <c r="B149" s="2"/>
      <c r="C149" s="3"/>
      <c r="D149" s="3"/>
      <c r="E149" s="2"/>
      <c r="F149" s="2"/>
      <c r="G149" s="5"/>
      <c r="H149" s="5"/>
      <c r="I149" s="4"/>
      <c r="J149" s="6" t="str">
        <f t="shared" si="7"/>
        <v/>
      </c>
      <c r="K149" s="4" t="str">
        <f t="shared" ca="1" si="8"/>
        <v/>
      </c>
      <c r="L149" s="7" t="str">
        <f>IF(I149="Completed","0",IF($H149="","",$H149-'[2]Read Me'!$B$4))</f>
        <v/>
      </c>
      <c r="M149" s="4" t="str">
        <f>IF($I149="Complete","Green",IF($H149="","Amber",IF($H149&lt;'[2]Read Me'!$B$4,"Red",IF($H149-'[2]Read Me'!$B$4&lt;=21,"Amber","Green"))))</f>
        <v>Amber</v>
      </c>
      <c r="N149" s="3"/>
      <c r="O149" t="str">
        <f>IF($I149&lt;&gt;"Complete",IF(COUNTIFS($A$4:$A148,$A149,$B$4:$B148,$B149,$I$4:$I148,"&lt;&gt;Complete")=0,$A149&amp;"|"&amp;$B149,""),"")</f>
        <v>|</v>
      </c>
      <c r="P149" t="str">
        <f ca="1">IF($K149="Yes",COUNTIFS($K$4:$K149,"Yes"),"")</f>
        <v/>
      </c>
      <c r="Q149">
        <f t="shared" ca="1" si="9"/>
        <v>0</v>
      </c>
      <c r="R149" t="str">
        <f ca="1">IF($Q149=1,SUM($Q$4:$Q149),"")</f>
        <v/>
      </c>
    </row>
    <row r="150" spans="1:18" ht="22.5" customHeight="1" x14ac:dyDescent="0.3">
      <c r="A150" s="2"/>
      <c r="B150" s="2"/>
      <c r="C150" s="3"/>
      <c r="D150" s="3"/>
      <c r="E150" s="2"/>
      <c r="F150" s="2"/>
      <c r="G150" s="5"/>
      <c r="H150" s="5"/>
      <c r="I150" s="4"/>
      <c r="J150" s="6" t="str">
        <f t="shared" si="7"/>
        <v/>
      </c>
      <c r="K150" s="4" t="str">
        <f t="shared" ca="1" si="8"/>
        <v/>
      </c>
      <c r="L150" s="7" t="str">
        <f>IF(I150="Completed","0",IF($H150="","",$H150-'[2]Read Me'!$B$4))</f>
        <v/>
      </c>
      <c r="M150" s="4" t="str">
        <f>IF($I150="Complete","Green",IF($H150="","Amber",IF($H150&lt;'[2]Read Me'!$B$4,"Red",IF($H150-'[2]Read Me'!$B$4&lt;=21,"Amber","Green"))))</f>
        <v>Amber</v>
      </c>
      <c r="N150" s="3"/>
      <c r="O150" t="str">
        <f>IF($I150&lt;&gt;"Complete",IF(COUNTIFS($A$4:$A149,$A150,$B$4:$B149,$B150,$I$4:$I149,"&lt;&gt;Complete")=0,$A150&amp;"|"&amp;$B150,""),"")</f>
        <v>|</v>
      </c>
      <c r="P150" t="str">
        <f ca="1">IF($K150="Yes",COUNTIFS($K$4:$K150,"Yes"),"")</f>
        <v/>
      </c>
      <c r="Q150">
        <f t="shared" ca="1" si="9"/>
        <v>0</v>
      </c>
      <c r="R150" t="str">
        <f ca="1">IF($Q150=1,SUM($Q$4:$Q150),"")</f>
        <v/>
      </c>
    </row>
    <row r="151" spans="1:18" ht="22.5" customHeight="1" x14ac:dyDescent="0.3">
      <c r="A151" s="2"/>
      <c r="B151" s="2"/>
      <c r="C151" s="3"/>
      <c r="D151" s="3"/>
      <c r="E151" s="2"/>
      <c r="F151" s="2"/>
      <c r="G151" s="5"/>
      <c r="H151" s="5"/>
      <c r="I151" s="4"/>
      <c r="J151" s="6" t="str">
        <f t="shared" si="7"/>
        <v/>
      </c>
      <c r="K151" s="4" t="str">
        <f t="shared" ca="1" si="8"/>
        <v/>
      </c>
      <c r="L151" s="7" t="str">
        <f>IF(I151="Completed","0",IF($H151="","",$H151-'[2]Read Me'!$B$4))</f>
        <v/>
      </c>
      <c r="M151" s="4" t="str">
        <f>IF($I151="Complete","Green",IF($H151="","Amber",IF($H151&lt;'[2]Read Me'!$B$4,"Red",IF($H151-'[2]Read Me'!$B$4&lt;=21,"Amber","Green"))))</f>
        <v>Amber</v>
      </c>
      <c r="N151" s="3"/>
      <c r="O151" t="str">
        <f>IF($I151&lt;&gt;"Complete",IF(COUNTIFS($A$4:$A150,$A151,$B$4:$B150,$B151,$I$4:$I150,"&lt;&gt;Complete")=0,$A151&amp;"|"&amp;$B151,""),"")</f>
        <v>|</v>
      </c>
      <c r="P151" t="str">
        <f ca="1">IF($K151="Yes",COUNTIFS($K$4:$K151,"Yes"),"")</f>
        <v/>
      </c>
      <c r="Q151">
        <f t="shared" ca="1" si="9"/>
        <v>0</v>
      </c>
      <c r="R151" t="str">
        <f ca="1">IF($Q151=1,SUM($Q$4:$Q151),"")</f>
        <v/>
      </c>
    </row>
    <row r="152" spans="1:18" ht="22.5" customHeight="1" x14ac:dyDescent="0.3">
      <c r="A152" s="2"/>
      <c r="B152" s="2"/>
      <c r="C152" s="3"/>
      <c r="D152" s="3"/>
      <c r="E152" s="2"/>
      <c r="F152" s="2"/>
      <c r="G152" s="5"/>
      <c r="H152" s="5"/>
      <c r="I152" s="4"/>
      <c r="J152" s="6" t="str">
        <f t="shared" si="7"/>
        <v/>
      </c>
      <c r="K152" s="4" t="str">
        <f t="shared" ca="1" si="8"/>
        <v/>
      </c>
      <c r="L152" s="7" t="str">
        <f>IF(I152="Completed","0",IF($H152="","",$H152-'[2]Read Me'!$B$4))</f>
        <v/>
      </c>
      <c r="M152" s="4" t="str">
        <f>IF($I152="Complete","Green",IF($H152="","Amber",IF($H152&lt;'[2]Read Me'!$B$4,"Red",IF($H152-'[2]Read Me'!$B$4&lt;=21,"Amber","Green"))))</f>
        <v>Amber</v>
      </c>
      <c r="N152" s="3"/>
      <c r="O152" t="str">
        <f>IF($I152&lt;&gt;"Complete",IF(COUNTIFS($A$4:$A151,$A152,$B$4:$B151,$B152,$I$4:$I151,"&lt;&gt;Complete")=0,$A152&amp;"|"&amp;$B152,""),"")</f>
        <v>|</v>
      </c>
      <c r="P152" t="str">
        <f ca="1">IF($K152="Yes",COUNTIFS($K$4:$K152,"Yes"),"")</f>
        <v/>
      </c>
      <c r="Q152">
        <f t="shared" ca="1" si="9"/>
        <v>0</v>
      </c>
      <c r="R152" t="str">
        <f ca="1">IF($Q152=1,SUM($Q$4:$Q152),"")</f>
        <v/>
      </c>
    </row>
    <row r="153" spans="1:18" ht="22.5" customHeight="1" x14ac:dyDescent="0.3">
      <c r="A153" s="2"/>
      <c r="B153" s="2"/>
      <c r="C153" s="3"/>
      <c r="D153" s="3"/>
      <c r="E153" s="2"/>
      <c r="F153" s="2"/>
      <c r="G153" s="5"/>
      <c r="H153" s="5"/>
      <c r="I153" s="4"/>
      <c r="J153" s="6" t="str">
        <f t="shared" si="7"/>
        <v/>
      </c>
      <c r="K153" s="4" t="str">
        <f t="shared" ca="1" si="8"/>
        <v/>
      </c>
      <c r="L153" s="7" t="str">
        <f>IF(I153="Completed","0",IF($H153="","",$H153-'[2]Read Me'!$B$4))</f>
        <v/>
      </c>
      <c r="M153" s="4" t="str">
        <f>IF($I153="Complete","Green",IF($H153="","Amber",IF($H153&lt;'[2]Read Me'!$B$4,"Red",IF($H153-'[2]Read Me'!$B$4&lt;=21,"Amber","Green"))))</f>
        <v>Amber</v>
      </c>
      <c r="N153" s="3"/>
      <c r="O153" t="str">
        <f>IF($I153&lt;&gt;"Complete",IF(COUNTIFS($A$4:$A152,$A153,$B$4:$B152,$B153,$I$4:$I152,"&lt;&gt;Complete")=0,$A153&amp;"|"&amp;$B153,""),"")</f>
        <v>|</v>
      </c>
      <c r="P153" t="str">
        <f ca="1">IF($K153="Yes",COUNTIFS($K$4:$K153,"Yes"),"")</f>
        <v/>
      </c>
      <c r="Q153">
        <f t="shared" ca="1" si="9"/>
        <v>0</v>
      </c>
      <c r="R153" t="str">
        <f ca="1">IF($Q153=1,SUM($Q$4:$Q153),"")</f>
        <v/>
      </c>
    </row>
    <row r="154" spans="1:18" ht="22.5" customHeight="1" x14ac:dyDescent="0.3">
      <c r="A154" s="2"/>
      <c r="B154" s="2"/>
      <c r="C154" s="3"/>
      <c r="D154" s="3"/>
      <c r="E154" s="2"/>
      <c r="F154" s="2"/>
      <c r="G154" s="5"/>
      <c r="H154" s="5"/>
      <c r="I154" s="4"/>
      <c r="J154" s="6" t="str">
        <f t="shared" si="7"/>
        <v/>
      </c>
      <c r="K154" s="4" t="str">
        <f t="shared" ca="1" si="8"/>
        <v/>
      </c>
      <c r="L154" s="7" t="str">
        <f>IF(I154="Completed","0",IF($H154="","",$H154-'[2]Read Me'!$B$4))</f>
        <v/>
      </c>
      <c r="M154" s="4" t="str">
        <f>IF($I154="Complete","Green",IF($H154="","Amber",IF($H154&lt;'[2]Read Me'!$B$4,"Red",IF($H154-'[2]Read Me'!$B$4&lt;=21,"Amber","Green"))))</f>
        <v>Amber</v>
      </c>
      <c r="N154" s="3"/>
      <c r="O154" t="str">
        <f>IF($I154&lt;&gt;"Complete",IF(COUNTIFS($A$4:$A153,$A154,$B$4:$B153,$B154,$I$4:$I153,"&lt;&gt;Complete")=0,$A154&amp;"|"&amp;$B154,""),"")</f>
        <v>|</v>
      </c>
      <c r="P154" t="str">
        <f ca="1">IF($K154="Yes",COUNTIFS($K$4:$K154,"Yes"),"")</f>
        <v/>
      </c>
      <c r="Q154">
        <f t="shared" ca="1" si="9"/>
        <v>0</v>
      </c>
      <c r="R154" t="str">
        <f ca="1">IF($Q154=1,SUM($Q$4:$Q154),"")</f>
        <v/>
      </c>
    </row>
    <row r="155" spans="1:18" ht="22.5" customHeight="1" x14ac:dyDescent="0.3">
      <c r="A155" s="2"/>
      <c r="B155" s="2"/>
      <c r="C155" s="3"/>
      <c r="D155" s="3"/>
      <c r="E155" s="2"/>
      <c r="F155" s="2"/>
      <c r="G155" s="5"/>
      <c r="H155" s="5"/>
      <c r="I155" s="4"/>
      <c r="J155" s="6" t="str">
        <f t="shared" si="7"/>
        <v/>
      </c>
      <c r="K155" s="4" t="str">
        <f t="shared" ca="1" si="8"/>
        <v/>
      </c>
      <c r="L155" s="7" t="str">
        <f>IF(I155="Completed","0",IF($H155="","",$H155-'[2]Read Me'!$B$4))</f>
        <v/>
      </c>
      <c r="M155" s="4" t="str">
        <f>IF($I155="Complete","Green",IF($H155="","Amber",IF($H155&lt;'[2]Read Me'!$B$4,"Red",IF($H155-'[2]Read Me'!$B$4&lt;=21,"Amber","Green"))))</f>
        <v>Amber</v>
      </c>
      <c r="N155" s="3"/>
      <c r="O155" t="str">
        <f>IF($I155&lt;&gt;"Complete",IF(COUNTIFS($A$4:$A154,$A155,$B$4:$B154,$B155,$I$4:$I154,"&lt;&gt;Complete")=0,$A155&amp;"|"&amp;$B155,""),"")</f>
        <v>|</v>
      </c>
      <c r="P155" t="str">
        <f ca="1">IF($K155="Yes",COUNTIFS($K$4:$K155,"Yes"),"")</f>
        <v/>
      </c>
      <c r="Q155">
        <f t="shared" ca="1" si="9"/>
        <v>0</v>
      </c>
      <c r="R155" t="str">
        <f ca="1">IF($Q155=1,SUM($Q$4:$Q155),"")</f>
        <v/>
      </c>
    </row>
    <row r="156" spans="1:18" ht="22.5" customHeight="1" x14ac:dyDescent="0.3">
      <c r="A156" s="2"/>
      <c r="B156" s="2"/>
      <c r="C156" s="3"/>
      <c r="D156" s="3"/>
      <c r="E156" s="2"/>
      <c r="F156" s="2"/>
      <c r="G156" s="5"/>
      <c r="H156" s="5"/>
      <c r="I156" s="4"/>
      <c r="J156" s="6" t="str">
        <f t="shared" si="7"/>
        <v/>
      </c>
      <c r="K156" s="4" t="str">
        <f t="shared" ca="1" si="8"/>
        <v/>
      </c>
      <c r="L156" s="7" t="str">
        <f>IF(I156="Completed","0",IF($H156="","",$H156-'[2]Read Me'!$B$4))</f>
        <v/>
      </c>
      <c r="M156" s="4" t="str">
        <f>IF($I156="Complete","Green",IF($H156="","Amber",IF($H156&lt;'[2]Read Me'!$B$4,"Red",IF($H156-'[2]Read Me'!$B$4&lt;=21,"Amber","Green"))))</f>
        <v>Amber</v>
      </c>
      <c r="N156" s="3"/>
      <c r="O156" t="str">
        <f>IF($I156&lt;&gt;"Complete",IF(COUNTIFS($A$4:$A155,$A156,$B$4:$B155,$B156,$I$4:$I155,"&lt;&gt;Complete")=0,$A156&amp;"|"&amp;$B156,""),"")</f>
        <v>|</v>
      </c>
      <c r="P156" t="str">
        <f ca="1">IF($K156="Yes",COUNTIFS($K$4:$K156,"Yes"),"")</f>
        <v/>
      </c>
      <c r="Q156">
        <f t="shared" ca="1" si="9"/>
        <v>0</v>
      </c>
      <c r="R156" t="str">
        <f ca="1">IF($Q156=1,SUM($Q$4:$Q156),"")</f>
        <v/>
      </c>
    </row>
    <row r="157" spans="1:18" ht="33.75" customHeight="1" x14ac:dyDescent="0.3">
      <c r="A157" s="2"/>
      <c r="B157" s="2"/>
      <c r="C157" s="3"/>
      <c r="D157" s="3"/>
      <c r="E157" s="2"/>
      <c r="F157" s="2"/>
      <c r="G157" s="5"/>
      <c r="H157" s="5"/>
      <c r="I157" s="4"/>
      <c r="J157" s="6" t="str">
        <f t="shared" si="7"/>
        <v/>
      </c>
      <c r="K157" s="4" t="str">
        <f t="shared" ca="1" si="8"/>
        <v/>
      </c>
      <c r="L157" s="7" t="str">
        <f>IF(I157="Completed","0",IF($H157="","",$H157-'[2]Read Me'!$B$4))</f>
        <v/>
      </c>
      <c r="M157" s="4" t="str">
        <f>IF($I157="Complete","Green",IF($H157="","Amber",IF($H157&lt;'[2]Read Me'!$B$4,"Red",IF($H157-'[2]Read Me'!$B$4&lt;=21,"Amber","Green"))))</f>
        <v>Amber</v>
      </c>
      <c r="N157" s="3"/>
      <c r="O157" t="str">
        <f>IF($I157&lt;&gt;"Complete",IF(COUNTIFS($A$4:$A156,$A157,$B$4:$B156,$B157,$I$4:$I156,"&lt;&gt;Complete")=0,$A157&amp;"|"&amp;$B157,""),"")</f>
        <v>|</v>
      </c>
      <c r="P157" t="str">
        <f ca="1">IF($K157="Yes",COUNTIFS($K$4:$K157,"Yes"),"")</f>
        <v/>
      </c>
      <c r="Q157">
        <f t="shared" ca="1" si="9"/>
        <v>0</v>
      </c>
      <c r="R157" t="str">
        <f ca="1">IF($Q157=1,SUM($Q$4:$Q157),"")</f>
        <v/>
      </c>
    </row>
    <row r="158" spans="1:18" ht="33.75" customHeight="1" x14ac:dyDescent="0.3">
      <c r="A158" s="2"/>
      <c r="B158" s="2"/>
      <c r="C158" s="3"/>
      <c r="D158" s="3"/>
      <c r="E158" s="2"/>
      <c r="F158" s="2"/>
      <c r="G158" s="5"/>
      <c r="H158" s="5"/>
      <c r="I158" s="4"/>
      <c r="J158" s="6" t="str">
        <f t="shared" si="7"/>
        <v/>
      </c>
      <c r="K158" s="4" t="str">
        <f t="shared" ca="1" si="8"/>
        <v/>
      </c>
      <c r="L158" s="7" t="str">
        <f>IF(I158="Completed","0",IF($H158="","",$H158-'[2]Read Me'!$B$4))</f>
        <v/>
      </c>
      <c r="M158" s="4" t="str">
        <f>IF($I158="Complete","Green",IF($H158="","Amber",IF($H158&lt;'[2]Read Me'!$B$4,"Red",IF($H158-'[2]Read Me'!$B$4&lt;=21,"Amber","Green"))))</f>
        <v>Amber</v>
      </c>
      <c r="N158" s="3"/>
      <c r="O158" t="str">
        <f>IF($I158&lt;&gt;"Complete",IF(COUNTIFS($A$4:$A157,$A158,$B$4:$B157,$B158,$I$4:$I157,"&lt;&gt;Complete")=0,$A158&amp;"|"&amp;$B158,""),"")</f>
        <v>|</v>
      </c>
      <c r="P158" t="str">
        <f ca="1">IF($K158="Yes",COUNTIFS($K$4:$K158,"Yes"),"")</f>
        <v/>
      </c>
      <c r="Q158">
        <f t="shared" ca="1" si="9"/>
        <v>0</v>
      </c>
      <c r="R158" t="str">
        <f ca="1">IF($Q158=1,SUM($Q$4:$Q158),"")</f>
        <v/>
      </c>
    </row>
    <row r="159" spans="1:18" ht="33.75" customHeight="1" x14ac:dyDescent="0.3">
      <c r="A159" s="2"/>
      <c r="B159" s="2"/>
      <c r="C159" s="3"/>
      <c r="D159" s="3"/>
      <c r="E159" s="2"/>
      <c r="F159" s="2"/>
      <c r="G159" s="5"/>
      <c r="H159" s="5"/>
      <c r="I159" s="4"/>
      <c r="J159" s="6" t="str">
        <f t="shared" si="7"/>
        <v/>
      </c>
      <c r="K159" s="4" t="str">
        <f t="shared" ca="1" si="8"/>
        <v/>
      </c>
      <c r="L159" s="7" t="str">
        <f>IF(I159="Completed","0",IF($H159="","",$H159-'[2]Read Me'!$B$4))</f>
        <v/>
      </c>
      <c r="M159" s="4" t="str">
        <f>IF($I159="Complete","Green",IF($H159="","Amber",IF($H159&lt;'[2]Read Me'!$B$4,"Red",IF($H159-'[2]Read Me'!$B$4&lt;=21,"Amber","Green"))))</f>
        <v>Amber</v>
      </c>
      <c r="N159" s="3"/>
      <c r="O159" t="str">
        <f>IF($I159&lt;&gt;"Complete",IF(COUNTIFS($A$4:$A158,$A159,$B$4:$B158,$B159,$I$4:$I158,"&lt;&gt;Complete")=0,$A159&amp;"|"&amp;$B159,""),"")</f>
        <v>|</v>
      </c>
      <c r="P159" t="str">
        <f ca="1">IF($K159="Yes",COUNTIFS($K$4:$K159,"Yes"),"")</f>
        <v/>
      </c>
      <c r="Q159">
        <f t="shared" ca="1" si="9"/>
        <v>0</v>
      </c>
      <c r="R159" t="str">
        <f ca="1">IF($Q159=1,SUM($Q$4:$Q159),"")</f>
        <v/>
      </c>
    </row>
    <row r="160" spans="1:18" ht="33.75" customHeight="1" x14ac:dyDescent="0.3">
      <c r="A160" s="2"/>
      <c r="B160" s="2"/>
      <c r="C160" s="3"/>
      <c r="D160" s="3"/>
      <c r="E160" s="2"/>
      <c r="F160" s="2"/>
      <c r="G160" s="5"/>
      <c r="H160" s="5"/>
      <c r="I160" s="4"/>
      <c r="J160" s="6" t="str">
        <f t="shared" si="7"/>
        <v/>
      </c>
      <c r="K160" s="4" t="str">
        <f t="shared" ca="1" si="8"/>
        <v/>
      </c>
      <c r="L160" s="7" t="str">
        <f>IF(I160="Completed","0",IF($H160="","",$H160-'[2]Read Me'!$B$4))</f>
        <v/>
      </c>
      <c r="M160" s="4" t="str">
        <f>IF($I160="Complete","Green",IF($H160="","Amber",IF($H160&lt;'[2]Read Me'!$B$4,"Red",IF($H160-'[2]Read Me'!$B$4&lt;=21,"Amber","Green"))))</f>
        <v>Amber</v>
      </c>
      <c r="N160" s="3"/>
      <c r="O160" t="str">
        <f>IF($I160&lt;&gt;"Complete",IF(COUNTIFS($A$4:$A159,$A160,$B$4:$B159,$B160,$I$4:$I159,"&lt;&gt;Complete")=0,$A160&amp;"|"&amp;$B160,""),"")</f>
        <v>|</v>
      </c>
      <c r="P160" t="str">
        <f ca="1">IF($K160="Yes",COUNTIFS($K$4:$K160,"Yes"),"")</f>
        <v/>
      </c>
      <c r="Q160">
        <f t="shared" ca="1" si="9"/>
        <v>0</v>
      </c>
      <c r="R160" t="str">
        <f ca="1">IF($Q160=1,SUM($Q$4:$Q160),"")</f>
        <v/>
      </c>
    </row>
    <row r="161" spans="1:18" ht="33.75" customHeight="1" x14ac:dyDescent="0.3">
      <c r="A161" s="2"/>
      <c r="B161" s="2"/>
      <c r="C161" s="3"/>
      <c r="D161" s="3"/>
      <c r="E161" s="2"/>
      <c r="F161" s="2"/>
      <c r="G161" s="5"/>
      <c r="H161" s="5"/>
      <c r="I161" s="4"/>
      <c r="J161" s="6" t="str">
        <f t="shared" si="7"/>
        <v/>
      </c>
      <c r="K161" s="4" t="str">
        <f t="shared" ca="1" si="8"/>
        <v/>
      </c>
      <c r="L161" s="7" t="str">
        <f>IF(I161="Completed","0",IF($H161="","",$H161-'[2]Read Me'!$B$4))</f>
        <v/>
      </c>
      <c r="M161" s="4" t="str">
        <f>IF($I161="Complete","Green",IF($H161="","Amber",IF($H161&lt;'[2]Read Me'!$B$4,"Red",IF($H161-'[2]Read Me'!$B$4&lt;=21,"Amber","Green"))))</f>
        <v>Amber</v>
      </c>
      <c r="N161" s="3"/>
      <c r="O161" t="str">
        <f>IF($I161&lt;&gt;"Complete",IF(COUNTIFS($A$4:$A160,$A161,$B$4:$B160,$B161,$I$4:$I160,"&lt;&gt;Complete")=0,$A161&amp;"|"&amp;$B161,""),"")</f>
        <v>|</v>
      </c>
      <c r="P161" t="str">
        <f ca="1">IF($K161="Yes",COUNTIFS($K$4:$K161,"Yes"),"")</f>
        <v/>
      </c>
      <c r="Q161">
        <f t="shared" ca="1" si="9"/>
        <v>0</v>
      </c>
      <c r="R161" t="str">
        <f ca="1">IF($Q161=1,SUM($Q$4:$Q161),"")</f>
        <v/>
      </c>
    </row>
    <row r="162" spans="1:18" ht="33.75" customHeight="1" x14ac:dyDescent="0.3">
      <c r="A162" s="2"/>
      <c r="B162" s="2"/>
      <c r="C162" s="3"/>
      <c r="D162" s="3"/>
      <c r="E162" s="2"/>
      <c r="F162" s="2"/>
      <c r="G162" s="5"/>
      <c r="H162" s="5"/>
      <c r="I162" s="4"/>
      <c r="J162" s="6" t="str">
        <f t="shared" si="7"/>
        <v/>
      </c>
      <c r="K162" s="4" t="str">
        <f t="shared" ca="1" si="8"/>
        <v/>
      </c>
      <c r="L162" s="7" t="str">
        <f>IF(I162="Completed","0",IF($H162="","",$H162-'[2]Read Me'!$B$4))</f>
        <v/>
      </c>
      <c r="M162" s="4" t="str">
        <f>IF($I162="Complete","Green",IF($H162="","Amber",IF($H162&lt;'[2]Read Me'!$B$4,"Red",IF($H162-'[2]Read Me'!$B$4&lt;=21,"Amber","Green"))))</f>
        <v>Amber</v>
      </c>
      <c r="N162" s="3"/>
      <c r="O162" t="str">
        <f>IF($I162&lt;&gt;"Complete",IF(COUNTIFS($A$4:$A161,$A162,$B$4:$B161,$B162,$I$4:$I161,"&lt;&gt;Complete")=0,$A162&amp;"|"&amp;$B162,""),"")</f>
        <v>|</v>
      </c>
      <c r="P162" t="str">
        <f ca="1">IF($K162="Yes",COUNTIFS($K$4:$K162,"Yes"),"")</f>
        <v/>
      </c>
      <c r="Q162">
        <f t="shared" ca="1" si="9"/>
        <v>0</v>
      </c>
      <c r="R162" t="str">
        <f ca="1">IF($Q162=1,SUM($Q$4:$Q162),"")</f>
        <v/>
      </c>
    </row>
    <row r="163" spans="1:18" ht="33.75" customHeight="1" x14ac:dyDescent="0.3">
      <c r="A163" s="2"/>
      <c r="B163" s="2"/>
      <c r="C163" s="3"/>
      <c r="D163" s="3"/>
      <c r="E163" s="2"/>
      <c r="F163" s="2"/>
      <c r="G163" s="5"/>
      <c r="H163" s="5"/>
      <c r="I163" s="4"/>
      <c r="J163" s="6" t="str">
        <f t="shared" si="7"/>
        <v/>
      </c>
      <c r="K163" s="4" t="str">
        <f t="shared" ca="1" si="8"/>
        <v/>
      </c>
      <c r="L163" s="7" t="str">
        <f>IF(I163="Completed","0",IF($H163="","",$H163-'[2]Read Me'!$B$4))</f>
        <v/>
      </c>
      <c r="M163" s="4" t="str">
        <f>IF($I163="Complete","Green",IF($H163="","Amber",IF($H163&lt;'[2]Read Me'!$B$4,"Red",IF($H163-'[2]Read Me'!$B$4&lt;=21,"Amber","Green"))))</f>
        <v>Amber</v>
      </c>
      <c r="N163" s="3"/>
      <c r="O163" t="str">
        <f>IF($I163&lt;&gt;"Complete",IF(COUNTIFS($A$4:$A162,$A163,$B$4:$B162,$B163,$I$4:$I162,"&lt;&gt;Complete")=0,$A163&amp;"|"&amp;$B163,""),"")</f>
        <v>|</v>
      </c>
      <c r="P163" t="str">
        <f ca="1">IF($K163="Yes",COUNTIFS($K$4:$K163,"Yes"),"")</f>
        <v/>
      </c>
      <c r="Q163">
        <f t="shared" ca="1" si="9"/>
        <v>0</v>
      </c>
      <c r="R163" t="str">
        <f ca="1">IF($Q163=1,SUM($Q$4:$Q163),"")</f>
        <v/>
      </c>
    </row>
    <row r="164" spans="1:18" ht="33.75" customHeight="1" x14ac:dyDescent="0.3">
      <c r="A164" s="2"/>
      <c r="B164" s="2"/>
      <c r="C164" s="3"/>
      <c r="D164" s="3"/>
      <c r="E164" s="2"/>
      <c r="F164" s="2"/>
      <c r="G164" s="5"/>
      <c r="H164" s="5"/>
      <c r="I164" s="4"/>
      <c r="J164" s="6" t="str">
        <f t="shared" si="7"/>
        <v/>
      </c>
      <c r="K164" s="4" t="str">
        <f t="shared" ca="1" si="8"/>
        <v/>
      </c>
      <c r="L164" s="7" t="str">
        <f>IF(I164="Completed","0",IF($H164="","",$H164-'[2]Read Me'!$B$4))</f>
        <v/>
      </c>
      <c r="M164" s="4" t="str">
        <f>IF($I164="Complete","Green",IF($H164="","Amber",IF($H164&lt;'[2]Read Me'!$B$4,"Red",IF($H164-'[2]Read Me'!$B$4&lt;=21,"Amber","Green"))))</f>
        <v>Amber</v>
      </c>
      <c r="N164" s="3"/>
      <c r="O164" t="str">
        <f>IF($I164&lt;&gt;"Complete",IF(COUNTIFS($A$4:$A163,$A164,$B$4:$B163,$B164,$I$4:$I163,"&lt;&gt;Complete")=0,$A164&amp;"|"&amp;$B164,""),"")</f>
        <v>|</v>
      </c>
      <c r="P164" t="str">
        <f ca="1">IF($K164="Yes",COUNTIFS($K$4:$K164,"Yes"),"")</f>
        <v/>
      </c>
      <c r="Q164">
        <f t="shared" ca="1" si="9"/>
        <v>0</v>
      </c>
      <c r="R164" t="str">
        <f ca="1">IF($Q164=1,SUM($Q$4:$Q164),"")</f>
        <v/>
      </c>
    </row>
    <row r="165" spans="1:18" ht="33.75" customHeight="1" x14ac:dyDescent="0.3">
      <c r="A165" s="2"/>
      <c r="B165" s="2"/>
      <c r="C165" s="3"/>
      <c r="D165" s="3"/>
      <c r="E165" s="2"/>
      <c r="F165" s="2"/>
      <c r="G165" s="5"/>
      <c r="H165" s="5"/>
      <c r="I165" s="4"/>
      <c r="J165" s="6" t="str">
        <f t="shared" si="7"/>
        <v/>
      </c>
      <c r="K165" s="4" t="str">
        <f t="shared" ca="1" si="8"/>
        <v/>
      </c>
      <c r="L165" s="7" t="str">
        <f>IF(I165="Completed","0",IF($H165="","",$H165-'[2]Read Me'!$B$4))</f>
        <v/>
      </c>
      <c r="M165" s="4" t="str">
        <f>IF($I165="Complete","Green",IF($H165="","Amber",IF($H165&lt;'[2]Read Me'!$B$4,"Red",IF($H165-'[2]Read Me'!$B$4&lt;=21,"Amber","Green"))))</f>
        <v>Amber</v>
      </c>
      <c r="N165" s="3"/>
      <c r="O165" t="str">
        <f>IF($I165&lt;&gt;"Complete",IF(COUNTIFS($A$4:$A164,$A165,$B$4:$B164,$B165,$I$4:$I164,"&lt;&gt;Complete")=0,$A165&amp;"|"&amp;$B165,""),"")</f>
        <v>|</v>
      </c>
      <c r="P165" t="str">
        <f ca="1">IF($K165="Yes",COUNTIFS($K$4:$K165,"Yes"),"")</f>
        <v/>
      </c>
      <c r="Q165">
        <f t="shared" ca="1" si="9"/>
        <v>0</v>
      </c>
      <c r="R165" t="str">
        <f ca="1">IF($Q165=1,SUM($Q$4:$Q165),"")</f>
        <v/>
      </c>
    </row>
    <row r="166" spans="1:18" ht="33.75" customHeight="1" x14ac:dyDescent="0.3">
      <c r="A166" s="2"/>
      <c r="B166" s="2"/>
      <c r="C166" s="3"/>
      <c r="D166" s="3"/>
      <c r="E166" s="2"/>
      <c r="F166" s="2"/>
      <c r="G166" s="5"/>
      <c r="H166" s="5"/>
      <c r="I166" s="4"/>
      <c r="J166" s="6" t="str">
        <f t="shared" si="7"/>
        <v/>
      </c>
      <c r="K166" s="4" t="str">
        <f t="shared" ca="1" si="8"/>
        <v/>
      </c>
      <c r="L166" s="7" t="str">
        <f>IF(I166="Completed","0",IF($H166="","",$H166-'[2]Read Me'!$B$4))</f>
        <v/>
      </c>
      <c r="M166" s="4" t="str">
        <f>IF($I166="Complete","Green",IF($H166="","Amber",IF($H166&lt;'[2]Read Me'!$B$4,"Red",IF($H166-'[2]Read Me'!$B$4&lt;=21,"Amber","Green"))))</f>
        <v>Amber</v>
      </c>
      <c r="N166" s="3"/>
      <c r="O166" t="str">
        <f>IF($I166&lt;&gt;"Complete",IF(COUNTIFS($A$4:$A165,$A166,$B$4:$B165,$B166,$I$4:$I165,"&lt;&gt;Complete")=0,$A166&amp;"|"&amp;$B166,""),"")</f>
        <v>|</v>
      </c>
      <c r="P166" t="str">
        <f ca="1">IF($K166="Yes",COUNTIFS($K$4:$K166,"Yes"),"")</f>
        <v/>
      </c>
      <c r="Q166">
        <f t="shared" ca="1" si="9"/>
        <v>0</v>
      </c>
      <c r="R166" t="str">
        <f ca="1">IF($Q166=1,SUM($Q$4:$Q166),"")</f>
        <v/>
      </c>
    </row>
    <row r="167" spans="1:18" ht="33.75" customHeight="1" x14ac:dyDescent="0.3">
      <c r="A167" s="2"/>
      <c r="B167" s="2"/>
      <c r="C167" s="3"/>
      <c r="D167" s="3"/>
      <c r="E167" s="2"/>
      <c r="F167" s="2"/>
      <c r="G167" s="5"/>
      <c r="H167" s="5"/>
      <c r="I167" s="4"/>
      <c r="J167" s="6" t="str">
        <f t="shared" si="7"/>
        <v/>
      </c>
      <c r="K167" s="4" t="str">
        <f t="shared" ca="1" si="8"/>
        <v/>
      </c>
      <c r="L167" s="7" t="str">
        <f>IF(I167="Completed","0",IF($H167="","",$H167-'[2]Read Me'!$B$4))</f>
        <v/>
      </c>
      <c r="M167" s="4" t="str">
        <f>IF($I167="Complete","Green",IF($H167="","Amber",IF($H167&lt;'[2]Read Me'!$B$4,"Red",IF($H167-'[2]Read Me'!$B$4&lt;=21,"Amber","Green"))))</f>
        <v>Amber</v>
      </c>
      <c r="N167" s="3"/>
      <c r="O167" t="str">
        <f>IF($I167&lt;&gt;"Complete",IF(COUNTIFS($A$4:$A166,$A167,$B$4:$B166,$B167,$I$4:$I166,"&lt;&gt;Complete")=0,$A167&amp;"|"&amp;$B167,""),"")</f>
        <v>|</v>
      </c>
      <c r="P167" t="str">
        <f ca="1">IF($K167="Yes",COUNTIFS($K$4:$K167,"Yes"),"")</f>
        <v/>
      </c>
      <c r="Q167">
        <f t="shared" ca="1" si="9"/>
        <v>0</v>
      </c>
      <c r="R167" t="str">
        <f ca="1">IF($Q167=1,SUM($Q$4:$Q167),"")</f>
        <v/>
      </c>
    </row>
    <row r="168" spans="1:18" ht="33.75" customHeight="1" x14ac:dyDescent="0.3">
      <c r="A168" s="2"/>
      <c r="B168" s="2"/>
      <c r="C168" s="3"/>
      <c r="D168" s="3"/>
      <c r="E168" s="2"/>
      <c r="F168" s="2"/>
      <c r="G168" s="5"/>
      <c r="H168" s="5"/>
      <c r="I168" s="4"/>
      <c r="J168" s="6" t="str">
        <f t="shared" si="7"/>
        <v/>
      </c>
      <c r="K168" s="4" t="str">
        <f t="shared" ca="1" si="8"/>
        <v/>
      </c>
      <c r="L168" s="7" t="str">
        <f>IF(I168="Completed","0",IF($H168="","",$H168-'[2]Read Me'!$B$4))</f>
        <v/>
      </c>
      <c r="M168" s="4" t="str">
        <f>IF($I168="Complete","Green",IF($H168="","Amber",IF($H168&lt;'[2]Read Me'!$B$4,"Red",IF($H168-'[2]Read Me'!$B$4&lt;=21,"Amber","Green"))))</f>
        <v>Amber</v>
      </c>
      <c r="N168" s="3"/>
      <c r="O168" t="str">
        <f>IF($I168&lt;&gt;"Complete",IF(COUNTIFS($A$4:$A167,$A168,$B$4:$B167,$B168,$I$4:$I167,"&lt;&gt;Complete")=0,$A168&amp;"|"&amp;$B168,""),"")</f>
        <v>|</v>
      </c>
      <c r="P168" t="str">
        <f ca="1">IF($K168="Yes",COUNTIFS($K$4:$K168,"Yes"),"")</f>
        <v/>
      </c>
      <c r="Q168">
        <f t="shared" ca="1" si="9"/>
        <v>0</v>
      </c>
      <c r="R168" t="str">
        <f ca="1">IF($Q168=1,SUM($Q$4:$Q168),"")</f>
        <v/>
      </c>
    </row>
    <row r="169" spans="1:18" ht="33.75" customHeight="1" x14ac:dyDescent="0.3">
      <c r="A169" s="2"/>
      <c r="B169" s="2"/>
      <c r="C169" s="3"/>
      <c r="D169" s="3"/>
      <c r="E169" s="2"/>
      <c r="F169" s="2"/>
      <c r="G169" s="5"/>
      <c r="H169" s="5"/>
      <c r="I169" s="4"/>
      <c r="J169" s="6" t="str">
        <f t="shared" si="7"/>
        <v/>
      </c>
      <c r="K169" s="4" t="str">
        <f t="shared" ca="1" si="8"/>
        <v/>
      </c>
      <c r="L169" s="7" t="str">
        <f>IF(I169="Completed","0",IF($H169="","",$H169-'[2]Read Me'!$B$4))</f>
        <v/>
      </c>
      <c r="M169" s="4" t="str">
        <f>IF($I169="Complete","Green",IF($H169="","Amber",IF($H169&lt;'[2]Read Me'!$B$4,"Red",IF($H169-'[2]Read Me'!$B$4&lt;=21,"Amber","Green"))))</f>
        <v>Amber</v>
      </c>
      <c r="N169" s="3"/>
      <c r="O169" t="str">
        <f>IF($I169&lt;&gt;"Complete",IF(COUNTIFS($A$4:$A168,$A169,$B$4:$B168,$B169,$I$4:$I168,"&lt;&gt;Complete")=0,$A169&amp;"|"&amp;$B169,""),"")</f>
        <v>|</v>
      </c>
      <c r="P169" t="str">
        <f ca="1">IF($K169="Yes",COUNTIFS($K$4:$K169,"Yes"),"")</f>
        <v/>
      </c>
      <c r="Q169">
        <f t="shared" ca="1" si="9"/>
        <v>0</v>
      </c>
      <c r="R169" t="str">
        <f ca="1">IF($Q169=1,SUM($Q$4:$Q169),"")</f>
        <v/>
      </c>
    </row>
    <row r="170" spans="1:18" ht="33.75" customHeight="1" x14ac:dyDescent="0.3">
      <c r="A170" s="2"/>
      <c r="B170" s="2"/>
      <c r="C170" s="3"/>
      <c r="D170" s="3"/>
      <c r="E170" s="2"/>
      <c r="F170" s="2"/>
      <c r="G170" s="5"/>
      <c r="H170" s="5"/>
      <c r="I170" s="4"/>
      <c r="J170" s="6" t="str">
        <f t="shared" si="7"/>
        <v/>
      </c>
      <c r="K170" s="4" t="str">
        <f t="shared" ca="1" si="8"/>
        <v/>
      </c>
      <c r="L170" s="7" t="str">
        <f>IF(I170="Completed","0",IF($H170="","",$H170-'[2]Read Me'!$B$4))</f>
        <v/>
      </c>
      <c r="M170" s="4" t="str">
        <f>IF($I170="Complete","Green",IF($H170="","Amber",IF($H170&lt;'[2]Read Me'!$B$4,"Red",IF($H170-'[2]Read Me'!$B$4&lt;=21,"Amber","Green"))))</f>
        <v>Amber</v>
      </c>
      <c r="N170" s="3"/>
      <c r="O170" t="str">
        <f>IF($I170&lt;&gt;"Complete",IF(COUNTIFS($A$4:$A169,$A170,$B$4:$B169,$B170,$I$4:$I169,"&lt;&gt;Complete")=0,$A170&amp;"|"&amp;$B170,""),"")</f>
        <v>|</v>
      </c>
      <c r="P170" t="str">
        <f ca="1">IF($K170="Yes",COUNTIFS($K$4:$K170,"Yes"),"")</f>
        <v/>
      </c>
      <c r="Q170">
        <f t="shared" ca="1" si="9"/>
        <v>0</v>
      </c>
      <c r="R170" t="str">
        <f ca="1">IF($Q170=1,SUM($Q$4:$Q170),"")</f>
        <v/>
      </c>
    </row>
    <row r="171" spans="1:18" ht="33.75" customHeight="1" x14ac:dyDescent="0.3">
      <c r="A171" s="2"/>
      <c r="B171" s="2"/>
      <c r="C171" s="3"/>
      <c r="D171" s="3"/>
      <c r="E171" s="2"/>
      <c r="F171" s="2"/>
      <c r="G171" s="5"/>
      <c r="H171" s="5"/>
      <c r="I171" s="4"/>
      <c r="J171" s="6" t="str">
        <f t="shared" si="7"/>
        <v/>
      </c>
      <c r="K171" s="4" t="str">
        <f t="shared" ca="1" si="8"/>
        <v/>
      </c>
      <c r="L171" s="7" t="str">
        <f>IF(I171="Completed","0",IF($H171="","",$H171-'[2]Read Me'!$B$4))</f>
        <v/>
      </c>
      <c r="M171" s="4" t="str">
        <f>IF($I171="Complete","Green",IF($H171="","Amber",IF($H171&lt;'[2]Read Me'!$B$4,"Red",IF($H171-'[2]Read Me'!$B$4&lt;=21,"Amber","Green"))))</f>
        <v>Amber</v>
      </c>
      <c r="N171" s="3"/>
      <c r="O171" t="str">
        <f>IF($I171&lt;&gt;"Complete",IF(COUNTIFS($A$4:$A170,$A171,$B$4:$B170,$B171,$I$4:$I170,"&lt;&gt;Complete")=0,$A171&amp;"|"&amp;$B171,""),"")</f>
        <v>|</v>
      </c>
      <c r="P171" t="str">
        <f ca="1">IF($K171="Yes",COUNTIFS($K$4:$K171,"Yes"),"")</f>
        <v/>
      </c>
      <c r="Q171">
        <f t="shared" ca="1" si="9"/>
        <v>0</v>
      </c>
      <c r="R171" t="str">
        <f ca="1">IF($Q171=1,SUM($Q$4:$Q171),"")</f>
        <v/>
      </c>
    </row>
    <row r="172" spans="1:18" ht="33.75" customHeight="1" x14ac:dyDescent="0.3">
      <c r="A172" s="2"/>
      <c r="B172" s="2"/>
      <c r="C172" s="3"/>
      <c r="D172" s="3"/>
      <c r="E172" s="2"/>
      <c r="F172" s="2"/>
      <c r="G172" s="5"/>
      <c r="H172" s="5"/>
      <c r="I172" s="4"/>
      <c r="J172" s="6" t="str">
        <f t="shared" si="7"/>
        <v/>
      </c>
      <c r="K172" s="4" t="str">
        <f t="shared" ca="1" si="8"/>
        <v/>
      </c>
      <c r="L172" s="7" t="str">
        <f>IF(I172="Completed","0",IF($H172="","",$H172-'[2]Read Me'!$B$4))</f>
        <v/>
      </c>
      <c r="M172" s="4" t="str">
        <f>IF($I172="Complete","Green",IF($H172="","Amber",IF($H172&lt;'[2]Read Me'!$B$4,"Red",IF($H172-'[2]Read Me'!$B$4&lt;=21,"Amber","Green"))))</f>
        <v>Amber</v>
      </c>
      <c r="N172" s="3"/>
      <c r="O172" t="str">
        <f>IF($I172&lt;&gt;"Complete",IF(COUNTIFS($A$4:$A171,$A172,$B$4:$B171,$B172,$I$4:$I171,"&lt;&gt;Complete")=0,$A172&amp;"|"&amp;$B172,""),"")</f>
        <v>|</v>
      </c>
      <c r="P172" t="str">
        <f ca="1">IF($K172="Yes",COUNTIFS($K$4:$K172,"Yes"),"")</f>
        <v/>
      </c>
      <c r="Q172">
        <f t="shared" ca="1" si="9"/>
        <v>0</v>
      </c>
      <c r="R172" t="str">
        <f ca="1">IF($Q172=1,SUM($Q$4:$Q172),"")</f>
        <v/>
      </c>
    </row>
    <row r="173" spans="1:18" ht="33.75" customHeight="1" x14ac:dyDescent="0.3">
      <c r="A173" s="2"/>
      <c r="B173" s="2"/>
      <c r="C173" s="3"/>
      <c r="D173" s="3"/>
      <c r="E173" s="2"/>
      <c r="F173" s="2"/>
      <c r="G173" s="5"/>
      <c r="H173" s="5"/>
      <c r="I173" s="4"/>
      <c r="J173" s="6" t="str">
        <f t="shared" si="7"/>
        <v/>
      </c>
      <c r="K173" s="4" t="str">
        <f t="shared" ca="1" si="8"/>
        <v/>
      </c>
      <c r="L173" s="7" t="str">
        <f>IF(I173="Completed","0",IF($H173="","",$H173-'[2]Read Me'!$B$4))</f>
        <v/>
      </c>
      <c r="M173" s="4" t="str">
        <f>IF($I173="Complete","Green",IF($H173="","Amber",IF($H173&lt;'[2]Read Me'!$B$4,"Red",IF($H173-'[2]Read Me'!$B$4&lt;=21,"Amber","Green"))))</f>
        <v>Amber</v>
      </c>
      <c r="N173" s="3"/>
      <c r="O173" t="str">
        <f>IF($I173&lt;&gt;"Complete",IF(COUNTIFS($A$4:$A172,$A173,$B$4:$B172,$B173,$I$4:$I172,"&lt;&gt;Complete")=0,$A173&amp;"|"&amp;$B173,""),"")</f>
        <v>|</v>
      </c>
      <c r="P173" t="str">
        <f ca="1">IF($K173="Yes",COUNTIFS($K$4:$K173,"Yes"),"")</f>
        <v/>
      </c>
      <c r="Q173">
        <f t="shared" ca="1" si="9"/>
        <v>0</v>
      </c>
      <c r="R173" t="str">
        <f ca="1">IF($Q173=1,SUM($Q$4:$Q173),"")</f>
        <v/>
      </c>
    </row>
    <row r="174" spans="1:18" ht="33.75" customHeight="1" x14ac:dyDescent="0.3">
      <c r="A174" s="2"/>
      <c r="B174" s="2"/>
      <c r="C174" s="3"/>
      <c r="D174" s="3"/>
      <c r="E174" s="2"/>
      <c r="F174" s="2"/>
      <c r="G174" s="5"/>
      <c r="H174" s="5"/>
      <c r="I174" s="4"/>
      <c r="J174" s="6" t="str">
        <f t="shared" si="7"/>
        <v/>
      </c>
      <c r="K174" s="4" t="str">
        <f t="shared" ca="1" si="8"/>
        <v/>
      </c>
      <c r="L174" s="7" t="str">
        <f>IF(I174="Completed","0",IF($H174="","",$H174-'[2]Read Me'!$B$4))</f>
        <v/>
      </c>
      <c r="M174" s="4" t="str">
        <f>IF($I174="Complete","Green",IF($H174="","Amber",IF($H174&lt;'[2]Read Me'!$B$4,"Red",IF($H174-'[2]Read Me'!$B$4&lt;=21,"Amber","Green"))))</f>
        <v>Amber</v>
      </c>
      <c r="N174" s="3"/>
      <c r="O174" t="str">
        <f>IF($I174&lt;&gt;"Complete",IF(COUNTIFS($A$4:$A173,$A174,$B$4:$B173,$B174,$I$4:$I173,"&lt;&gt;Complete")=0,$A174&amp;"|"&amp;$B174,""),"")</f>
        <v>|</v>
      </c>
      <c r="P174" t="str">
        <f ca="1">IF($K174="Yes",COUNTIFS($K$4:$K174,"Yes"),"")</f>
        <v/>
      </c>
      <c r="Q174">
        <f t="shared" ca="1" si="9"/>
        <v>0</v>
      </c>
      <c r="R174" t="str">
        <f ca="1">IF($Q174=1,SUM($Q$4:$Q174),"")</f>
        <v/>
      </c>
    </row>
    <row r="175" spans="1:18" ht="33.75" customHeight="1" x14ac:dyDescent="0.3">
      <c r="A175" s="2"/>
      <c r="B175" s="2"/>
      <c r="C175" s="3"/>
      <c r="D175" s="3"/>
      <c r="E175" s="2"/>
      <c r="F175" s="2"/>
      <c r="G175" s="5"/>
      <c r="H175" s="5"/>
      <c r="I175" s="4"/>
      <c r="J175" s="6" t="str">
        <f t="shared" si="7"/>
        <v/>
      </c>
      <c r="K175" s="4" t="str">
        <f t="shared" ca="1" si="8"/>
        <v/>
      </c>
      <c r="L175" s="7" t="str">
        <f>IF(I175="Completed","0",IF($H175="","",$H175-'[2]Read Me'!$B$4))</f>
        <v/>
      </c>
      <c r="M175" s="4" t="str">
        <f>IF($I175="Complete","Green",IF($H175="","Amber",IF($H175&lt;'[2]Read Me'!$B$4,"Red",IF($H175-'[2]Read Me'!$B$4&lt;=21,"Amber","Green"))))</f>
        <v>Amber</v>
      </c>
      <c r="N175" s="3"/>
      <c r="O175" t="str">
        <f>IF($I175&lt;&gt;"Complete",IF(COUNTIFS($A$4:$A174,$A175,$B$4:$B174,$B175,$I$4:$I174,"&lt;&gt;Complete")=0,$A175&amp;"|"&amp;$B175,""),"")</f>
        <v>|</v>
      </c>
      <c r="P175" t="str">
        <f ca="1">IF($K175="Yes",COUNTIFS($K$4:$K175,"Yes"),"")</f>
        <v/>
      </c>
      <c r="Q175">
        <f t="shared" ca="1" si="9"/>
        <v>0</v>
      </c>
      <c r="R175" t="str">
        <f ca="1">IF($Q175=1,SUM($Q$4:$Q175),"")</f>
        <v/>
      </c>
    </row>
    <row r="176" spans="1:18" ht="22.5" customHeight="1" x14ac:dyDescent="0.3">
      <c r="A176" s="2"/>
      <c r="B176" s="2"/>
      <c r="C176" s="3"/>
      <c r="D176" s="3"/>
      <c r="E176" s="2"/>
      <c r="F176" s="2"/>
      <c r="G176" s="5"/>
      <c r="H176" s="5"/>
      <c r="I176" s="4"/>
      <c r="J176" s="6" t="str">
        <f t="shared" si="7"/>
        <v/>
      </c>
      <c r="K176" s="4" t="str">
        <f t="shared" ca="1" si="8"/>
        <v/>
      </c>
      <c r="L176" s="7" t="str">
        <f>IF(I176="Completed","0",IF($H176="","",$H176-'[2]Read Me'!$B$4))</f>
        <v/>
      </c>
      <c r="M176" s="4" t="str">
        <f>IF($I176="Complete","Green",IF($H176="","Amber",IF($H176&lt;'[2]Read Me'!$B$4,"Red",IF($H176-'[2]Read Me'!$B$4&lt;=21,"Amber","Green"))))</f>
        <v>Amber</v>
      </c>
      <c r="N176" s="3"/>
      <c r="O176" t="str">
        <f>IF($I176&lt;&gt;"Complete",IF(COUNTIFS($A$4:$A175,$A176,$B$4:$B175,$B176,$I$4:$I175,"&lt;&gt;Complete")=0,$A176&amp;"|"&amp;$B176,""),"")</f>
        <v>|</v>
      </c>
      <c r="P176" t="str">
        <f ca="1">IF($K176="Yes",COUNTIFS($K$4:$K176,"Yes"),"")</f>
        <v/>
      </c>
      <c r="Q176">
        <f t="shared" ca="1" si="9"/>
        <v>0</v>
      </c>
      <c r="R176" t="str">
        <f ca="1">IF($Q176=1,SUM($Q$4:$Q176),"")</f>
        <v/>
      </c>
    </row>
    <row r="177" spans="1:18" ht="22.5" customHeight="1" x14ac:dyDescent="0.3">
      <c r="A177" s="2"/>
      <c r="B177" s="2"/>
      <c r="C177" s="3"/>
      <c r="D177" s="3"/>
      <c r="E177" s="2"/>
      <c r="F177" s="2"/>
      <c r="G177" s="5"/>
      <c r="H177" s="5"/>
      <c r="I177" s="4"/>
      <c r="J177" s="6" t="str">
        <f t="shared" si="7"/>
        <v/>
      </c>
      <c r="K177" s="4" t="str">
        <f t="shared" ca="1" si="8"/>
        <v/>
      </c>
      <c r="L177" s="7" t="str">
        <f>IF(I177="Completed","0",IF($H177="","",$H177-'[2]Read Me'!$B$4))</f>
        <v/>
      </c>
      <c r="M177" s="4" t="str">
        <f>IF($I177="Complete","Green",IF($H177="","Amber",IF($H177&lt;'[2]Read Me'!$B$4,"Red",IF($H177-'[2]Read Me'!$B$4&lt;=21,"Amber","Green"))))</f>
        <v>Amber</v>
      </c>
      <c r="N177" s="3"/>
      <c r="O177" t="str">
        <f>IF($I177&lt;&gt;"Complete",IF(COUNTIFS($A$4:$A176,$A177,$B$4:$B176,$B177,$I$4:$I176,"&lt;&gt;Complete")=0,$A177&amp;"|"&amp;$B177,""),"")</f>
        <v>|</v>
      </c>
      <c r="P177" t="str">
        <f ca="1">IF($K177="Yes",COUNTIFS($K$4:$K177,"Yes"),"")</f>
        <v/>
      </c>
      <c r="Q177">
        <f t="shared" ca="1" si="9"/>
        <v>0</v>
      </c>
      <c r="R177" t="str">
        <f ca="1">IF($Q177=1,SUM($Q$4:$Q177),"")</f>
        <v/>
      </c>
    </row>
    <row r="178" spans="1:18" ht="22.5" customHeight="1" x14ac:dyDescent="0.3">
      <c r="A178" s="2"/>
      <c r="B178" s="2"/>
      <c r="C178" s="3"/>
      <c r="D178" s="3"/>
      <c r="E178" s="2"/>
      <c r="F178" s="2"/>
      <c r="G178" s="5"/>
      <c r="H178" s="5"/>
      <c r="I178" s="4"/>
      <c r="J178" s="6" t="str">
        <f t="shared" si="7"/>
        <v/>
      </c>
      <c r="K178" s="4" t="str">
        <f t="shared" ca="1" si="8"/>
        <v/>
      </c>
      <c r="L178" s="7" t="str">
        <f>IF(I178="Completed","0",IF($H178="","",$H178-'[2]Read Me'!$B$4))</f>
        <v/>
      </c>
      <c r="M178" s="4" t="str">
        <f>IF($I178="Complete","Green",IF($H178="","Amber",IF($H178&lt;'[2]Read Me'!$B$4,"Red",IF($H178-'[2]Read Me'!$B$4&lt;=21,"Amber","Green"))))</f>
        <v>Amber</v>
      </c>
      <c r="N178" s="3"/>
      <c r="O178" t="str">
        <f>IF($I178&lt;&gt;"Complete",IF(COUNTIFS($A$4:$A177,$A178,$B$4:$B177,$B178,$I$4:$I177,"&lt;&gt;Complete")=0,$A178&amp;"|"&amp;$B178,""),"")</f>
        <v>|</v>
      </c>
      <c r="P178" t="str">
        <f ca="1">IF($K178="Yes",COUNTIFS($K$4:$K178,"Yes"),"")</f>
        <v/>
      </c>
      <c r="Q178">
        <f t="shared" ca="1" si="9"/>
        <v>0</v>
      </c>
      <c r="R178" t="str">
        <f ca="1">IF($Q178=1,SUM($Q$4:$Q178),"")</f>
        <v/>
      </c>
    </row>
    <row r="179" spans="1:18" ht="22.5" customHeight="1" x14ac:dyDescent="0.3">
      <c r="A179" s="2"/>
      <c r="B179" s="2"/>
      <c r="C179" s="3"/>
      <c r="D179" s="3"/>
      <c r="E179" s="2"/>
      <c r="F179" s="2"/>
      <c r="G179" s="5"/>
      <c r="H179" s="5"/>
      <c r="I179" s="4"/>
      <c r="J179" s="6" t="str">
        <f t="shared" si="7"/>
        <v/>
      </c>
      <c r="K179" s="4" t="str">
        <f t="shared" ca="1" si="8"/>
        <v/>
      </c>
      <c r="L179" s="7" t="str">
        <f>IF(I179="Completed","0",IF($H179="","",$H179-'[2]Read Me'!$B$4))</f>
        <v/>
      </c>
      <c r="M179" s="4" t="str">
        <f>IF($I179="Complete","Green",IF($H179="","Amber",IF($H179&lt;'[2]Read Me'!$B$4,"Red",IF($H179-'[2]Read Me'!$B$4&lt;=21,"Amber","Green"))))</f>
        <v>Amber</v>
      </c>
      <c r="N179" s="3"/>
      <c r="O179" t="str">
        <f>IF($I179&lt;&gt;"Complete",IF(COUNTIFS($A$4:$A178,$A179,$B$4:$B178,$B179,$I$4:$I178,"&lt;&gt;Complete")=0,$A179&amp;"|"&amp;$B179,""),"")</f>
        <v>|</v>
      </c>
      <c r="P179" t="str">
        <f ca="1">IF($K179="Yes",COUNTIFS($K$4:$K179,"Yes"),"")</f>
        <v/>
      </c>
      <c r="Q179">
        <f t="shared" ca="1" si="9"/>
        <v>0</v>
      </c>
      <c r="R179" t="str">
        <f ca="1">IF($Q179=1,SUM($Q$4:$Q179),"")</f>
        <v/>
      </c>
    </row>
    <row r="180" spans="1:18" ht="22.5" customHeight="1" x14ac:dyDescent="0.3">
      <c r="A180" s="2"/>
      <c r="B180" s="2"/>
      <c r="C180" s="3"/>
      <c r="D180" s="3"/>
      <c r="E180" s="2"/>
      <c r="F180" s="2"/>
      <c r="G180" s="5"/>
      <c r="H180" s="5"/>
      <c r="I180" s="4"/>
      <c r="J180" s="6" t="str">
        <f t="shared" si="7"/>
        <v/>
      </c>
      <c r="K180" s="4" t="str">
        <f t="shared" ca="1" si="8"/>
        <v/>
      </c>
      <c r="L180" s="7" t="str">
        <f>IF(I180="Completed","0",IF($H180="","",$H180-'[2]Read Me'!$B$4))</f>
        <v/>
      </c>
      <c r="M180" s="4" t="str">
        <f>IF($I180="Complete","Green",IF($H180="","Amber",IF($H180&lt;'[2]Read Me'!$B$4,"Red",IF($H180-'[2]Read Me'!$B$4&lt;=21,"Amber","Green"))))</f>
        <v>Amber</v>
      </c>
      <c r="N180" s="3"/>
      <c r="O180" t="str">
        <f>IF($I180&lt;&gt;"Complete",IF(COUNTIFS($A$4:$A179,$A180,$B$4:$B179,$B180,$I$4:$I179,"&lt;&gt;Complete")=0,$A180&amp;"|"&amp;$B180,""),"")</f>
        <v>|</v>
      </c>
      <c r="P180" t="st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</c>
    </row>
    <row r="181" spans="1:18" ht="22.5" customHeight="1" x14ac:dyDescent="0.3">
      <c r="A181" s="2"/>
      <c r="B181" s="2"/>
      <c r="C181" s="3"/>
      <c r="D181" s="3"/>
      <c r="E181" s="2"/>
      <c r="F181" s="2"/>
      <c r="G181" s="5"/>
      <c r="H181" s="5"/>
      <c r="I181" s="4"/>
      <c r="J181" s="6" t="str">
        <f t="shared" si="7"/>
        <v/>
      </c>
      <c r="K181" s="4" t="str">
        <f t="shared" ca="1" si="8"/>
        <v/>
      </c>
      <c r="L181" s="7" t="str">
        <f>IF(I181="Completed","0",IF($H181="","",$H181-'[2]Read Me'!$B$4))</f>
        <v/>
      </c>
      <c r="M181" s="4" t="str">
        <f>IF($I181="Complete","Green",IF($H181="","Amber",IF($H181&lt;'[2]Read Me'!$B$4,"Red",IF($H181-'[2]Read Me'!$B$4&lt;=21,"Amber","Green"))))</f>
        <v>Amber</v>
      </c>
      <c r="N181" s="3"/>
      <c r="O181" t="str">
        <f>IF($I181&lt;&gt;"Complete",IF(COUNTIFS($A$4:$A180,$A181,$B$4:$B180,$B181,$I$4:$I180,"&lt;&gt;Complete")=0,$A181&amp;"|"&amp;$B181,""),"")</f>
        <v>|</v>
      </c>
      <c r="P181" t="str">
        <f ca="1">IF($K181="Yes",COUNTIFS($K$4:$K181,"Yes"),"")</f>
        <v/>
      </c>
      <c r="Q181">
        <f t="shared" ca="1" si="9"/>
        <v>0</v>
      </c>
      <c r="R181" t="str">
        <f ca="1">IF($Q181=1,SUM($Q$4:$Q181),"")</f>
        <v/>
      </c>
    </row>
    <row r="182" spans="1:18" ht="22.5" customHeight="1" x14ac:dyDescent="0.3">
      <c r="A182" s="2"/>
      <c r="B182" s="2"/>
      <c r="C182" s="3"/>
      <c r="D182" s="3"/>
      <c r="E182" s="2"/>
      <c r="F182" s="2"/>
      <c r="G182" s="5"/>
      <c r="H182" s="5"/>
      <c r="I182" s="4"/>
      <c r="J182" s="6" t="str">
        <f t="shared" si="7"/>
        <v/>
      </c>
      <c r="K182" s="4" t="str">
        <f t="shared" ca="1" si="8"/>
        <v/>
      </c>
      <c r="L182" s="7" t="str">
        <f>IF(I182="Completed","0",IF($H182="","",$H182-'[2]Read Me'!$B$4))</f>
        <v/>
      </c>
      <c r="M182" s="4" t="str">
        <f>IF($I182="Complete","Green",IF($H182="","Amber",IF($H182&lt;'[2]Read Me'!$B$4,"Red",IF($H182-'[2]Read Me'!$B$4&lt;=21,"Amber","Green"))))</f>
        <v>Amber</v>
      </c>
      <c r="N182" s="3"/>
      <c r="O182" t="str">
        <f>IF($I182&lt;&gt;"Complete",IF(COUNTIFS($A$4:$A181,$A182,$B$4:$B181,$B182,$I$4:$I181,"&lt;&gt;Complete")=0,$A182&amp;"|"&amp;$B182,""),"")</f>
        <v>|</v>
      </c>
      <c r="P182" t="str">
        <f ca="1">IF($K182="Yes",COUNTIFS($K$4:$K182,"Yes"),"")</f>
        <v/>
      </c>
      <c r="Q182">
        <f t="shared" ca="1" si="9"/>
        <v>0</v>
      </c>
      <c r="R182" t="str">
        <f ca="1">IF($Q182=1,SUM($Q$4:$Q182),"")</f>
        <v/>
      </c>
    </row>
    <row r="183" spans="1:18" ht="22.5" customHeight="1" x14ac:dyDescent="0.3">
      <c r="A183" s="2"/>
      <c r="B183" s="2"/>
      <c r="C183" s="3"/>
      <c r="D183" s="3"/>
      <c r="E183" s="2"/>
      <c r="F183" s="2"/>
      <c r="G183" s="5"/>
      <c r="H183" s="5"/>
      <c r="I183" s="4"/>
      <c r="J183" s="6" t="str">
        <f t="shared" si="7"/>
        <v/>
      </c>
      <c r="K183" s="4" t="str">
        <f t="shared" ca="1" si="8"/>
        <v/>
      </c>
      <c r="L183" s="7" t="str">
        <f>IF(I183="Completed","0",IF($H183="","",$H183-'[2]Read Me'!$B$4))</f>
        <v/>
      </c>
      <c r="M183" s="4" t="str">
        <f>IF($I183="Complete","Green",IF($H183="","Amber",IF($H183&lt;'[2]Read Me'!$B$4,"Red",IF($H183-'[2]Read Me'!$B$4&lt;=21,"Amber","Green"))))</f>
        <v>Amber</v>
      </c>
      <c r="N183" s="3"/>
      <c r="O183" t="str">
        <f>IF($I183&lt;&gt;"Complete",IF(COUNTIFS($A$4:$A182,$A183,$B$4:$B182,$B183,$I$4:$I182,"&lt;&gt;Complete")=0,$A183&amp;"|"&amp;$B183,""),"")</f>
        <v>|</v>
      </c>
      <c r="P183" t="str">
        <f ca="1">IF($K183="Yes",COUNTIFS($K$4:$K183,"Yes"),"")</f>
        <v/>
      </c>
      <c r="Q183">
        <f t="shared" ca="1" si="9"/>
        <v>0</v>
      </c>
      <c r="R183" t="str">
        <f ca="1">IF($Q183=1,SUM($Q$4:$Q183),"")</f>
        <v/>
      </c>
    </row>
    <row r="184" spans="1:18" ht="22.5" customHeight="1" x14ac:dyDescent="0.3">
      <c r="A184" s="2"/>
      <c r="B184" s="2"/>
      <c r="C184" s="3"/>
      <c r="D184" s="3"/>
      <c r="E184" s="2"/>
      <c r="F184" s="2"/>
      <c r="G184" s="5"/>
      <c r="H184" s="5"/>
      <c r="I184" s="4"/>
      <c r="J184" s="6" t="str">
        <f t="shared" si="7"/>
        <v/>
      </c>
      <c r="K184" s="4" t="str">
        <f t="shared" ca="1" si="8"/>
        <v/>
      </c>
      <c r="L184" s="7" t="str">
        <f>IF(I184="Completed","0",IF($H184="","",$H184-'[2]Read Me'!$B$4))</f>
        <v/>
      </c>
      <c r="M184" s="4" t="str">
        <f>IF($I184="Complete","Green",IF($H184="","Amber",IF($H184&lt;'[2]Read Me'!$B$4,"Red",IF($H184-'[2]Read Me'!$B$4&lt;=21,"Amber","Green"))))</f>
        <v>Amber</v>
      </c>
      <c r="N184" s="3"/>
      <c r="O184" t="str">
        <f>IF($I184&lt;&gt;"Complete",IF(COUNTIFS($A$4:$A183,$A184,$B$4:$B183,$B184,$I$4:$I183,"&lt;&gt;Complete")=0,$A184&amp;"|"&amp;$B184,""),"")</f>
        <v>|</v>
      </c>
      <c r="P184" t="str">
        <f ca="1">IF($K184="Yes",COUNTIFS($K$4:$K184,"Yes"),"")</f>
        <v/>
      </c>
      <c r="Q184">
        <f t="shared" ca="1" si="9"/>
        <v>0</v>
      </c>
      <c r="R184" t="str">
        <f ca="1">IF($Q184=1,SUM($Q$4:$Q184),"")</f>
        <v/>
      </c>
    </row>
    <row r="185" spans="1:18" ht="22.5" customHeight="1" x14ac:dyDescent="0.3">
      <c r="A185" s="2"/>
      <c r="B185" s="2"/>
      <c r="C185" s="3"/>
      <c r="D185" s="3"/>
      <c r="E185" s="2"/>
      <c r="F185" s="2"/>
      <c r="G185" s="5"/>
      <c r="H185" s="5"/>
      <c r="I185" s="4"/>
      <c r="J185" s="6" t="str">
        <f t="shared" si="7"/>
        <v/>
      </c>
      <c r="K185" s="4" t="str">
        <f t="shared" ca="1" si="8"/>
        <v/>
      </c>
      <c r="L185" s="7" t="str">
        <f>IF(I185="Completed","0",IF($H185="","",$H185-'[2]Read Me'!$B$4))</f>
        <v/>
      </c>
      <c r="M185" s="4" t="str">
        <f>IF($I185="Complete","Green",IF($H185="","Amber",IF($H185&lt;'[2]Read Me'!$B$4,"Red",IF($H185-'[2]Read Me'!$B$4&lt;=21,"Amber","Green"))))</f>
        <v>Amber</v>
      </c>
      <c r="N185" s="3"/>
      <c r="O185" t="str">
        <f>IF($I185&lt;&gt;"Complete",IF(COUNTIFS($A$4:$A184,$A185,$B$4:$B184,$B185,$I$4:$I184,"&lt;&gt;Complete")=0,$A185&amp;"|"&amp;$B185,""),"")</f>
        <v>|</v>
      </c>
      <c r="P185" t="str">
        <f ca="1">IF($K185="Yes",COUNTIFS($K$4:$K185,"Yes"),"")</f>
        <v/>
      </c>
      <c r="Q185">
        <f t="shared" ca="1" si="9"/>
        <v>0</v>
      </c>
      <c r="R185" t="str">
        <f ca="1">IF($Q185=1,SUM($Q$4:$Q185),"")</f>
        <v/>
      </c>
    </row>
    <row r="186" spans="1:18" ht="22.5" customHeight="1" x14ac:dyDescent="0.3">
      <c r="A186" s="2"/>
      <c r="B186" s="2"/>
      <c r="C186" s="3"/>
      <c r="D186" s="3"/>
      <c r="E186" s="2"/>
      <c r="F186" s="2"/>
      <c r="G186" s="5"/>
      <c r="H186" s="5"/>
      <c r="I186" s="4"/>
      <c r="J186" s="6" t="str">
        <f t="shared" si="7"/>
        <v/>
      </c>
      <c r="K186" s="4" t="str">
        <f t="shared" ca="1" si="8"/>
        <v/>
      </c>
      <c r="L186" s="7" t="str">
        <f>IF(I186="Completed","0",IF($H186="","",$H186-'[2]Read Me'!$B$4))</f>
        <v/>
      </c>
      <c r="M186" s="4" t="str">
        <f>IF($I186="Complete","Green",IF($H186="","Amber",IF($H186&lt;'[2]Read Me'!$B$4,"Red",IF($H186-'[2]Read Me'!$B$4&lt;=21,"Amber","Green"))))</f>
        <v>Amber</v>
      </c>
      <c r="N186" s="3"/>
      <c r="O186" t="str">
        <f>IF($I186&lt;&gt;"Complete",IF(COUNTIFS($A$4:$A185,$A186,$B$4:$B185,$B186,$I$4:$I185,"&lt;&gt;Complete")=0,$A186&amp;"|"&amp;$B186,""),"")</f>
        <v>|</v>
      </c>
      <c r="P186" t="str">
        <f ca="1">IF($K186="Yes",COUNTIFS($K$4:$K186,"Yes"),"")</f>
        <v/>
      </c>
      <c r="Q186">
        <f t="shared" ca="1" si="9"/>
        <v>0</v>
      </c>
      <c r="R186" t="str">
        <f ca="1">IF($Q186=1,SUM($Q$4:$Q186),"")</f>
        <v/>
      </c>
    </row>
    <row r="187" spans="1:18" ht="22.5" customHeight="1" x14ac:dyDescent="0.3">
      <c r="A187" s="2"/>
      <c r="B187" s="2"/>
      <c r="C187" s="3"/>
      <c r="D187" s="3"/>
      <c r="E187" s="2"/>
      <c r="F187" s="2"/>
      <c r="G187" s="5"/>
      <c r="H187" s="5"/>
      <c r="I187" s="4"/>
      <c r="J187" s="6" t="str">
        <f t="shared" si="7"/>
        <v/>
      </c>
      <c r="K187" s="4" t="str">
        <f t="shared" ca="1" si="8"/>
        <v/>
      </c>
      <c r="L187" s="7" t="str">
        <f>IF(I187="Completed","0",IF($H187="","",$H187-'[2]Read Me'!$B$4))</f>
        <v/>
      </c>
      <c r="M187" s="4" t="str">
        <f>IF($I187="Complete","Green",IF($H187="","Amber",IF($H187&lt;'[2]Read Me'!$B$4,"Red",IF($H187-'[2]Read Me'!$B$4&lt;=21,"Amber","Green"))))</f>
        <v>Amber</v>
      </c>
      <c r="N187" s="3"/>
      <c r="O187" t="str">
        <f>IF($I187&lt;&gt;"Complete",IF(COUNTIFS($A$4:$A186,$A187,$B$4:$B186,$B187,$I$4:$I186,"&lt;&gt;Complete")=0,$A187&amp;"|"&amp;$B187,""),"")</f>
        <v>|</v>
      </c>
      <c r="P187" t="str">
        <f ca="1">IF($K187="Yes",COUNTIFS($K$4:$K187,"Yes"),"")</f>
        <v/>
      </c>
      <c r="Q187">
        <f t="shared" ca="1" si="9"/>
        <v>0</v>
      </c>
      <c r="R187" t="str">
        <f ca="1">IF($Q187=1,SUM($Q$4:$Q187),"")</f>
        <v/>
      </c>
    </row>
    <row r="188" spans="1:18" ht="22.5" customHeight="1" x14ac:dyDescent="0.3">
      <c r="A188" s="2"/>
      <c r="B188" s="2"/>
      <c r="C188" s="3"/>
      <c r="D188" s="3"/>
      <c r="E188" s="2"/>
      <c r="F188" s="2"/>
      <c r="G188" s="5"/>
      <c r="H188" s="5"/>
      <c r="I188" s="4"/>
      <c r="J188" s="6" t="str">
        <f t="shared" si="7"/>
        <v/>
      </c>
      <c r="K188" s="4" t="str">
        <f t="shared" ca="1" si="8"/>
        <v/>
      </c>
      <c r="L188" s="7" t="str">
        <f>IF(I188="Completed","0",IF($H188="","",$H188-'[2]Read Me'!$B$4))</f>
        <v/>
      </c>
      <c r="M188" s="4" t="str">
        <f>IF($I188="Complete","Green",IF($H188="","Amber",IF($H188&lt;'[2]Read Me'!$B$4,"Red",IF($H188-'[2]Read Me'!$B$4&lt;=21,"Amber","Green"))))</f>
        <v>Amber</v>
      </c>
      <c r="N188" s="3"/>
      <c r="O188" t="str">
        <f>IF($I188&lt;&gt;"Complete",IF(COUNTIFS($A$4:$A187,$A188,$B$4:$B187,$B188,$I$4:$I187,"&lt;&gt;Complete")=0,$A188&amp;"|"&amp;$B188,""),"")</f>
        <v>|</v>
      </c>
      <c r="P188" t="str">
        <f ca="1">IF($K188="Yes",COUNTIFS($K$4:$K188,"Yes"),"")</f>
        <v/>
      </c>
      <c r="Q188">
        <f t="shared" ca="1" si="9"/>
        <v>0</v>
      </c>
      <c r="R188" t="str">
        <f ca="1">IF($Q188=1,SUM($Q$4:$Q188),"")</f>
        <v/>
      </c>
    </row>
    <row r="189" spans="1:18" ht="22.5" customHeight="1" x14ac:dyDescent="0.3">
      <c r="A189" s="2"/>
      <c r="B189" s="2"/>
      <c r="C189" s="3"/>
      <c r="D189" s="3"/>
      <c r="E189" s="2"/>
      <c r="F189" s="2"/>
      <c r="G189" s="5"/>
      <c r="H189" s="5"/>
      <c r="I189" s="4"/>
      <c r="J189" s="6" t="str">
        <f t="shared" si="7"/>
        <v/>
      </c>
      <c r="K189" s="4" t="str">
        <f t="shared" ca="1" si="8"/>
        <v/>
      </c>
      <c r="L189" s="7" t="str">
        <f>IF($H189="","",$H189-'[2]Read Me'!$B$4)</f>
        <v/>
      </c>
      <c r="M189" s="4" t="str">
        <f>IF($I189="Complete","Green",IF($H189="","Amber",IF($H189&lt;'[2]Read Me'!$B$4,"Red",IF($H189-'[2]Read Me'!$B$4&lt;=21,"Amber","Green"))))</f>
        <v>Amber</v>
      </c>
      <c r="N189" s="3"/>
      <c r="O189" t="str">
        <f>IF($I189&lt;&gt;"Complete",IF(COUNTIFS($A$4:$A188,$A189,$B$4:$B188,$B189,$I$4:$I188,"&lt;&gt;Complete")=0,$A189&amp;"|"&amp;$B189,""),"")</f>
        <v>|</v>
      </c>
      <c r="P189" t="str">
        <f ca="1">IF($K189="Yes",COUNTIFS($K$4:$K189,"Yes"),"")</f>
        <v/>
      </c>
      <c r="Q189">
        <f t="shared" ca="1" si="9"/>
        <v>0</v>
      </c>
      <c r="R189" t="str">
        <f ca="1">IF($Q189=1,SUM($Q$4:$Q189),"")</f>
        <v/>
      </c>
    </row>
    <row r="190" spans="1:18" ht="22.5" customHeight="1" x14ac:dyDescent="0.3">
      <c r="A190" s="2"/>
      <c r="B190" s="2"/>
      <c r="C190" s="3"/>
      <c r="D190" s="3"/>
      <c r="E190" s="2"/>
      <c r="F190" s="2"/>
      <c r="G190" s="5"/>
      <c r="H190" s="5"/>
      <c r="I190" s="4"/>
      <c r="J190" s="6" t="str">
        <f t="shared" si="7"/>
        <v/>
      </c>
      <c r="K190" s="4" t="str">
        <f t="shared" ca="1" si="8"/>
        <v/>
      </c>
      <c r="L190" s="7" t="str">
        <f>IF($H190="","",$H190-'[2]Read Me'!$B$4)</f>
        <v/>
      </c>
      <c r="M190" s="4" t="str">
        <f>IF($I190="Complete","Green",IF($H190="","Amber",IF($H190&lt;'[2]Read Me'!$B$4,"Red",IF($H190-'[2]Read Me'!$B$4&lt;=21,"Amber","Green"))))</f>
        <v>Amber</v>
      </c>
      <c r="N190" s="3"/>
      <c r="O190" t="str">
        <f>IF($I190&lt;&gt;"Complete",IF(COUNTIFS($A$4:$A189,$A190,$B$4:$B189,$B190,$I$4:$I189,"&lt;&gt;Complete")=0,$A190&amp;"|"&amp;$B190,""),"")</f>
        <v>|</v>
      </c>
      <c r="P190" t="str">
        <f ca="1">IF($K190="Yes",COUNTIFS($K$4:$K190,"Yes"),"")</f>
        <v/>
      </c>
      <c r="Q190">
        <f t="shared" ca="1" si="9"/>
        <v>0</v>
      </c>
      <c r="R190" t="str">
        <f ca="1">IF($Q190=1,SUM($Q$4:$Q190),"")</f>
        <v/>
      </c>
    </row>
    <row r="191" spans="1:18" ht="22.5" customHeight="1" x14ac:dyDescent="0.3">
      <c r="A191" s="2"/>
      <c r="B191" s="2"/>
      <c r="C191" s="3"/>
      <c r="D191" s="3"/>
      <c r="E191" s="2"/>
      <c r="F191" s="2"/>
      <c r="G191" s="5"/>
      <c r="H191" s="5"/>
      <c r="I191" s="4"/>
      <c r="J191" s="6" t="str">
        <f t="shared" si="7"/>
        <v/>
      </c>
      <c r="K191" s="4" t="str">
        <f t="shared" ca="1" si="8"/>
        <v/>
      </c>
      <c r="L191" s="7" t="str">
        <f>IF($H191="","",$H191-'[2]Read Me'!$B$4)</f>
        <v/>
      </c>
      <c r="M191" s="4" t="str">
        <f>IF($I191="Complete","Green",IF($H191="","Amber",IF($H191&lt;'[2]Read Me'!$B$4,"Red",IF($H191-'[2]Read Me'!$B$4&lt;=21,"Amber","Green"))))</f>
        <v>Amber</v>
      </c>
      <c r="N191" s="3"/>
      <c r="O191" t="str">
        <f>IF($I191&lt;&gt;"Complete",IF(COUNTIFS($A$4:$A190,$A191,$B$4:$B190,$B191,$I$4:$I190,"&lt;&gt;Complete")=0,$A191&amp;"|"&amp;$B191,""),"")</f>
        <v>|</v>
      </c>
      <c r="P191" t="str">
        <f ca="1">IF($K191="Yes",COUNTIFS($K$4:$K191,"Yes"),"")</f>
        <v/>
      </c>
      <c r="Q191">
        <f t="shared" ca="1" si="9"/>
        <v>0</v>
      </c>
      <c r="R191" t="str">
        <f ca="1">IF($Q191=1,SUM($Q$4:$Q191),"")</f>
        <v/>
      </c>
    </row>
    <row r="192" spans="1:18" ht="33.75" customHeight="1" x14ac:dyDescent="0.3">
      <c r="A192" s="2"/>
      <c r="B192" s="2"/>
      <c r="C192" s="3"/>
      <c r="D192" s="3"/>
      <c r="E192" s="2"/>
      <c r="F192" s="2"/>
      <c r="G192" s="5"/>
      <c r="H192" s="5"/>
      <c r="I192" s="4"/>
      <c r="J192" s="6" t="str">
        <f t="shared" si="7"/>
        <v/>
      </c>
      <c r="K192" s="4" t="str">
        <f t="shared" ca="1" si="8"/>
        <v/>
      </c>
      <c r="L192" s="7" t="str">
        <f>IF($H192="","",$H192-'[2]Read Me'!$B$4)</f>
        <v/>
      </c>
      <c r="M192" s="4" t="str">
        <f>IF($I192="Complete","Green",IF($H192="","Amber",IF($H192&lt;'[2]Read Me'!$B$4,"Red",IF($H192-'[2]Read Me'!$B$4&lt;=21,"Amber","Green"))))</f>
        <v>Amber</v>
      </c>
      <c r="N192" s="3"/>
      <c r="O192" t="str">
        <f>IF($I192&lt;&gt;"Complete",IF(COUNTIFS($A$4:$A191,$A192,$B$4:$B191,$B192,$I$4:$I191,"&lt;&gt;Complete")=0,$A192&amp;"|"&amp;$B192,""),"")</f>
        <v>|</v>
      </c>
      <c r="P192" t="str">
        <f ca="1">IF($K192="Yes",COUNTIFS($K$4:$K192,"Yes"),"")</f>
        <v/>
      </c>
      <c r="Q192">
        <f t="shared" ca="1" si="9"/>
        <v>0</v>
      </c>
      <c r="R192" t="str">
        <f ca="1">IF($Q192=1,SUM($Q$4:$Q192),"")</f>
        <v/>
      </c>
    </row>
    <row r="193" spans="1:18" ht="33.75" customHeight="1" x14ac:dyDescent="0.3">
      <c r="A193" s="2"/>
      <c r="B193" s="2"/>
      <c r="C193" s="3"/>
      <c r="D193" s="3"/>
      <c r="E193" s="2"/>
      <c r="F193" s="2"/>
      <c r="G193" s="5"/>
      <c r="H193" s="5"/>
      <c r="I193" s="4"/>
      <c r="J193" s="6" t="str">
        <f t="shared" si="7"/>
        <v/>
      </c>
      <c r="K193" s="4" t="str">
        <f t="shared" ca="1" si="8"/>
        <v/>
      </c>
      <c r="L193" s="7" t="str">
        <f>IF($H193="","",$H193-'[2]Read Me'!$B$4)</f>
        <v/>
      </c>
      <c r="M193" s="4" t="str">
        <f>IF($I193="Complete","Green",IF($H193="","Amber",IF($H193&lt;'[2]Read Me'!$B$4,"Red",IF($H193-'[2]Read Me'!$B$4&lt;=21,"Amber","Green"))))</f>
        <v>Amber</v>
      </c>
      <c r="N193" s="3"/>
      <c r="O193" t="str">
        <f>IF($I193&lt;&gt;"Complete",IF(COUNTIFS($A$4:$A192,$A193,$B$4:$B192,$B193,$I$4:$I192,"&lt;&gt;Complete")=0,$A193&amp;"|"&amp;$B193,""),"")</f>
        <v>|</v>
      </c>
      <c r="P193" t="str">
        <f ca="1">IF($K193="Yes",COUNTIFS($K$4:$K193,"Yes"),"")</f>
        <v/>
      </c>
      <c r="Q193">
        <f t="shared" ca="1" si="9"/>
        <v>0</v>
      </c>
      <c r="R193" t="str">
        <f ca="1">IF($Q193=1,SUM($Q$4:$Q193),"")</f>
        <v/>
      </c>
    </row>
    <row r="194" spans="1:18" ht="33.75" customHeight="1" x14ac:dyDescent="0.3">
      <c r="A194" s="2"/>
      <c r="B194" s="2"/>
      <c r="C194" s="3"/>
      <c r="D194" s="3"/>
      <c r="E194" s="2"/>
      <c r="F194" s="2"/>
      <c r="G194" s="5"/>
      <c r="H194" s="5"/>
      <c r="I194" s="4"/>
      <c r="J194" s="6" t="str">
        <f t="shared" si="7"/>
        <v/>
      </c>
      <c r="K194" s="4" t="str">
        <f t="shared" ca="1" si="8"/>
        <v/>
      </c>
      <c r="L194" s="7" t="str">
        <f>IF($H194="","",$H194-'[2]Read Me'!$B$4)</f>
        <v/>
      </c>
      <c r="M194" s="4" t="str">
        <f>IF($I194="Complete","Green",IF($H194="","Amber",IF($H194&lt;'[2]Read Me'!$B$4,"Red",IF($H194-'[2]Read Me'!$B$4&lt;=21,"Amber","Green"))))</f>
        <v>Amber</v>
      </c>
      <c r="N194" s="3"/>
      <c r="O194" t="str">
        <f>IF($I194&lt;&gt;"Complete",IF(COUNTIFS($A$4:$A193,$A194,$B$4:$B193,$B194,$I$4:$I193,"&lt;&gt;Complete")=0,$A194&amp;"|"&amp;$B194,""),"")</f>
        <v>|</v>
      </c>
      <c r="P194" t="str">
        <f ca="1">IF($K194="Yes",COUNTIFS($K$4:$K194,"Yes"),"")</f>
        <v/>
      </c>
      <c r="Q194">
        <f t="shared" ca="1" si="9"/>
        <v>0</v>
      </c>
      <c r="R194" t="str">
        <f ca="1">IF($Q194=1,SUM($Q$4:$Q194),"")</f>
        <v/>
      </c>
    </row>
    <row r="195" spans="1:18" ht="33.75" customHeight="1" x14ac:dyDescent="0.3">
      <c r="A195" s="2"/>
      <c r="B195" s="2"/>
      <c r="C195" s="3"/>
      <c r="D195" s="3"/>
      <c r="E195" s="2"/>
      <c r="F195" s="2"/>
      <c r="G195" s="5"/>
      <c r="H195" s="5"/>
      <c r="I195" s="4"/>
      <c r="J195" s="6" t="str">
        <f t="shared" si="7"/>
        <v/>
      </c>
      <c r="K195" s="4" t="str">
        <f t="shared" ca="1" si="8"/>
        <v/>
      </c>
      <c r="L195" s="7" t="str">
        <f>IF($H195="","",$H195-'[2]Read Me'!$B$4)</f>
        <v/>
      </c>
      <c r="M195" s="4" t="str">
        <f>IF($I195="Complete","Green",IF($H195="","Amber",IF($H195&lt;'[2]Read Me'!$B$4,"Red",IF($H195-'[2]Read Me'!$B$4&lt;=21,"Amber","Green"))))</f>
        <v>Amber</v>
      </c>
      <c r="N195" s="3"/>
      <c r="O195" t="str">
        <f>IF($I195&lt;&gt;"Complete",IF(COUNTIFS($A$4:$A194,$A195,$B$4:$B194,$B195,$I$4:$I194,"&lt;&gt;Complete")=0,$A195&amp;"|"&amp;$B195,""),"")</f>
        <v>|</v>
      </c>
      <c r="P195" t="str">
        <f ca="1">IF($K195="Yes",COUNTIFS($K$4:$K195,"Yes"),"")</f>
        <v/>
      </c>
      <c r="Q195">
        <f t="shared" ca="1" si="9"/>
        <v>0</v>
      </c>
      <c r="R195" t="str">
        <f ca="1">IF($Q195=1,SUM($Q$4:$Q195),"")</f>
        <v/>
      </c>
    </row>
    <row r="196" spans="1:18" ht="33.75" customHeight="1" x14ac:dyDescent="0.3">
      <c r="A196" s="2"/>
      <c r="B196" s="2"/>
      <c r="C196" s="3"/>
      <c r="D196" s="3"/>
      <c r="E196" s="2"/>
      <c r="F196" s="2"/>
      <c r="G196" s="5"/>
      <c r="H196" s="5"/>
      <c r="I196" s="4"/>
      <c r="J196" s="6" t="str">
        <f t="shared" ref="J196:J259" si="10">IF(OR($G196="",$H196=""),"",$H196-$G196)</f>
        <v/>
      </c>
      <c r="K196" s="4" t="str">
        <f t="shared" ref="K196:K243" ca="1" si="11">IF(C196="","",IF(H196="","",IF($I196="completed","-",IF($H196&gt;TODAY(),"No","Yes"))))</f>
        <v/>
      </c>
      <c r="L196" s="7" t="str">
        <f>IF($H196="","",$H196-'[2]Read Me'!$B$4)</f>
        <v/>
      </c>
      <c r="M196" s="4" t="str">
        <f>IF($I196="Complete","Green",IF($H196="","Amber",IF($H196&lt;'[2]Read Me'!$B$4,"Red",IF($H196-'[2]Read Me'!$B$4&lt;=21,"Amber","Green"))))</f>
        <v>Amber</v>
      </c>
      <c r="N196" s="3"/>
      <c r="O196" t="str">
        <f>IF($I196&lt;&gt;"Complete",IF(COUNTIFS($A$4:$A195,$A196,$B$4:$B195,$B196,$I$4:$I195,"&lt;&gt;Complete")=0,$A196&amp;"|"&amp;$B196,""),"")</f>
        <v>|</v>
      </c>
      <c r="P196" t="str">
        <f ca="1">IF($K196="Yes",COUNTIFS($K$4:$K196,"Yes"),"")</f>
        <v/>
      </c>
      <c r="Q196">
        <f t="shared" ref="Q196:Q259" ca="1" si="12">IF(OR($I196="In Progress",$K196="Yes"),1,0)</f>
        <v>0</v>
      </c>
      <c r="R196" t="str">
        <f ca="1">IF($Q196=1,SUM($Q$4:$Q196),"")</f>
        <v/>
      </c>
    </row>
    <row r="197" spans="1:18" ht="22.5" customHeight="1" x14ac:dyDescent="0.3">
      <c r="A197" s="2"/>
      <c r="B197" s="2"/>
      <c r="C197" s="3"/>
      <c r="D197" s="3"/>
      <c r="E197" s="2"/>
      <c r="F197" s="2"/>
      <c r="G197" s="5"/>
      <c r="H197" s="5"/>
      <c r="I197" s="4"/>
      <c r="J197" s="6" t="str">
        <f t="shared" si="10"/>
        <v/>
      </c>
      <c r="K197" s="4" t="str">
        <f t="shared" ca="1" si="11"/>
        <v/>
      </c>
      <c r="L197" s="7" t="str">
        <f>IF($H197="","",$H197-'[2]Read Me'!$B$4)</f>
        <v/>
      </c>
      <c r="M197" s="4" t="str">
        <f>IF($I197="Complete","Green",IF($H197="","Amber",IF($H197&lt;'[2]Read Me'!$B$4,"Red",IF($H197-'[2]Read Me'!$B$4&lt;=21,"Amber","Green"))))</f>
        <v>Amber</v>
      </c>
      <c r="N197" s="3"/>
      <c r="O197" t="str">
        <f>IF($I197&lt;&gt;"Complete",IF(COUNTIFS($A$4:$A196,$A197,$B$4:$B196,$B197,$I$4:$I196,"&lt;&gt;Complete")=0,$A197&amp;"|"&amp;$B197,""),"")</f>
        <v>|</v>
      </c>
      <c r="P197" t="str">
        <f ca="1">IF($K197="Yes",COUNTIFS($K$4:$K197,"Yes"),"")</f>
        <v/>
      </c>
      <c r="Q197">
        <f t="shared" ca="1" si="12"/>
        <v>0</v>
      </c>
      <c r="R197" t="str">
        <f ca="1">IF($Q197=1,SUM($Q$4:$Q197),"")</f>
        <v/>
      </c>
    </row>
    <row r="198" spans="1:18" ht="22.5" customHeight="1" x14ac:dyDescent="0.3">
      <c r="A198" s="2"/>
      <c r="B198" s="2"/>
      <c r="C198" s="3"/>
      <c r="D198" s="3"/>
      <c r="E198" s="2"/>
      <c r="F198" s="2"/>
      <c r="G198" s="5"/>
      <c r="H198" s="5"/>
      <c r="I198" s="4"/>
      <c r="J198" s="6" t="str">
        <f t="shared" si="10"/>
        <v/>
      </c>
      <c r="K198" s="4" t="str">
        <f t="shared" ca="1" si="11"/>
        <v/>
      </c>
      <c r="L198" s="7" t="str">
        <f>IF($H198="","",$H198-'[2]Read Me'!$B$4)</f>
        <v/>
      </c>
      <c r="M198" s="4" t="str">
        <f>IF($I198="Complete","Green",IF($H198="","Amber",IF($H198&lt;'[2]Read Me'!$B$4,"Red",IF($H198-'[2]Read Me'!$B$4&lt;=21,"Amber","Green"))))</f>
        <v>Amber</v>
      </c>
      <c r="N198" s="3"/>
      <c r="O198" t="str">
        <f>IF($I198&lt;&gt;"Complete",IF(COUNTIFS($A$4:$A197,$A198,$B$4:$B197,$B198,$I$4:$I197,"&lt;&gt;Complete")=0,$A198&amp;"|"&amp;$B198,""),"")</f>
        <v>|</v>
      </c>
      <c r="P198" t="str">
        <f ca="1">IF($K198="Yes",COUNTIFS($K$4:$K198,"Yes"),"")</f>
        <v/>
      </c>
      <c r="Q198">
        <f t="shared" ca="1" si="12"/>
        <v>0</v>
      </c>
      <c r="R198" t="str">
        <f ca="1">IF($Q198=1,SUM($Q$4:$Q198),"")</f>
        <v/>
      </c>
    </row>
    <row r="199" spans="1:18" ht="22.5" customHeight="1" x14ac:dyDescent="0.3">
      <c r="A199" s="2"/>
      <c r="B199" s="2"/>
      <c r="C199" s="3"/>
      <c r="D199" s="3"/>
      <c r="E199" s="2"/>
      <c r="F199" s="2"/>
      <c r="G199" s="5"/>
      <c r="H199" s="5"/>
      <c r="I199" s="4"/>
      <c r="J199" s="6" t="str">
        <f t="shared" si="10"/>
        <v/>
      </c>
      <c r="K199" s="4" t="str">
        <f t="shared" ca="1" si="11"/>
        <v/>
      </c>
      <c r="L199" s="7" t="str">
        <f>IF($H199="","",$H199-'[2]Read Me'!$B$4)</f>
        <v/>
      </c>
      <c r="M199" s="4" t="str">
        <f>IF($I199="Complete","Green",IF($H199="","Amber",IF($H199&lt;'[2]Read Me'!$B$4,"Red",IF($H199-'[2]Read Me'!$B$4&lt;=21,"Amber","Green"))))</f>
        <v>Amber</v>
      </c>
      <c r="N199" s="3"/>
      <c r="O199" t="str">
        <f>IF($I199&lt;&gt;"Complete",IF(COUNTIFS($A$4:$A198,$A199,$B$4:$B198,$B199,$I$4:$I198,"&lt;&gt;Complete")=0,$A199&amp;"|"&amp;$B199,""),"")</f>
        <v>|</v>
      </c>
      <c r="P199" t="str">
        <f ca="1">IF($K199="Yes",COUNTIFS($K$4:$K199,"Yes"),"")</f>
        <v/>
      </c>
      <c r="Q199">
        <f t="shared" ca="1" si="12"/>
        <v>0</v>
      </c>
      <c r="R199" t="str">
        <f ca="1">IF($Q199=1,SUM($Q$4:$Q199),"")</f>
        <v/>
      </c>
    </row>
    <row r="200" spans="1:18" ht="22.5" customHeight="1" x14ac:dyDescent="0.3">
      <c r="A200" s="2"/>
      <c r="B200" s="2"/>
      <c r="C200" s="3"/>
      <c r="D200" s="3"/>
      <c r="E200" s="2"/>
      <c r="F200" s="2"/>
      <c r="G200" s="5"/>
      <c r="H200" s="5"/>
      <c r="I200" s="4"/>
      <c r="J200" s="6" t="str">
        <f t="shared" si="10"/>
        <v/>
      </c>
      <c r="K200" s="4" t="str">
        <f t="shared" ca="1" si="11"/>
        <v/>
      </c>
      <c r="L200" s="7" t="str">
        <f>IF($H200="","",$H200-'[2]Read Me'!$B$4)</f>
        <v/>
      </c>
      <c r="M200" s="4" t="str">
        <f>IF($I200="Complete","Green",IF($H200="","Amber",IF($H200&lt;'[2]Read Me'!$B$4,"Red",IF($H200-'[2]Read Me'!$B$4&lt;=21,"Amber","Green"))))</f>
        <v>Amber</v>
      </c>
      <c r="N200" s="3"/>
      <c r="O200" t="str">
        <f>IF($I200&lt;&gt;"Complete",IF(COUNTIFS($A$4:$A199,$A200,$B$4:$B199,$B200,$I$4:$I199,"&lt;&gt;Complete")=0,$A200&amp;"|"&amp;$B200,""),"")</f>
        <v>|</v>
      </c>
      <c r="P200" t="str">
        <f ca="1">IF($K200="Yes",COUNTIFS($K$4:$K200,"Yes"),"")</f>
        <v/>
      </c>
      <c r="Q200">
        <f t="shared" ca="1" si="12"/>
        <v>0</v>
      </c>
      <c r="R200" t="str">
        <f ca="1">IF($Q200=1,SUM($Q$4:$Q200),"")</f>
        <v/>
      </c>
    </row>
    <row r="201" spans="1:18" ht="22.5" customHeight="1" x14ac:dyDescent="0.3">
      <c r="A201" s="2"/>
      <c r="B201" s="2"/>
      <c r="C201" s="3"/>
      <c r="D201" s="3"/>
      <c r="E201" s="2"/>
      <c r="F201" s="2"/>
      <c r="G201" s="5"/>
      <c r="H201" s="5"/>
      <c r="I201" s="4"/>
      <c r="J201" s="6" t="str">
        <f t="shared" si="10"/>
        <v/>
      </c>
      <c r="K201" s="4" t="str">
        <f t="shared" ca="1" si="11"/>
        <v/>
      </c>
      <c r="L201" s="7" t="str">
        <f>IF($H201="","",$H201-'[2]Read Me'!$B$4)</f>
        <v/>
      </c>
      <c r="M201" s="4" t="str">
        <f>IF($I201="Complete","Green",IF($H201="","Amber",IF($H201&lt;'[2]Read Me'!$B$4,"Red",IF($H201-'[2]Read Me'!$B$4&lt;=21,"Amber","Green"))))</f>
        <v>Amber</v>
      </c>
      <c r="N201" s="3"/>
      <c r="O201" t="str">
        <f>IF($I201&lt;&gt;"Complete",IF(COUNTIFS($A$4:$A200,$A201,$B$4:$B200,$B201,$I$4:$I200,"&lt;&gt;Complete")=0,$A201&amp;"|"&amp;$B201,""),"")</f>
        <v>|</v>
      </c>
      <c r="P201" t="str">
        <f ca="1">IF($K201="Yes",COUNTIFS($K$4:$K201,"Yes"),"")</f>
        <v/>
      </c>
      <c r="Q201">
        <f t="shared" ca="1" si="12"/>
        <v>0</v>
      </c>
      <c r="R201" t="str">
        <f ca="1">IF($Q201=1,SUM($Q$4:$Q201),"")</f>
        <v/>
      </c>
    </row>
    <row r="202" spans="1:18" ht="22.5" customHeight="1" x14ac:dyDescent="0.3">
      <c r="A202" s="2"/>
      <c r="B202" s="2"/>
      <c r="C202" s="3"/>
      <c r="D202" s="3"/>
      <c r="E202" s="2"/>
      <c r="F202" s="2"/>
      <c r="G202" s="5"/>
      <c r="H202" s="5"/>
      <c r="I202" s="4"/>
      <c r="J202" s="6" t="str">
        <f t="shared" si="10"/>
        <v/>
      </c>
      <c r="K202" s="4" t="str">
        <f t="shared" ca="1" si="11"/>
        <v/>
      </c>
      <c r="L202" s="7" t="str">
        <f>IF($H202="","",$H202-'[2]Read Me'!$B$4)</f>
        <v/>
      </c>
      <c r="M202" s="4" t="str">
        <f>IF($I202="Complete","Green",IF($H202="","Amber",IF($H202&lt;'[2]Read Me'!$B$4,"Red",IF($H202-'[2]Read Me'!$B$4&lt;=21,"Amber","Green"))))</f>
        <v>Amber</v>
      </c>
      <c r="N202" s="3"/>
      <c r="O202" t="str">
        <f>IF($I202&lt;&gt;"Complete",IF(COUNTIFS($A$4:$A201,$A202,$B$4:$B201,$B202,$I$4:$I201,"&lt;&gt;Complete")=0,$A202&amp;"|"&amp;$B202,""),"")</f>
        <v>|</v>
      </c>
      <c r="P202" t="str">
        <f ca="1">IF($K202="Yes",COUNTIFS($K$4:$K202,"Yes"),"")</f>
        <v/>
      </c>
      <c r="Q202">
        <f t="shared" ca="1" si="12"/>
        <v>0</v>
      </c>
      <c r="R202" t="str">
        <f ca="1">IF($Q202=1,SUM($Q$4:$Q202),"")</f>
        <v/>
      </c>
    </row>
    <row r="203" spans="1:18" ht="22.5" customHeight="1" x14ac:dyDescent="0.3">
      <c r="A203" s="2"/>
      <c r="B203" s="2"/>
      <c r="C203" s="3"/>
      <c r="D203" s="3"/>
      <c r="E203" s="2"/>
      <c r="F203" s="2"/>
      <c r="G203" s="5"/>
      <c r="H203" s="5"/>
      <c r="I203" s="4"/>
      <c r="J203" s="6" t="str">
        <f t="shared" si="10"/>
        <v/>
      </c>
      <c r="K203" s="4" t="str">
        <f t="shared" ca="1" si="11"/>
        <v/>
      </c>
      <c r="L203" s="7" t="str">
        <f>IF($H203="","",$H203-'[2]Read Me'!$B$4)</f>
        <v/>
      </c>
      <c r="M203" s="4" t="str">
        <f>IF($I203="Complete","Green",IF($H203="","Amber",IF($H203&lt;'[2]Read Me'!$B$4,"Red",IF($H203-'[2]Read Me'!$B$4&lt;=21,"Amber","Green"))))</f>
        <v>Amber</v>
      </c>
      <c r="N203" s="3"/>
      <c r="O203" t="str">
        <f>IF($I203&lt;&gt;"Complete",IF(COUNTIFS($A$4:$A202,$A203,$B$4:$B202,$B203,$I$4:$I202,"&lt;&gt;Complete")=0,$A203&amp;"|"&amp;$B203,""),"")</f>
        <v>|</v>
      </c>
      <c r="P203" t="str">
        <f ca="1">IF($K203="Yes",COUNTIFS($K$4:$K203,"Yes"),"")</f>
        <v/>
      </c>
      <c r="Q203">
        <f t="shared" ca="1" si="12"/>
        <v>0</v>
      </c>
      <c r="R203" t="str">
        <f ca="1">IF($Q203=1,SUM($Q$4:$Q203),"")</f>
        <v/>
      </c>
    </row>
    <row r="204" spans="1:18" ht="33.75" customHeight="1" x14ac:dyDescent="0.3">
      <c r="A204" s="2"/>
      <c r="B204" s="2"/>
      <c r="C204" s="3"/>
      <c r="D204" s="3"/>
      <c r="E204" s="2"/>
      <c r="F204" s="2"/>
      <c r="G204" s="5"/>
      <c r="H204" s="5"/>
      <c r="I204" s="4"/>
      <c r="J204" s="6" t="str">
        <f t="shared" si="10"/>
        <v/>
      </c>
      <c r="K204" s="4" t="str">
        <f t="shared" ca="1" si="11"/>
        <v/>
      </c>
      <c r="L204" s="7" t="str">
        <f>IF($H204="","",$H204-'[2]Read Me'!$B$4)</f>
        <v/>
      </c>
      <c r="M204" s="4" t="str">
        <f>IF($I204="Complete","Green",IF($H204="","Amber",IF($H204&lt;'[2]Read Me'!$B$4,"Red",IF($H204-'[2]Read Me'!$B$4&lt;=21,"Amber","Green"))))</f>
        <v>Amber</v>
      </c>
      <c r="N204" s="3"/>
      <c r="O204" t="str">
        <f>IF($I204&lt;&gt;"Complete",IF(COUNTIFS($A$4:$A203,$A204,$B$4:$B203,$B204,$I$4:$I203,"&lt;&gt;Complete")=0,$A204&amp;"|"&amp;$B204,""),"")</f>
        <v>|</v>
      </c>
      <c r="P204" t="str">
        <f ca="1">IF($K204="Yes",COUNTIFS($K$4:$K204,"Yes"),"")</f>
        <v/>
      </c>
      <c r="Q204">
        <f t="shared" ca="1" si="12"/>
        <v>0</v>
      </c>
      <c r="R204" t="str">
        <f ca="1">IF($Q204=1,SUM($Q$4:$Q204),"")</f>
        <v/>
      </c>
    </row>
    <row r="205" spans="1:18" ht="33.75" customHeight="1" x14ac:dyDescent="0.3">
      <c r="A205" s="2"/>
      <c r="B205" s="2"/>
      <c r="C205" s="3"/>
      <c r="D205" s="3"/>
      <c r="E205" s="2"/>
      <c r="F205" s="2"/>
      <c r="G205" s="5"/>
      <c r="H205" s="5"/>
      <c r="I205" s="4"/>
      <c r="J205" s="6" t="str">
        <f t="shared" si="10"/>
        <v/>
      </c>
      <c r="K205" s="4" t="str">
        <f t="shared" ca="1" si="11"/>
        <v/>
      </c>
      <c r="L205" s="7" t="str">
        <f>IF($H205="","",$H205-'[2]Read Me'!$B$4)</f>
        <v/>
      </c>
      <c r="M205" s="4" t="str">
        <f>IF($I205="Complete","Green",IF($H205="","Amber",IF($H205&lt;'[2]Read Me'!$B$4,"Red",IF($H205-'[2]Read Me'!$B$4&lt;=21,"Amber","Green"))))</f>
        <v>Amber</v>
      </c>
      <c r="N205" s="3"/>
      <c r="O205" t="str">
        <f>IF($I205&lt;&gt;"Complete",IF(COUNTIFS($A$4:$A204,$A205,$B$4:$B204,$B205,$I$4:$I204,"&lt;&gt;Complete")=0,$A205&amp;"|"&amp;$B205,""),"")</f>
        <v>|</v>
      </c>
      <c r="P205" t="str">
        <f ca="1">IF($K205="Yes",COUNTIFS($K$4:$K205,"Yes"),"")</f>
        <v/>
      </c>
      <c r="Q205">
        <f t="shared" ca="1" si="12"/>
        <v>0</v>
      </c>
      <c r="R205" t="str">
        <f ca="1">IF($Q205=1,SUM($Q$4:$Q205),"")</f>
        <v/>
      </c>
    </row>
    <row r="206" spans="1:18" ht="33.75" customHeight="1" x14ac:dyDescent="0.3">
      <c r="A206" s="2"/>
      <c r="B206" s="2"/>
      <c r="C206" s="3"/>
      <c r="D206" s="3"/>
      <c r="E206" s="2"/>
      <c r="F206" s="2"/>
      <c r="G206" s="5"/>
      <c r="H206" s="5"/>
      <c r="I206" s="4"/>
      <c r="J206" s="6" t="str">
        <f t="shared" si="10"/>
        <v/>
      </c>
      <c r="K206" s="4" t="str">
        <f t="shared" ca="1" si="11"/>
        <v/>
      </c>
      <c r="L206" s="7" t="str">
        <f>IF($H206="","",$H206-'[2]Read Me'!$B$4)</f>
        <v/>
      </c>
      <c r="M206" s="4" t="str">
        <f>IF($I206="Complete","Green",IF($H206="","Amber",IF($H206&lt;'[2]Read Me'!$B$4,"Red",IF($H206-'[2]Read Me'!$B$4&lt;=21,"Amber","Green"))))</f>
        <v>Amber</v>
      </c>
      <c r="N206" s="3"/>
      <c r="O206" t="str">
        <f>IF($I206&lt;&gt;"Complete",IF(COUNTIFS($A$4:$A205,$A206,$B$4:$B205,$B206,$I$4:$I205,"&lt;&gt;Complete")=0,$A206&amp;"|"&amp;$B206,""),"")</f>
        <v>|</v>
      </c>
      <c r="P206" t="str">
        <f ca="1">IF($K206="Yes",COUNTIFS($K$4:$K206,"Yes"),"")</f>
        <v/>
      </c>
      <c r="Q206">
        <f t="shared" ca="1" si="12"/>
        <v>0</v>
      </c>
      <c r="R206" t="str">
        <f ca="1">IF($Q206=1,SUM($Q$4:$Q206),"")</f>
        <v/>
      </c>
    </row>
    <row r="207" spans="1:18" ht="33.75" customHeight="1" x14ac:dyDescent="0.3">
      <c r="A207" s="2"/>
      <c r="B207" s="2"/>
      <c r="C207" s="3"/>
      <c r="D207" s="3"/>
      <c r="E207" s="2"/>
      <c r="F207" s="2"/>
      <c r="G207" s="5"/>
      <c r="H207" s="5"/>
      <c r="I207" s="4"/>
      <c r="J207" s="6" t="str">
        <f t="shared" si="10"/>
        <v/>
      </c>
      <c r="K207" s="4" t="str">
        <f t="shared" ca="1" si="11"/>
        <v/>
      </c>
      <c r="L207" s="7" t="str">
        <f>IF($H207="","",$H207-'[2]Read Me'!$B$4)</f>
        <v/>
      </c>
      <c r="M207" s="4" t="str">
        <f>IF($I207="Complete","Green",IF($H207="","Amber",IF($H207&lt;'[2]Read Me'!$B$4,"Red",IF($H207-'[2]Read Me'!$B$4&lt;=21,"Amber","Green"))))</f>
        <v>Amber</v>
      </c>
      <c r="N207" s="3"/>
      <c r="O207" t="str">
        <f>IF($I207&lt;&gt;"Complete",IF(COUNTIFS($A$4:$A206,$A207,$B$4:$B206,$B207,$I$4:$I206,"&lt;&gt;Complete")=0,$A207&amp;"|"&amp;$B207,""),"")</f>
        <v>|</v>
      </c>
      <c r="P207" t="str">
        <f ca="1">IF($K207="Yes",COUNTIFS($K$4:$K207,"Yes"),"")</f>
        <v/>
      </c>
      <c r="Q207">
        <f t="shared" ca="1" si="12"/>
        <v>0</v>
      </c>
      <c r="R207" t="str">
        <f ca="1">IF($Q207=1,SUM($Q$4:$Q207),"")</f>
        <v/>
      </c>
    </row>
    <row r="208" spans="1:18" ht="33.75" customHeight="1" x14ac:dyDescent="0.3">
      <c r="A208" s="2"/>
      <c r="B208" s="2"/>
      <c r="C208" s="3"/>
      <c r="D208" s="3"/>
      <c r="E208" s="2"/>
      <c r="F208" s="2"/>
      <c r="G208" s="5"/>
      <c r="H208" s="5"/>
      <c r="I208" s="4"/>
      <c r="J208" s="6" t="str">
        <f t="shared" si="10"/>
        <v/>
      </c>
      <c r="K208" s="4" t="str">
        <f t="shared" ca="1" si="11"/>
        <v/>
      </c>
      <c r="L208" s="7" t="str">
        <f>IF($H208="","",$H208-'[2]Read Me'!$B$4)</f>
        <v/>
      </c>
      <c r="M208" s="4" t="str">
        <f>IF($I208="Complete","Green",IF($H208="","Amber",IF($H208&lt;'[2]Read Me'!$B$4,"Red",IF($H208-'[2]Read Me'!$B$4&lt;=21,"Amber","Green"))))</f>
        <v>Amber</v>
      </c>
      <c r="N208" s="3"/>
      <c r="O208" t="str">
        <f>IF($I208&lt;&gt;"Complete",IF(COUNTIFS($A$4:$A207,$A208,$B$4:$B207,$B208,$I$4:$I207,"&lt;&gt;Complete")=0,$A208&amp;"|"&amp;$B208,""),"")</f>
        <v>|</v>
      </c>
      <c r="P208" t="str">
        <f ca="1">IF($K208="Yes",COUNTIFS($K$4:$K208,"Yes"),"")</f>
        <v/>
      </c>
      <c r="Q208">
        <f t="shared" ca="1" si="12"/>
        <v>0</v>
      </c>
      <c r="R208" t="str">
        <f ca="1">IF($Q208=1,SUM($Q$4:$Q208),"")</f>
        <v/>
      </c>
    </row>
    <row r="209" spans="1:18" ht="33.75" customHeight="1" x14ac:dyDescent="0.3">
      <c r="A209" s="2"/>
      <c r="B209" s="2"/>
      <c r="C209" s="3"/>
      <c r="D209" s="3"/>
      <c r="E209" s="2"/>
      <c r="F209" s="2"/>
      <c r="G209" s="5"/>
      <c r="H209" s="5"/>
      <c r="I209" s="4"/>
      <c r="J209" s="6" t="str">
        <f t="shared" si="10"/>
        <v/>
      </c>
      <c r="K209" s="4" t="str">
        <f t="shared" ca="1" si="11"/>
        <v/>
      </c>
      <c r="L209" s="7" t="str">
        <f>IF($H209="","",$H209-'[2]Read Me'!$B$4)</f>
        <v/>
      </c>
      <c r="M209" s="4" t="str">
        <f>IF($I209="Complete","Green",IF($H209="","Amber",IF($H209&lt;'[2]Read Me'!$B$4,"Red",IF($H209-'[2]Read Me'!$B$4&lt;=21,"Amber","Green"))))</f>
        <v>Amber</v>
      </c>
      <c r="N209" s="3"/>
      <c r="O209" t="str">
        <f>IF($I209&lt;&gt;"Complete",IF(COUNTIFS($A$4:$A208,$A209,$B$4:$B208,$B209,$I$4:$I208,"&lt;&gt;Complete")=0,$A209&amp;"|"&amp;$B209,""),"")</f>
        <v>|</v>
      </c>
      <c r="P209" t="str">
        <f ca="1">IF($K209="Yes",COUNTIFS($K$4:$K209,"Yes"),"")</f>
        <v/>
      </c>
      <c r="Q209">
        <f t="shared" ca="1" si="12"/>
        <v>0</v>
      </c>
      <c r="R209" t="str">
        <f ca="1">IF($Q209=1,SUM($Q$4:$Q209),"")</f>
        <v/>
      </c>
    </row>
    <row r="210" spans="1:18" ht="33.75" customHeight="1" x14ac:dyDescent="0.3">
      <c r="A210" s="2"/>
      <c r="B210" s="2"/>
      <c r="C210" s="3"/>
      <c r="D210" s="3"/>
      <c r="E210" s="2"/>
      <c r="F210" s="2"/>
      <c r="G210" s="5"/>
      <c r="H210" s="5"/>
      <c r="I210" s="4"/>
      <c r="J210" s="6" t="str">
        <f t="shared" si="10"/>
        <v/>
      </c>
      <c r="K210" s="4" t="str">
        <f t="shared" ca="1" si="11"/>
        <v/>
      </c>
      <c r="L210" s="7" t="str">
        <f>IF($H210="","",$H210-'[2]Read Me'!$B$4)</f>
        <v/>
      </c>
      <c r="M210" s="4" t="str">
        <f>IF($I210="Complete","Green",IF($H210="","Amber",IF($H210&lt;'[2]Read Me'!$B$4,"Red",IF($H210-'[2]Read Me'!$B$4&lt;=21,"Amber","Green"))))</f>
        <v>Amber</v>
      </c>
      <c r="N210" s="3"/>
      <c r="O210" t="str">
        <f>IF($I210&lt;&gt;"Complete",IF(COUNTIFS($A$4:$A209,$A210,$B$4:$B209,$B210,$I$4:$I209,"&lt;&gt;Complete")=0,$A210&amp;"|"&amp;$B210,""),"")</f>
        <v>|</v>
      </c>
      <c r="P210" t="str">
        <f ca="1">IF($K210="Yes",COUNTIFS($K$4:$K210,"Yes"),"")</f>
        <v/>
      </c>
      <c r="Q210">
        <f t="shared" ca="1" si="12"/>
        <v>0</v>
      </c>
      <c r="R210" t="str">
        <f ca="1">IF($Q210=1,SUM($Q$4:$Q210),"")</f>
        <v/>
      </c>
    </row>
    <row r="211" spans="1:18" ht="22.5" customHeight="1" x14ac:dyDescent="0.3">
      <c r="A211" s="2"/>
      <c r="B211" s="2"/>
      <c r="C211" s="3"/>
      <c r="D211" s="3"/>
      <c r="E211" s="2"/>
      <c r="F211" s="2"/>
      <c r="G211" s="5"/>
      <c r="H211" s="5"/>
      <c r="I211" s="4"/>
      <c r="J211" s="6" t="str">
        <f t="shared" si="10"/>
        <v/>
      </c>
      <c r="K211" s="4" t="str">
        <f t="shared" ca="1" si="11"/>
        <v/>
      </c>
      <c r="L211" s="7" t="str">
        <f>IF($H211="","",$H211-'[2]Read Me'!$B$4)</f>
        <v/>
      </c>
      <c r="M211" s="4" t="str">
        <f>IF($I211="Complete","Green",IF($H211="","Amber",IF($H211&lt;'[2]Read Me'!$B$4,"Red",IF($H211-'[2]Read Me'!$B$4&lt;=21,"Amber","Green"))))</f>
        <v>Amber</v>
      </c>
      <c r="N211" s="3"/>
      <c r="O211" t="str">
        <f>IF($I211&lt;&gt;"Complete",IF(COUNTIFS($A$4:$A210,$A211,$B$4:$B210,$B211,$I$4:$I210,"&lt;&gt;Complete")=0,$A211&amp;"|"&amp;$B211,""),"")</f>
        <v>|</v>
      </c>
      <c r="P211" t="str">
        <f ca="1">IF($K211="Yes",COUNTIFS($K$4:$K211,"Yes"),"")</f>
        <v/>
      </c>
      <c r="Q211">
        <f t="shared" ca="1" si="12"/>
        <v>0</v>
      </c>
      <c r="R211" t="str">
        <f ca="1">IF($Q211=1,SUM($Q$4:$Q211),"")</f>
        <v/>
      </c>
    </row>
    <row r="212" spans="1:18" ht="22.5" customHeight="1" x14ac:dyDescent="0.3">
      <c r="A212" s="2"/>
      <c r="B212" s="2"/>
      <c r="C212" s="3"/>
      <c r="D212" s="3"/>
      <c r="E212" s="2"/>
      <c r="F212" s="2"/>
      <c r="G212" s="5"/>
      <c r="H212" s="5"/>
      <c r="I212" s="4"/>
      <c r="J212" s="6" t="str">
        <f t="shared" si="10"/>
        <v/>
      </c>
      <c r="K212" s="4" t="str">
        <f t="shared" ca="1" si="11"/>
        <v/>
      </c>
      <c r="L212" s="7" t="str">
        <f>IF($H212="","",$H212-'[2]Read Me'!$B$4)</f>
        <v/>
      </c>
      <c r="M212" s="4" t="str">
        <f>IF($I212="Complete","Green",IF($H212="","Amber",IF($H212&lt;'[2]Read Me'!$B$4,"Red",IF($H212-'[2]Read Me'!$B$4&lt;=21,"Amber","Green"))))</f>
        <v>Amber</v>
      </c>
      <c r="N212" s="3"/>
      <c r="O212" t="str">
        <f>IF($I212&lt;&gt;"Complete",IF(COUNTIFS($A$4:$A211,$A212,$B$4:$B211,$B212,$I$4:$I211,"&lt;&gt;Complete")=0,$A212&amp;"|"&amp;$B212,""),"")</f>
        <v>|</v>
      </c>
      <c r="P212" t="str">
        <f ca="1">IF($K212="Yes",COUNTIFS($K$4:$K212,"Yes"),"")</f>
        <v/>
      </c>
      <c r="Q212">
        <f t="shared" ca="1" si="12"/>
        <v>0</v>
      </c>
      <c r="R212" t="str">
        <f ca="1">IF($Q212=1,SUM($Q$4:$Q212),"")</f>
        <v/>
      </c>
    </row>
    <row r="213" spans="1:18" ht="22.5" customHeight="1" x14ac:dyDescent="0.3">
      <c r="A213" s="2"/>
      <c r="B213" s="2"/>
      <c r="C213" s="3"/>
      <c r="D213" s="3"/>
      <c r="E213" s="2"/>
      <c r="F213" s="2"/>
      <c r="G213" s="5"/>
      <c r="H213" s="5"/>
      <c r="I213" s="4"/>
      <c r="J213" s="6" t="str">
        <f t="shared" si="10"/>
        <v/>
      </c>
      <c r="K213" s="4" t="str">
        <f t="shared" ca="1" si="11"/>
        <v/>
      </c>
      <c r="L213" s="7" t="str">
        <f>IF($H213="","",$H213-'[2]Read Me'!$B$4)</f>
        <v/>
      </c>
      <c r="M213" s="4" t="str">
        <f>IF($I213="Complete","Green",IF($H213="","Amber",IF($H213&lt;'[2]Read Me'!$B$4,"Red",IF($H213-'[2]Read Me'!$B$4&lt;=21,"Amber","Green"))))</f>
        <v>Amber</v>
      </c>
      <c r="N213" s="3"/>
      <c r="O213" t="str">
        <f>IF($I213&lt;&gt;"Complete",IF(COUNTIFS($A$4:$A212,$A213,$B$4:$B212,$B213,$I$4:$I212,"&lt;&gt;Complete")=0,$A213&amp;"|"&amp;$B213,""),"")</f>
        <v>|</v>
      </c>
      <c r="P213" t="str">
        <f ca="1">IF($K213="Yes",COUNTIFS($K$4:$K213,"Yes"),"")</f>
        <v/>
      </c>
      <c r="Q213">
        <f t="shared" ca="1" si="12"/>
        <v>0</v>
      </c>
      <c r="R213" t="str">
        <f ca="1">IF($Q213=1,SUM($Q$4:$Q213),"")</f>
        <v/>
      </c>
    </row>
    <row r="214" spans="1:18" ht="22.5" customHeight="1" x14ac:dyDescent="0.3">
      <c r="A214" s="2"/>
      <c r="B214" s="2"/>
      <c r="C214" s="3"/>
      <c r="D214" s="3"/>
      <c r="E214" s="2"/>
      <c r="F214" s="2"/>
      <c r="G214" s="5"/>
      <c r="H214" s="5"/>
      <c r="I214" s="4"/>
      <c r="J214" s="6" t="str">
        <f t="shared" si="10"/>
        <v/>
      </c>
      <c r="K214" s="4" t="str">
        <f t="shared" ca="1" si="11"/>
        <v/>
      </c>
      <c r="L214" s="7" t="str">
        <f>IF($H214="","",$H214-'[2]Read Me'!$B$4)</f>
        <v/>
      </c>
      <c r="M214" s="4" t="str">
        <f>IF($I214="Complete","Green",IF($H214="","Amber",IF($H214&lt;'[2]Read Me'!$B$4,"Red",IF($H214-'[2]Read Me'!$B$4&lt;=21,"Amber","Green"))))</f>
        <v>Amber</v>
      </c>
      <c r="N214" s="3"/>
      <c r="O214" t="str">
        <f>IF($I214&lt;&gt;"Complete",IF(COUNTIFS($A$4:$A213,$A214,$B$4:$B213,$B214,$I$4:$I213,"&lt;&gt;Complete")=0,$A214&amp;"|"&amp;$B214,""),"")</f>
        <v>|</v>
      </c>
      <c r="P214" t="str">
        <f ca="1">IF($K214="Yes",COUNTIFS($K$4:$K214,"Yes"),"")</f>
        <v/>
      </c>
      <c r="Q214">
        <f t="shared" ca="1" si="12"/>
        <v>0</v>
      </c>
      <c r="R214" t="str">
        <f ca="1">IF($Q214=1,SUM($Q$4:$Q214),"")</f>
        <v/>
      </c>
    </row>
    <row r="215" spans="1:18" ht="22.5" customHeight="1" x14ac:dyDescent="0.3">
      <c r="A215" s="2"/>
      <c r="B215" s="2"/>
      <c r="C215" s="3"/>
      <c r="D215" s="3"/>
      <c r="E215" s="2"/>
      <c r="F215" s="2"/>
      <c r="G215" s="5"/>
      <c r="H215" s="5"/>
      <c r="I215" s="4"/>
      <c r="J215" s="6" t="str">
        <f t="shared" si="10"/>
        <v/>
      </c>
      <c r="K215" s="4" t="str">
        <f t="shared" ca="1" si="11"/>
        <v/>
      </c>
      <c r="L215" s="7" t="str">
        <f>IF($H215="","",$H215-'[2]Read Me'!$B$4)</f>
        <v/>
      </c>
      <c r="M215" s="4" t="str">
        <f>IF($I215="Complete","Green",IF($H215="","Amber",IF($H215&lt;'[2]Read Me'!$B$4,"Red",IF($H215-'[2]Read Me'!$B$4&lt;=21,"Amber","Green"))))</f>
        <v>Amber</v>
      </c>
      <c r="N215" s="3"/>
      <c r="O215" t="str">
        <f>IF($I215&lt;&gt;"Complete",IF(COUNTIFS($A$4:$A214,$A215,$B$4:$B214,$B215,$I$4:$I214,"&lt;&gt;Complete")=0,$A215&amp;"|"&amp;$B215,""),"")</f>
        <v>|</v>
      </c>
      <c r="P215" t="str">
        <f ca="1">IF($K215="Yes",COUNTIFS($K$4:$K215,"Yes"),"")</f>
        <v/>
      </c>
      <c r="Q215">
        <f t="shared" ca="1" si="12"/>
        <v>0</v>
      </c>
      <c r="R215" t="str">
        <f ca="1">IF($Q215=1,SUM($Q$4:$Q215),"")</f>
        <v/>
      </c>
    </row>
    <row r="216" spans="1:18" ht="22.5" customHeight="1" x14ac:dyDescent="0.3">
      <c r="A216" s="2"/>
      <c r="B216" s="2"/>
      <c r="C216" s="3"/>
      <c r="D216" s="3"/>
      <c r="E216" s="2"/>
      <c r="F216" s="2"/>
      <c r="G216" s="5"/>
      <c r="H216" s="5"/>
      <c r="I216" s="4"/>
      <c r="J216" s="6" t="str">
        <f t="shared" si="10"/>
        <v/>
      </c>
      <c r="K216" s="4" t="str">
        <f t="shared" ca="1" si="11"/>
        <v/>
      </c>
      <c r="L216" s="7" t="str">
        <f>IF($H216="","",$H216-'[2]Read Me'!$B$4)</f>
        <v/>
      </c>
      <c r="M216" s="4" t="str">
        <f>IF($I216="Complete","Green",IF($H216="","Amber",IF($H216&lt;'[2]Read Me'!$B$4,"Red",IF($H216-'[2]Read Me'!$B$4&lt;=21,"Amber","Green"))))</f>
        <v>Amber</v>
      </c>
      <c r="N216" s="3"/>
      <c r="O216" t="str">
        <f>IF($I216&lt;&gt;"Complete",IF(COUNTIFS($A$4:$A215,$A216,$B$4:$B215,$B216,$I$4:$I215,"&lt;&gt;Complete")=0,$A216&amp;"|"&amp;$B216,""),"")</f>
        <v>|</v>
      </c>
      <c r="P216" t="str">
        <f ca="1">IF($K216="Yes",COUNTIFS($K$4:$K216,"Yes"),"")</f>
        <v/>
      </c>
      <c r="Q216">
        <f t="shared" ca="1" si="12"/>
        <v>0</v>
      </c>
      <c r="R216" t="str">
        <f ca="1">IF($Q216=1,SUM($Q$4:$Q216),"")</f>
        <v/>
      </c>
    </row>
    <row r="217" spans="1:18" ht="22.5" customHeight="1" x14ac:dyDescent="0.3">
      <c r="A217" s="2"/>
      <c r="B217" s="2"/>
      <c r="C217" s="3"/>
      <c r="D217" s="3"/>
      <c r="E217" s="2"/>
      <c r="F217" s="2"/>
      <c r="G217" s="5"/>
      <c r="H217" s="5"/>
      <c r="I217" s="4"/>
      <c r="J217" s="6" t="str">
        <f t="shared" si="10"/>
        <v/>
      </c>
      <c r="K217" s="4" t="str">
        <f t="shared" ca="1" si="11"/>
        <v/>
      </c>
      <c r="L217" s="7" t="str">
        <f>IF($H217="","",$H217-'[2]Read Me'!$B$4)</f>
        <v/>
      </c>
      <c r="M217" s="4" t="str">
        <f>IF($I217="Complete","Green",IF($H217="","Amber",IF($H217&lt;'[2]Read Me'!$B$4,"Red",IF($H217-'[2]Read Me'!$B$4&lt;=21,"Amber","Green"))))</f>
        <v>Amber</v>
      </c>
      <c r="N217" s="3"/>
      <c r="O217" t="str">
        <f>IF($I217&lt;&gt;"Complete",IF(COUNTIFS($A$4:$A216,$A217,$B$4:$B216,$B217,$I$4:$I216,"&lt;&gt;Complete")=0,$A217&amp;"|"&amp;$B217,""),"")</f>
        <v>|</v>
      </c>
      <c r="P217" t="str">
        <f ca="1">IF($K217="Yes",COUNTIFS($K$4:$K217,"Yes"),"")</f>
        <v/>
      </c>
      <c r="Q217">
        <f t="shared" ca="1" si="12"/>
        <v>0</v>
      </c>
      <c r="R217" t="str">
        <f ca="1">IF($Q217=1,SUM($Q$4:$Q217),"")</f>
        <v/>
      </c>
    </row>
    <row r="218" spans="1:18" ht="22.5" customHeight="1" x14ac:dyDescent="0.3">
      <c r="A218" s="2"/>
      <c r="B218" s="2"/>
      <c r="C218" s="3"/>
      <c r="D218" s="3"/>
      <c r="E218" s="2"/>
      <c r="F218" s="2"/>
      <c r="G218" s="5"/>
      <c r="H218" s="5"/>
      <c r="I218" s="4"/>
      <c r="J218" s="6" t="str">
        <f t="shared" si="10"/>
        <v/>
      </c>
      <c r="K218" s="4" t="str">
        <f t="shared" ca="1" si="11"/>
        <v/>
      </c>
      <c r="L218" s="7" t="str">
        <f>IF($H218="","",$H218-'[2]Read Me'!$B$4)</f>
        <v/>
      </c>
      <c r="M218" s="4" t="str">
        <f>IF($I218="Complete","Green",IF($H218="","Amber",IF($H218&lt;'[2]Read Me'!$B$4,"Red",IF($H218-'[2]Read Me'!$B$4&lt;=21,"Amber","Green"))))</f>
        <v>Amber</v>
      </c>
      <c r="N218" s="3"/>
      <c r="O218" t="str">
        <f>IF($I218&lt;&gt;"Complete",IF(COUNTIFS($A$4:$A217,$A218,$B$4:$B217,$B218,$I$4:$I217,"&lt;&gt;Complete")=0,$A218&amp;"|"&amp;$B218,""),"")</f>
        <v>|</v>
      </c>
      <c r="P218" t="str">
        <f ca="1">IF($K218="Yes",COUNTIFS($K$4:$K218,"Yes"),"")</f>
        <v/>
      </c>
      <c r="Q218">
        <f t="shared" ca="1" si="12"/>
        <v>0</v>
      </c>
      <c r="R218" t="str">
        <f ca="1">IF($Q218=1,SUM($Q$4:$Q218),"")</f>
        <v/>
      </c>
    </row>
    <row r="219" spans="1:18" ht="22.5" customHeight="1" x14ac:dyDescent="0.3">
      <c r="A219" s="2"/>
      <c r="B219" s="2"/>
      <c r="C219" s="3"/>
      <c r="D219" s="3"/>
      <c r="E219" s="2"/>
      <c r="F219" s="2"/>
      <c r="G219" s="5"/>
      <c r="H219" s="5"/>
      <c r="I219" s="4"/>
      <c r="J219" s="6" t="str">
        <f t="shared" si="10"/>
        <v/>
      </c>
      <c r="K219" s="4" t="str">
        <f t="shared" ca="1" si="11"/>
        <v/>
      </c>
      <c r="L219" s="7" t="str">
        <f>IF($H219="","",$H219-'[2]Read Me'!$B$4)</f>
        <v/>
      </c>
      <c r="M219" s="4" t="str">
        <f>IF($I219="Complete","Green",IF($H219="","Amber",IF($H219&lt;'[2]Read Me'!$B$4,"Red",IF($H219-'[2]Read Me'!$B$4&lt;=21,"Amber","Green"))))</f>
        <v>Amber</v>
      </c>
      <c r="N219" s="3"/>
      <c r="O219" t="str">
        <f>IF($I219&lt;&gt;"Complete",IF(COUNTIFS($A$4:$A218,$A219,$B$4:$B218,$B219,$I$4:$I218,"&lt;&gt;Complete")=0,$A219&amp;"|"&amp;$B219,""),"")</f>
        <v>|</v>
      </c>
      <c r="P219" t="str">
        <f ca="1">IF($K219="Yes",COUNTIFS($K$4:$K219,"Yes"),"")</f>
        <v/>
      </c>
      <c r="Q219">
        <f t="shared" ca="1" si="12"/>
        <v>0</v>
      </c>
      <c r="R219" t="str">
        <f ca="1">IF($Q219=1,SUM($Q$4:$Q219),"")</f>
        <v/>
      </c>
    </row>
    <row r="220" spans="1:18" ht="22.5" customHeight="1" x14ac:dyDescent="0.3">
      <c r="A220" s="2"/>
      <c r="B220" s="2"/>
      <c r="C220" s="3"/>
      <c r="D220" s="3"/>
      <c r="E220" s="2"/>
      <c r="F220" s="2"/>
      <c r="G220" s="5"/>
      <c r="H220" s="5"/>
      <c r="I220" s="4"/>
      <c r="J220" s="6" t="str">
        <f t="shared" si="10"/>
        <v/>
      </c>
      <c r="K220" s="4" t="str">
        <f t="shared" ca="1" si="11"/>
        <v/>
      </c>
      <c r="L220" s="7" t="str">
        <f>IF($H220="","",$H220-'[2]Read Me'!$B$4)</f>
        <v/>
      </c>
      <c r="M220" s="4" t="str">
        <f>IF($I220="Complete","Green",IF($H220="","Amber",IF($H220&lt;'[2]Read Me'!$B$4,"Red",IF($H220-'[2]Read Me'!$B$4&lt;=21,"Amber","Green"))))</f>
        <v>Amber</v>
      </c>
      <c r="N220" s="3"/>
      <c r="O220" t="str">
        <f>IF($I220&lt;&gt;"Complete",IF(COUNTIFS($A$4:$A219,$A220,$B$4:$B219,$B220,$I$4:$I219,"&lt;&gt;Complete")=0,$A220&amp;"|"&amp;$B220,""),"")</f>
        <v>|</v>
      </c>
      <c r="P220" t="str">
        <f ca="1">IF($K220="Yes",COUNTIFS($K$4:$K220,"Yes"),"")</f>
        <v/>
      </c>
      <c r="Q220">
        <f t="shared" ca="1" si="12"/>
        <v>0</v>
      </c>
      <c r="R220" t="str">
        <f ca="1">IF($Q220=1,SUM($Q$4:$Q220),"")</f>
        <v/>
      </c>
    </row>
    <row r="221" spans="1:18" ht="22.5" customHeight="1" x14ac:dyDescent="0.3">
      <c r="A221" s="2"/>
      <c r="B221" s="2"/>
      <c r="C221" s="3"/>
      <c r="D221" s="3"/>
      <c r="E221" s="2"/>
      <c r="F221" s="2"/>
      <c r="G221" s="5"/>
      <c r="H221" s="5"/>
      <c r="I221" s="4"/>
      <c r="J221" s="6" t="str">
        <f t="shared" si="10"/>
        <v/>
      </c>
      <c r="K221" s="4" t="str">
        <f t="shared" ca="1" si="11"/>
        <v/>
      </c>
      <c r="L221" s="7" t="str">
        <f>IF($H221="","",$H221-'[2]Read Me'!$B$4)</f>
        <v/>
      </c>
      <c r="M221" s="4" t="str">
        <f>IF($I221="Complete","Green",IF($H221="","Amber",IF($H221&lt;'[2]Read Me'!$B$4,"Red",IF($H221-'[2]Read Me'!$B$4&lt;=21,"Amber","Green"))))</f>
        <v>Amber</v>
      </c>
      <c r="N221" s="3"/>
      <c r="O221" t="str">
        <f>IF($I221&lt;&gt;"Complete",IF(COUNTIFS($A$4:$A220,$A221,$B$4:$B220,$B221,$I$4:$I220,"&lt;&gt;Complete")=0,$A221&amp;"|"&amp;$B221,""),"")</f>
        <v>|</v>
      </c>
      <c r="P221" t="str">
        <f ca="1">IF($K221="Yes",COUNTIFS($K$4:$K221,"Yes"),"")</f>
        <v/>
      </c>
      <c r="Q221">
        <f t="shared" ca="1" si="12"/>
        <v>0</v>
      </c>
      <c r="R221" t="str">
        <f ca="1">IF($Q221=1,SUM($Q$4:$Q221),"")</f>
        <v/>
      </c>
    </row>
    <row r="222" spans="1:18" ht="22.5" customHeight="1" x14ac:dyDescent="0.3">
      <c r="A222" s="2"/>
      <c r="B222" s="2"/>
      <c r="C222" s="3"/>
      <c r="D222" s="3"/>
      <c r="E222" s="2"/>
      <c r="F222" s="2"/>
      <c r="G222" s="5"/>
      <c r="H222" s="5"/>
      <c r="I222" s="4"/>
      <c r="J222" s="6" t="str">
        <f t="shared" si="10"/>
        <v/>
      </c>
      <c r="K222" s="4" t="str">
        <f t="shared" ca="1" si="11"/>
        <v/>
      </c>
      <c r="L222" s="7" t="str">
        <f>IF($H222="","",$H222-'[2]Read Me'!$B$4)</f>
        <v/>
      </c>
      <c r="M222" s="4" t="str">
        <f>IF($I222="Complete","Green",IF($H222="","Amber",IF($H222&lt;'[2]Read Me'!$B$4,"Red",IF($H222-'[2]Read Me'!$B$4&lt;=21,"Amber","Green"))))</f>
        <v>Amber</v>
      </c>
      <c r="N222" s="3"/>
      <c r="O222" t="str">
        <f>IF($I222&lt;&gt;"Complete",IF(COUNTIFS($A$4:$A221,$A222,$B$4:$B221,$B222,$I$4:$I221,"&lt;&gt;Complete")=0,$A222&amp;"|"&amp;$B222,""),"")</f>
        <v>|</v>
      </c>
      <c r="P222" t="str">
        <f ca="1">IF($K222="Yes",COUNTIFS($K$4:$K222,"Yes"),"")</f>
        <v/>
      </c>
      <c r="Q222">
        <f t="shared" ca="1" si="12"/>
        <v>0</v>
      </c>
      <c r="R222" t="str">
        <f ca="1">IF($Q222=1,SUM($Q$4:$Q222),"")</f>
        <v/>
      </c>
    </row>
    <row r="223" spans="1:18" ht="22.5" customHeight="1" x14ac:dyDescent="0.3">
      <c r="A223" s="2"/>
      <c r="B223" s="2"/>
      <c r="C223" s="3"/>
      <c r="D223" s="3"/>
      <c r="E223" s="2"/>
      <c r="F223" s="2"/>
      <c r="G223" s="5"/>
      <c r="H223" s="5"/>
      <c r="I223" s="4"/>
      <c r="J223" s="6" t="str">
        <f t="shared" si="10"/>
        <v/>
      </c>
      <c r="K223" s="4" t="str">
        <f t="shared" ca="1" si="11"/>
        <v/>
      </c>
      <c r="L223" s="7" t="str">
        <f>IF($H223="","",$H223-'[2]Read Me'!$B$4)</f>
        <v/>
      </c>
      <c r="M223" s="4" t="str">
        <f>IF($I223="Complete","Green",IF($H223="","Amber",IF($H223&lt;'[2]Read Me'!$B$4,"Red",IF($H223-'[2]Read Me'!$B$4&lt;=21,"Amber","Green"))))</f>
        <v>Amber</v>
      </c>
      <c r="N223" s="3"/>
      <c r="O223" t="str">
        <f>IF($I223&lt;&gt;"Complete",IF(COUNTIFS($A$4:$A222,$A223,$B$4:$B222,$B223,$I$4:$I222,"&lt;&gt;Complete")=0,$A223&amp;"|"&amp;$B223,""),"")</f>
        <v>|</v>
      </c>
      <c r="P223" t="str">
        <f ca="1">IF($K223="Yes",COUNTIFS($K$4:$K223,"Yes"),"")</f>
        <v/>
      </c>
      <c r="Q223">
        <f t="shared" ca="1" si="12"/>
        <v>0</v>
      </c>
      <c r="R223" t="str">
        <f ca="1">IF($Q223=1,SUM($Q$4:$Q223),"")</f>
        <v/>
      </c>
    </row>
    <row r="224" spans="1:18" ht="22.5" customHeight="1" x14ac:dyDescent="0.3">
      <c r="A224" s="2"/>
      <c r="B224" s="2"/>
      <c r="C224" s="3"/>
      <c r="D224" s="3"/>
      <c r="E224" s="2"/>
      <c r="F224" s="2"/>
      <c r="G224" s="5"/>
      <c r="H224" s="5"/>
      <c r="I224" s="4"/>
      <c r="J224" s="6" t="str">
        <f t="shared" si="10"/>
        <v/>
      </c>
      <c r="K224" s="4" t="str">
        <f t="shared" ca="1" si="11"/>
        <v/>
      </c>
      <c r="L224" s="7" t="str">
        <f>IF($H224="","",$H224-'[2]Read Me'!$B$4)</f>
        <v/>
      </c>
      <c r="M224" s="4" t="str">
        <f>IF($I224="Complete","Green",IF($H224="","Amber",IF($H224&lt;'[2]Read Me'!$B$4,"Red",IF($H224-'[2]Read Me'!$B$4&lt;=21,"Amber","Green"))))</f>
        <v>Amber</v>
      </c>
      <c r="N224" s="3"/>
      <c r="O224" t="str">
        <f>IF($I224&lt;&gt;"Complete",IF(COUNTIFS($A$4:$A223,$A224,$B$4:$B223,$B224,$I$4:$I223,"&lt;&gt;Complete")=0,$A224&amp;"|"&amp;$B224,""),"")</f>
        <v>|</v>
      </c>
      <c r="P224" t="str">
        <f ca="1">IF($K224="Yes",COUNTIFS($K$4:$K224,"Yes"),"")</f>
        <v/>
      </c>
      <c r="Q224">
        <f t="shared" ca="1" si="12"/>
        <v>0</v>
      </c>
      <c r="R224" t="str">
        <f ca="1">IF($Q224=1,SUM($Q$4:$Q224),"")</f>
        <v/>
      </c>
    </row>
    <row r="225" spans="1:18" ht="22.5" customHeight="1" x14ac:dyDescent="0.3">
      <c r="A225" s="2"/>
      <c r="B225" s="2"/>
      <c r="C225" s="3"/>
      <c r="D225" s="3"/>
      <c r="E225" s="2"/>
      <c r="F225" s="2"/>
      <c r="G225" s="5"/>
      <c r="H225" s="5"/>
      <c r="I225" s="4"/>
      <c r="J225" s="6" t="str">
        <f t="shared" si="10"/>
        <v/>
      </c>
      <c r="K225" s="4" t="str">
        <f t="shared" ca="1" si="11"/>
        <v/>
      </c>
      <c r="L225" s="7" t="str">
        <f>IF($H225="","",$H225-'[2]Read Me'!$B$4)</f>
        <v/>
      </c>
      <c r="M225" s="4" t="str">
        <f>IF($I225="Complete","Green",IF($H225="","Amber",IF($H225&lt;'[2]Read Me'!$B$4,"Red",IF($H225-'[2]Read Me'!$B$4&lt;=21,"Amber","Green"))))</f>
        <v>Amber</v>
      </c>
      <c r="N225" s="3"/>
      <c r="O225" t="str">
        <f>IF($I225&lt;&gt;"Complete",IF(COUNTIFS($A$4:$A224,$A225,$B$4:$B224,$B225,$I$4:$I224,"&lt;&gt;Complete")=0,$A225&amp;"|"&amp;$B225,""),"")</f>
        <v>|</v>
      </c>
      <c r="P225" t="str">
        <f ca="1">IF($K225="Yes",COUNTIFS($K$4:$K225,"Yes"),"")</f>
        <v/>
      </c>
      <c r="Q225">
        <f t="shared" ca="1" si="12"/>
        <v>0</v>
      </c>
      <c r="R225" t="str">
        <f ca="1">IF($Q225=1,SUM($Q$4:$Q225),"")</f>
        <v/>
      </c>
    </row>
    <row r="226" spans="1:18" ht="22.5" customHeight="1" x14ac:dyDescent="0.3">
      <c r="A226" s="2"/>
      <c r="B226" s="2"/>
      <c r="C226" s="3"/>
      <c r="D226" s="3"/>
      <c r="E226" s="2"/>
      <c r="F226" s="2"/>
      <c r="G226" s="5"/>
      <c r="H226" s="5"/>
      <c r="I226" s="4"/>
      <c r="J226" s="6" t="str">
        <f t="shared" si="10"/>
        <v/>
      </c>
      <c r="K226" s="4" t="str">
        <f t="shared" ca="1" si="11"/>
        <v/>
      </c>
      <c r="L226" s="7" t="str">
        <f>IF($H226="","",$H226-'[2]Read Me'!$B$4)</f>
        <v/>
      </c>
      <c r="M226" s="4" t="str">
        <f>IF($I226="Complete","Green",IF($H226="","Amber",IF($H226&lt;'[2]Read Me'!$B$4,"Red",IF($H226-'[2]Read Me'!$B$4&lt;=21,"Amber","Green"))))</f>
        <v>Amber</v>
      </c>
      <c r="N226" s="3"/>
      <c r="O226" t="str">
        <f>IF($I226&lt;&gt;"Complete",IF(COUNTIFS($A$4:$A225,$A226,$B$4:$B225,$B226,$I$4:$I225,"&lt;&gt;Complete")=0,$A226&amp;"|"&amp;$B226,""),"")</f>
        <v>|</v>
      </c>
      <c r="P226" t="str">
        <f ca="1">IF($K226="Yes",COUNTIFS($K$4:$K226,"Yes"),"")</f>
        <v/>
      </c>
      <c r="Q226">
        <f t="shared" ca="1" si="12"/>
        <v>0</v>
      </c>
      <c r="R226" t="str">
        <f ca="1">IF($Q226=1,SUM($Q$4:$Q226),"")</f>
        <v/>
      </c>
    </row>
    <row r="227" spans="1:18" ht="22.5" customHeight="1" x14ac:dyDescent="0.3">
      <c r="A227" s="2"/>
      <c r="B227" s="2"/>
      <c r="C227" s="3"/>
      <c r="D227" s="3"/>
      <c r="E227" s="2"/>
      <c r="F227" s="2"/>
      <c r="G227" s="5"/>
      <c r="H227" s="5"/>
      <c r="I227" s="4"/>
      <c r="J227" s="6" t="str">
        <f t="shared" si="10"/>
        <v/>
      </c>
      <c r="K227" s="4" t="str">
        <f t="shared" ca="1" si="11"/>
        <v/>
      </c>
      <c r="L227" s="7" t="str">
        <f>IF($H227="","",$H227-'[2]Read Me'!$B$4)</f>
        <v/>
      </c>
      <c r="M227" s="4" t="str">
        <f>IF($I227="Complete","Green",IF($H227="","Amber",IF($H227&lt;'[2]Read Me'!$B$4,"Red",IF($H227-'[2]Read Me'!$B$4&lt;=21,"Amber","Green"))))</f>
        <v>Amber</v>
      </c>
      <c r="N227" s="3"/>
      <c r="O227" t="str">
        <f>IF($I227&lt;&gt;"Complete",IF(COUNTIFS($A$4:$A226,$A227,$B$4:$B226,$B227,$I$4:$I226,"&lt;&gt;Complete")=0,$A227&amp;"|"&amp;$B227,""),"")</f>
        <v>|</v>
      </c>
      <c r="P227" t="str">
        <f ca="1">IF($K227="Yes",COUNTIFS($K$4:$K227,"Yes"),"")</f>
        <v/>
      </c>
      <c r="Q227">
        <f t="shared" ca="1" si="12"/>
        <v>0</v>
      </c>
      <c r="R227" t="str">
        <f ca="1">IF($Q227=1,SUM($Q$4:$Q227),"")</f>
        <v/>
      </c>
    </row>
    <row r="228" spans="1:18" ht="22.5" customHeight="1" x14ac:dyDescent="0.3">
      <c r="A228" s="2"/>
      <c r="B228" s="2"/>
      <c r="C228" s="3"/>
      <c r="D228" s="3"/>
      <c r="E228" s="2"/>
      <c r="F228" s="2"/>
      <c r="G228" s="5"/>
      <c r="H228" s="5"/>
      <c r="I228" s="4"/>
      <c r="J228" s="6" t="str">
        <f t="shared" si="10"/>
        <v/>
      </c>
      <c r="K228" s="4" t="str">
        <f t="shared" ca="1" si="11"/>
        <v/>
      </c>
      <c r="L228" s="7" t="str">
        <f>IF($H228="","",$H228-'[2]Read Me'!$B$4)</f>
        <v/>
      </c>
      <c r="M228" s="4" t="str">
        <f>IF($I228="Complete","Green",IF($H228="","Amber",IF($H228&lt;'[2]Read Me'!$B$4,"Red",IF($H228-'[2]Read Me'!$B$4&lt;=21,"Amber","Green"))))</f>
        <v>Amber</v>
      </c>
      <c r="N228" s="3"/>
      <c r="O228" t="str">
        <f>IF($I228&lt;&gt;"Complete",IF(COUNTIFS($A$4:$A227,$A228,$B$4:$B227,$B228,$I$4:$I227,"&lt;&gt;Complete")=0,$A228&amp;"|"&amp;$B228,""),"")</f>
        <v>|</v>
      </c>
      <c r="P228" t="str">
        <f ca="1">IF($K228="Yes",COUNTIFS($K$4:$K228,"Yes"),"")</f>
        <v/>
      </c>
      <c r="Q228">
        <f t="shared" ca="1" si="12"/>
        <v>0</v>
      </c>
      <c r="R228" t="str">
        <f ca="1">IF($Q228=1,SUM($Q$4:$Q228),"")</f>
        <v/>
      </c>
    </row>
    <row r="229" spans="1:18" ht="22.5" customHeight="1" x14ac:dyDescent="0.3">
      <c r="A229" s="2"/>
      <c r="B229" s="2"/>
      <c r="C229" s="3"/>
      <c r="D229" s="3"/>
      <c r="E229" s="2"/>
      <c r="F229" s="2"/>
      <c r="G229" s="5"/>
      <c r="H229" s="5"/>
      <c r="I229" s="4"/>
      <c r="J229" s="6" t="str">
        <f t="shared" si="10"/>
        <v/>
      </c>
      <c r="K229" s="4" t="str">
        <f t="shared" ca="1" si="11"/>
        <v/>
      </c>
      <c r="L229" s="7" t="str">
        <f>IF($H229="","",$H229-'[2]Read Me'!$B$4)</f>
        <v/>
      </c>
      <c r="M229" s="4" t="str">
        <f>IF($I229="Complete","Green",IF($H229="","Amber",IF($H229&lt;'[2]Read Me'!$B$4,"Red",IF($H229-'[2]Read Me'!$B$4&lt;=21,"Amber","Green"))))</f>
        <v>Amber</v>
      </c>
      <c r="N229" s="3"/>
      <c r="O229" t="str">
        <f>IF($I229&lt;&gt;"Complete",IF(COUNTIFS($A$4:$A228,$A229,$B$4:$B228,$B229,$I$4:$I228,"&lt;&gt;Complete")=0,$A229&amp;"|"&amp;$B229,""),"")</f>
        <v>|</v>
      </c>
      <c r="P229" t="str">
        <f ca="1">IF($K229="Yes",COUNTIFS($K$4:$K229,"Yes"),"")</f>
        <v/>
      </c>
      <c r="Q229">
        <f t="shared" ca="1" si="12"/>
        <v>0</v>
      </c>
      <c r="R229" t="str">
        <f ca="1">IF($Q229=1,SUM($Q$4:$Q229),"")</f>
        <v/>
      </c>
    </row>
    <row r="230" spans="1:18" ht="22.5" customHeight="1" x14ac:dyDescent="0.3">
      <c r="A230" s="2"/>
      <c r="B230" s="2"/>
      <c r="C230" s="3"/>
      <c r="D230" s="3"/>
      <c r="E230" s="2"/>
      <c r="F230" s="2"/>
      <c r="G230" s="5"/>
      <c r="H230" s="5"/>
      <c r="I230" s="4"/>
      <c r="J230" s="6" t="str">
        <f t="shared" si="10"/>
        <v/>
      </c>
      <c r="K230" s="4" t="str">
        <f t="shared" ca="1" si="11"/>
        <v/>
      </c>
      <c r="L230" s="7" t="str">
        <f>IF($H230="","",$H230-'[2]Read Me'!$B$4)</f>
        <v/>
      </c>
      <c r="M230" s="4" t="str">
        <f>IF($I230="Complete","Green",IF($H230="","Amber",IF($H230&lt;'[2]Read Me'!$B$4,"Red",IF($H230-'[2]Read Me'!$B$4&lt;=21,"Amber","Green"))))</f>
        <v>Amber</v>
      </c>
      <c r="N230" s="3"/>
      <c r="O230" t="str">
        <f>IF($I230&lt;&gt;"Complete",IF(COUNTIFS($A$4:$A229,$A230,$B$4:$B229,$B230,$I$4:$I229,"&lt;&gt;Complete")=0,$A230&amp;"|"&amp;$B230,""),"")</f>
        <v>|</v>
      </c>
      <c r="P230" t="str">
        <f ca="1">IF($K230="Yes",COUNTIFS($K$4:$K230,"Yes"),"")</f>
        <v/>
      </c>
      <c r="Q230">
        <f t="shared" ca="1" si="12"/>
        <v>0</v>
      </c>
      <c r="R230" t="str">
        <f ca="1">IF($Q230=1,SUM($Q$4:$Q230),"")</f>
        <v/>
      </c>
    </row>
    <row r="231" spans="1:18" ht="22.5" customHeight="1" x14ac:dyDescent="0.3">
      <c r="A231" s="2"/>
      <c r="B231" s="2"/>
      <c r="C231" s="3"/>
      <c r="D231" s="3"/>
      <c r="E231" s="2"/>
      <c r="F231" s="2"/>
      <c r="G231" s="5"/>
      <c r="H231" s="5"/>
      <c r="I231" s="4"/>
      <c r="J231" s="6" t="str">
        <f t="shared" si="10"/>
        <v/>
      </c>
      <c r="K231" s="4" t="str">
        <f t="shared" ca="1" si="11"/>
        <v/>
      </c>
      <c r="L231" s="7" t="str">
        <f>IF($H231="","",$H231-'[2]Read Me'!$B$4)</f>
        <v/>
      </c>
      <c r="M231" s="4" t="str">
        <f>IF($I231="Complete","Green",IF($H231="","Amber",IF($H231&lt;'[2]Read Me'!$B$4,"Red",IF($H231-'[2]Read Me'!$B$4&lt;=21,"Amber","Green"))))</f>
        <v>Amber</v>
      </c>
      <c r="N231" s="3"/>
      <c r="O231" t="str">
        <f>IF($I231&lt;&gt;"Complete",IF(COUNTIFS($A$4:$A230,$A231,$B$4:$B230,$B231,$I$4:$I230,"&lt;&gt;Complete")=0,$A231&amp;"|"&amp;$B231,""),"")</f>
        <v>|</v>
      </c>
      <c r="P231" t="str">
        <f ca="1">IF($K231="Yes",COUNTIFS($K$4:$K231,"Yes"),"")</f>
        <v/>
      </c>
      <c r="Q231">
        <f t="shared" ca="1" si="12"/>
        <v>0</v>
      </c>
      <c r="R231" t="str">
        <f ca="1">IF($Q231=1,SUM($Q$4:$Q231),"")</f>
        <v/>
      </c>
    </row>
    <row r="232" spans="1:18" ht="22.5" customHeight="1" x14ac:dyDescent="0.3">
      <c r="A232" s="2"/>
      <c r="B232" s="2"/>
      <c r="C232" s="3"/>
      <c r="D232" s="3"/>
      <c r="E232" s="2"/>
      <c r="F232" s="2"/>
      <c r="G232" s="5"/>
      <c r="H232" s="5"/>
      <c r="I232" s="4"/>
      <c r="J232" s="6" t="str">
        <f t="shared" si="10"/>
        <v/>
      </c>
      <c r="K232" s="4" t="str">
        <f t="shared" ca="1" si="11"/>
        <v/>
      </c>
      <c r="L232" s="7" t="str">
        <f>IF($H232="","",$H232-'[2]Read Me'!$B$4)</f>
        <v/>
      </c>
      <c r="M232" s="4" t="str">
        <f>IF($I232="Complete","Green",IF($H232="","Amber",IF($H232&lt;'[2]Read Me'!$B$4,"Red",IF($H232-'[2]Read Me'!$B$4&lt;=21,"Amber","Green"))))</f>
        <v>Amber</v>
      </c>
      <c r="N232" s="3"/>
      <c r="O232" t="str">
        <f>IF($I232&lt;&gt;"Complete",IF(COUNTIFS($A$4:$A231,$A232,$B$4:$B231,$B232,$I$4:$I231,"&lt;&gt;Complete")=0,$A232&amp;"|"&amp;$B232,""),"")</f>
        <v>|</v>
      </c>
      <c r="P232" t="str">
        <f ca="1">IF($K232="Yes",COUNTIFS($K$4:$K232,"Yes"),"")</f>
        <v/>
      </c>
      <c r="Q232">
        <f t="shared" ca="1" si="12"/>
        <v>0</v>
      </c>
      <c r="R232" t="str">
        <f ca="1">IF($Q232=1,SUM($Q$4:$Q232),"")</f>
        <v/>
      </c>
    </row>
    <row r="233" spans="1:18" ht="22.5" customHeight="1" x14ac:dyDescent="0.3">
      <c r="A233" s="2"/>
      <c r="B233" s="2"/>
      <c r="C233" s="3"/>
      <c r="D233" s="3"/>
      <c r="E233" s="2"/>
      <c r="F233" s="2"/>
      <c r="G233" s="5"/>
      <c r="H233" s="5"/>
      <c r="I233" s="4"/>
      <c r="J233" s="6" t="str">
        <f t="shared" si="10"/>
        <v/>
      </c>
      <c r="K233" s="4" t="str">
        <f t="shared" ca="1" si="11"/>
        <v/>
      </c>
      <c r="L233" s="7" t="str">
        <f>IF($H233="","",$H233-'[2]Read Me'!$B$4)</f>
        <v/>
      </c>
      <c r="M233" s="4" t="str">
        <f>IF($I233="Complete","Green",IF($H233="","Amber",IF($H233&lt;'[2]Read Me'!$B$4,"Red",IF($H233-'[2]Read Me'!$B$4&lt;=21,"Amber","Green"))))</f>
        <v>Amber</v>
      </c>
      <c r="N233" s="3"/>
      <c r="O233" t="str">
        <f>IF($I233&lt;&gt;"Complete",IF(COUNTIFS($A$4:$A232,$A233,$B$4:$B232,$B233,$I$4:$I232,"&lt;&gt;Complete")=0,$A233&amp;"|"&amp;$B233,""),"")</f>
        <v>|</v>
      </c>
      <c r="P233" t="str">
        <f ca="1">IF($K233="Yes",COUNTIFS($K$4:$K233,"Yes"),"")</f>
        <v/>
      </c>
      <c r="Q233">
        <f t="shared" ca="1" si="12"/>
        <v>0</v>
      </c>
      <c r="R233" t="str">
        <f ca="1">IF($Q233=1,SUM($Q$4:$Q233),"")</f>
        <v/>
      </c>
    </row>
    <row r="234" spans="1:18" ht="22.5" customHeight="1" x14ac:dyDescent="0.3">
      <c r="A234" s="2"/>
      <c r="B234" s="2"/>
      <c r="C234" s="3"/>
      <c r="D234" s="3"/>
      <c r="E234" s="2"/>
      <c r="F234" s="2"/>
      <c r="G234" s="5"/>
      <c r="H234" s="5"/>
      <c r="I234" s="4"/>
      <c r="J234" s="6" t="str">
        <f t="shared" si="10"/>
        <v/>
      </c>
      <c r="K234" s="4" t="str">
        <f t="shared" ca="1" si="11"/>
        <v/>
      </c>
      <c r="L234" s="7" t="str">
        <f>IF($H234="","",$H234-'[2]Read Me'!$B$4)</f>
        <v/>
      </c>
      <c r="M234" s="4" t="str">
        <f>IF($I234="Complete","Green",IF($H234="","Amber",IF($H234&lt;'[2]Read Me'!$B$4,"Red",IF($H234-'[2]Read Me'!$B$4&lt;=21,"Amber","Green"))))</f>
        <v>Amber</v>
      </c>
      <c r="N234" s="3"/>
      <c r="O234" t="str">
        <f>IF($I234&lt;&gt;"Complete",IF(COUNTIFS($A$4:$A233,$A234,$B$4:$B233,$B234,$I$4:$I233,"&lt;&gt;Complete")=0,$A234&amp;"|"&amp;$B234,""),"")</f>
        <v>|</v>
      </c>
      <c r="P234" t="str">
        <f ca="1">IF($K234="Yes",COUNTIFS($K$4:$K234,"Yes"),"")</f>
        <v/>
      </c>
      <c r="Q234">
        <f t="shared" ca="1" si="12"/>
        <v>0</v>
      </c>
      <c r="R234" t="str">
        <f ca="1">IF($Q234=1,SUM($Q$4:$Q234),"")</f>
        <v/>
      </c>
    </row>
    <row r="235" spans="1:18" ht="22.5" customHeight="1" x14ac:dyDescent="0.3">
      <c r="A235" s="2"/>
      <c r="B235" s="2"/>
      <c r="C235" s="3"/>
      <c r="D235" s="3"/>
      <c r="E235" s="2"/>
      <c r="F235" s="2"/>
      <c r="G235" s="5"/>
      <c r="H235" s="5"/>
      <c r="I235" s="4"/>
      <c r="J235" s="6" t="str">
        <f t="shared" si="10"/>
        <v/>
      </c>
      <c r="K235" s="4" t="str">
        <f t="shared" ca="1" si="11"/>
        <v/>
      </c>
      <c r="L235" s="7" t="str">
        <f>IF($H235="","",$H235-'[2]Read Me'!$B$4)</f>
        <v/>
      </c>
      <c r="M235" s="4" t="str">
        <f>IF($I235="Complete","Green",IF($H235="","Amber",IF($H235&lt;'[2]Read Me'!$B$4,"Red",IF($H235-'[2]Read Me'!$B$4&lt;=21,"Amber","Green"))))</f>
        <v>Amber</v>
      </c>
      <c r="N235" s="3"/>
      <c r="O235" t="str">
        <f>IF($I235&lt;&gt;"Complete",IF(COUNTIFS($A$4:$A234,$A235,$B$4:$B234,$B235,$I$4:$I234,"&lt;&gt;Complete")=0,$A235&amp;"|"&amp;$B235,""),"")</f>
        <v>|</v>
      </c>
      <c r="P235" t="str">
        <f ca="1">IF($K235="Yes",COUNTIFS($K$4:$K235,"Yes"),"")</f>
        <v/>
      </c>
      <c r="Q235">
        <f t="shared" ca="1" si="12"/>
        <v>0</v>
      </c>
      <c r="R235" t="str">
        <f ca="1">IF($Q235=1,SUM($Q$4:$Q235),"")</f>
        <v/>
      </c>
    </row>
    <row r="236" spans="1:18" ht="22.5" customHeight="1" x14ac:dyDescent="0.3">
      <c r="A236" s="2"/>
      <c r="B236" s="2"/>
      <c r="C236" s="3"/>
      <c r="D236" s="3"/>
      <c r="E236" s="2"/>
      <c r="F236" s="2"/>
      <c r="G236" s="5"/>
      <c r="H236" s="5"/>
      <c r="I236" s="4"/>
      <c r="J236" s="6" t="str">
        <f t="shared" si="10"/>
        <v/>
      </c>
      <c r="K236" s="4" t="str">
        <f t="shared" ca="1" si="11"/>
        <v/>
      </c>
      <c r="L236" s="7" t="str">
        <f>IF($H236="","",$H236-'[2]Read Me'!$B$4)</f>
        <v/>
      </c>
      <c r="M236" s="4" t="str">
        <f>IF($I236="Complete","Green",IF($H236="","Amber",IF($H236&lt;'[2]Read Me'!$B$4,"Red",IF($H236-'[2]Read Me'!$B$4&lt;=21,"Amber","Green"))))</f>
        <v>Amber</v>
      </c>
      <c r="N236" s="3"/>
      <c r="O236" t="str">
        <f>IF($I236&lt;&gt;"Complete",IF(COUNTIFS($A$4:$A235,$A236,$B$4:$B235,$B236,$I$4:$I235,"&lt;&gt;Complete")=0,$A236&amp;"|"&amp;$B236,""),"")</f>
        <v>|</v>
      </c>
      <c r="P236" t="str">
        <f ca="1">IF($K236="Yes",COUNTIFS($K$4:$K236,"Yes"),"")</f>
        <v/>
      </c>
      <c r="Q236">
        <f t="shared" ca="1" si="12"/>
        <v>0</v>
      </c>
      <c r="R236" t="str">
        <f ca="1">IF($Q236=1,SUM($Q$4:$Q236),"")</f>
        <v/>
      </c>
    </row>
    <row r="237" spans="1:18" ht="22.5" customHeight="1" x14ac:dyDescent="0.3">
      <c r="A237" s="2"/>
      <c r="B237" s="2"/>
      <c r="C237" s="3"/>
      <c r="D237" s="3"/>
      <c r="E237" s="2"/>
      <c r="F237" s="2"/>
      <c r="G237" s="5"/>
      <c r="H237" s="5"/>
      <c r="I237" s="4"/>
      <c r="J237" s="6" t="str">
        <f t="shared" si="10"/>
        <v/>
      </c>
      <c r="K237" s="4" t="str">
        <f t="shared" ca="1" si="11"/>
        <v/>
      </c>
      <c r="L237" s="7" t="str">
        <f>IF($H237="","",$H237-'[2]Read Me'!$B$4)</f>
        <v/>
      </c>
      <c r="M237" s="4" t="str">
        <f>IF($I237="Complete","Green",IF($H237="","Amber",IF($H237&lt;'[2]Read Me'!$B$4,"Red",IF($H237-'[2]Read Me'!$B$4&lt;=21,"Amber","Green"))))</f>
        <v>Amber</v>
      </c>
      <c r="N237" s="3"/>
      <c r="O237" t="str">
        <f>IF($I237&lt;&gt;"Complete",IF(COUNTIFS($A$4:$A236,$A237,$B$4:$B236,$B237,$I$4:$I236,"&lt;&gt;Complete")=0,$A237&amp;"|"&amp;$B237,""),"")</f>
        <v>|</v>
      </c>
      <c r="P237" t="str">
        <f ca="1">IF($K237="Yes",COUNTIFS($K$4:$K237,"Yes"),"")</f>
        <v/>
      </c>
      <c r="Q237">
        <f t="shared" ca="1" si="12"/>
        <v>0</v>
      </c>
      <c r="R237" t="str">
        <f ca="1">IF($Q237=1,SUM($Q$4:$Q237),"")</f>
        <v/>
      </c>
    </row>
    <row r="238" spans="1:18" ht="22.5" customHeight="1" x14ac:dyDescent="0.3">
      <c r="A238" s="2"/>
      <c r="B238" s="2"/>
      <c r="C238" s="3"/>
      <c r="D238" s="3"/>
      <c r="E238" s="2"/>
      <c r="F238" s="2"/>
      <c r="G238" s="5"/>
      <c r="H238" s="5"/>
      <c r="I238" s="4"/>
      <c r="J238" s="6" t="str">
        <f t="shared" si="10"/>
        <v/>
      </c>
      <c r="K238" s="4" t="str">
        <f t="shared" ca="1" si="11"/>
        <v/>
      </c>
      <c r="L238" s="7" t="str">
        <f>IF($H238="","",$H238-'[2]Read Me'!$B$4)</f>
        <v/>
      </c>
      <c r="M238" s="4" t="str">
        <f>IF($I238="Complete","Green",IF($H238="","Amber",IF($H238&lt;'[2]Read Me'!$B$4,"Red",IF($H238-'[2]Read Me'!$B$4&lt;=21,"Amber","Green"))))</f>
        <v>Amber</v>
      </c>
      <c r="N238" s="3"/>
      <c r="O238" t="str">
        <f>IF($I238&lt;&gt;"Complete",IF(COUNTIFS($A$4:$A237,$A238,$B$4:$B237,$B238,$I$4:$I237,"&lt;&gt;Complete")=0,$A238&amp;"|"&amp;$B238,""),"")</f>
        <v>|</v>
      </c>
      <c r="P238" t="str">
        <f ca="1">IF($K238="Yes",COUNTIFS($K$4:$K238,"Yes"),"")</f>
        <v/>
      </c>
      <c r="Q238">
        <f t="shared" ca="1" si="12"/>
        <v>0</v>
      </c>
      <c r="R238" t="str">
        <f ca="1">IF($Q238=1,SUM($Q$4:$Q238),"")</f>
        <v/>
      </c>
    </row>
    <row r="239" spans="1:18" ht="22.5" customHeight="1" x14ac:dyDescent="0.3">
      <c r="A239" s="2"/>
      <c r="B239" s="2"/>
      <c r="C239" s="3"/>
      <c r="D239" s="3"/>
      <c r="E239" s="2"/>
      <c r="F239" s="2"/>
      <c r="G239" s="5"/>
      <c r="H239" s="5"/>
      <c r="I239" s="4"/>
      <c r="J239" s="6" t="str">
        <f t="shared" si="10"/>
        <v/>
      </c>
      <c r="K239" s="4" t="str">
        <f t="shared" ca="1" si="11"/>
        <v/>
      </c>
      <c r="L239" s="7" t="str">
        <f>IF($H239="","",$H239-'[2]Read Me'!$B$4)</f>
        <v/>
      </c>
      <c r="M239" s="4" t="str">
        <f>IF($I239="Complete","Green",IF($H239="","Amber",IF($H239&lt;'[2]Read Me'!$B$4,"Red",IF($H239-'[2]Read Me'!$B$4&lt;=21,"Amber","Green"))))</f>
        <v>Amber</v>
      </c>
      <c r="N239" s="3"/>
      <c r="O239" t="str">
        <f>IF($I239&lt;&gt;"Complete",IF(COUNTIFS($A$4:$A238,$A239,$B$4:$B238,$B239,$I$4:$I238,"&lt;&gt;Complete")=0,$A239&amp;"|"&amp;$B239,""),"")</f>
        <v>|</v>
      </c>
      <c r="P239" t="str">
        <f ca="1">IF($K239="Yes",COUNTIFS($K$4:$K239,"Yes"),"")</f>
        <v/>
      </c>
      <c r="Q239">
        <f t="shared" ca="1" si="12"/>
        <v>0</v>
      </c>
      <c r="R239" t="str">
        <f ca="1">IF($Q239=1,SUM($Q$4:$Q239),"")</f>
        <v/>
      </c>
    </row>
    <row r="240" spans="1:18" ht="22.5" customHeight="1" x14ac:dyDescent="0.3">
      <c r="A240" s="2"/>
      <c r="B240" s="2"/>
      <c r="C240" s="3"/>
      <c r="D240" s="3"/>
      <c r="E240" s="2"/>
      <c r="F240" s="2"/>
      <c r="G240" s="5"/>
      <c r="H240" s="5"/>
      <c r="I240" s="4"/>
      <c r="J240" s="6" t="str">
        <f t="shared" si="10"/>
        <v/>
      </c>
      <c r="K240" s="4" t="str">
        <f t="shared" ca="1" si="11"/>
        <v/>
      </c>
      <c r="L240" s="7" t="str">
        <f>IF($H240="","",$H240-'[2]Read Me'!$B$4)</f>
        <v/>
      </c>
      <c r="M240" s="4" t="str">
        <f>IF($I240="Complete","Green",IF($H240="","Amber",IF($H240&lt;'[2]Read Me'!$B$4,"Red",IF($H240-'[2]Read Me'!$B$4&lt;=21,"Amber","Green"))))</f>
        <v>Amber</v>
      </c>
      <c r="N240" s="3"/>
      <c r="O240" t="str">
        <f>IF($I240&lt;&gt;"Complete",IF(COUNTIFS($A$4:$A239,$A240,$B$4:$B239,$B240,$I$4:$I239,"&lt;&gt;Complete")=0,$A240&amp;"|"&amp;$B240,""),"")</f>
        <v>|</v>
      </c>
      <c r="P240" t="str">
        <f ca="1">IF($K240="Yes",COUNTIFS($K$4:$K240,"Yes"),"")</f>
        <v/>
      </c>
      <c r="Q240">
        <f t="shared" ca="1" si="12"/>
        <v>0</v>
      </c>
      <c r="R240" t="str">
        <f ca="1">IF($Q240=1,SUM($Q$4:$Q240),"")</f>
        <v/>
      </c>
    </row>
    <row r="241" spans="1:18" ht="22.5" customHeight="1" x14ac:dyDescent="0.3">
      <c r="A241" s="2"/>
      <c r="B241" s="2"/>
      <c r="C241" s="3"/>
      <c r="D241" s="3"/>
      <c r="E241" s="2"/>
      <c r="F241" s="2"/>
      <c r="G241" s="5"/>
      <c r="H241" s="5"/>
      <c r="I241" s="4"/>
      <c r="J241" s="6" t="str">
        <f t="shared" si="10"/>
        <v/>
      </c>
      <c r="K241" s="4" t="str">
        <f t="shared" ca="1" si="11"/>
        <v/>
      </c>
      <c r="L241" s="7" t="str">
        <f>IF($H241="","",$H241-'[2]Read Me'!$B$4)</f>
        <v/>
      </c>
      <c r="M241" s="4" t="str">
        <f>IF($I241="Complete","Green",IF($H241="","Amber",IF($H241&lt;'[2]Read Me'!$B$4,"Red",IF($H241-'[2]Read Me'!$B$4&lt;=21,"Amber","Green"))))</f>
        <v>Amber</v>
      </c>
      <c r="N241" s="3"/>
      <c r="O241" t="str">
        <f>IF($I241&lt;&gt;"Complete",IF(COUNTIFS($A$4:$A240,$A241,$B$4:$B240,$B241,$I$4:$I240,"&lt;&gt;Complete")=0,$A241&amp;"|"&amp;$B241,""),"")</f>
        <v>|</v>
      </c>
      <c r="P241" t="str">
        <f ca="1">IF($K241="Yes",COUNTIFS($K$4:$K241,"Yes"),"")</f>
        <v/>
      </c>
      <c r="Q241">
        <f t="shared" ca="1" si="12"/>
        <v>0</v>
      </c>
      <c r="R241" t="str">
        <f ca="1">IF($Q241=1,SUM($Q$4:$Q241),"")</f>
        <v/>
      </c>
    </row>
    <row r="242" spans="1:18" ht="22.5" customHeight="1" x14ac:dyDescent="0.3">
      <c r="A242" s="2"/>
      <c r="B242" s="2"/>
      <c r="C242" s="3"/>
      <c r="D242" s="3"/>
      <c r="E242" s="2"/>
      <c r="F242" s="2"/>
      <c r="G242" s="5"/>
      <c r="H242" s="5"/>
      <c r="I242" s="4"/>
      <c r="J242" s="6" t="str">
        <f t="shared" si="10"/>
        <v/>
      </c>
      <c r="K242" s="4" t="str">
        <f t="shared" ca="1" si="11"/>
        <v/>
      </c>
      <c r="L242" s="7" t="str">
        <f>IF($H242="","",$H242-'[2]Read Me'!$B$4)</f>
        <v/>
      </c>
      <c r="M242" s="4" t="str">
        <f>IF($I242="Complete","Green",IF($H242="","Amber",IF($H242&lt;'[2]Read Me'!$B$4,"Red",IF($H242-'[2]Read Me'!$B$4&lt;=21,"Amber","Green"))))</f>
        <v>Amber</v>
      </c>
      <c r="N242" s="3"/>
      <c r="O242" t="str">
        <f>IF($I242&lt;&gt;"Complete",IF(COUNTIFS($A$4:$A241,$A242,$B$4:$B241,$B242,$I$4:$I241,"&lt;&gt;Complete")=0,$A242&amp;"|"&amp;$B242,""),"")</f>
        <v>|</v>
      </c>
      <c r="P242" t="str">
        <f ca="1">IF($K242="Yes",COUNTIFS($K$4:$K242,"Yes"),"")</f>
        <v/>
      </c>
      <c r="Q242">
        <f t="shared" ca="1" si="12"/>
        <v>0</v>
      </c>
      <c r="R242" t="str">
        <f ca="1">IF($Q242=1,SUM($Q$4:$Q242),"")</f>
        <v/>
      </c>
    </row>
    <row r="243" spans="1:18" ht="22.5" customHeight="1" x14ac:dyDescent="0.3">
      <c r="A243" s="2"/>
      <c r="B243" s="2"/>
      <c r="C243" s="3"/>
      <c r="D243" s="3"/>
      <c r="E243" s="2"/>
      <c r="F243" s="2"/>
      <c r="G243" s="5"/>
      <c r="H243" s="5"/>
      <c r="I243" s="4"/>
      <c r="J243" s="6" t="str">
        <f t="shared" si="10"/>
        <v/>
      </c>
      <c r="K243" s="4" t="str">
        <f t="shared" ca="1" si="11"/>
        <v/>
      </c>
      <c r="L243" s="7" t="str">
        <f>IF($H243="","",$H243-'[2]Read Me'!$B$4)</f>
        <v/>
      </c>
      <c r="M243" s="4" t="str">
        <f>IF($I243="Complete","Green",IF($H243="","Amber",IF($H243&lt;'[2]Read Me'!$B$4,"Red",IF($H243-'[2]Read Me'!$B$4&lt;=21,"Amber","Green"))))</f>
        <v>Amber</v>
      </c>
      <c r="N243" s="3"/>
      <c r="O243" t="str">
        <f>IF($I243&lt;&gt;"Complete",IF(COUNTIFS($A$4:$A242,$A243,$B$4:$B242,$B243,$I$4:$I242,"&lt;&gt;Complete")=0,$A243&amp;"|"&amp;$B243,""),"")</f>
        <v>|</v>
      </c>
      <c r="P243" t="str">
        <f ca="1">IF($K243="Yes",COUNTIFS($K$4:$K243,"Yes"),"")</f>
        <v/>
      </c>
      <c r="Q243">
        <f t="shared" ca="1" si="12"/>
        <v>0</v>
      </c>
      <c r="R243" t="str">
        <f ca="1">IF($Q243=1,SUM($Q$4:$Q243),"")</f>
        <v/>
      </c>
    </row>
    <row r="244" spans="1:18" ht="22.5" customHeight="1" x14ac:dyDescent="0.3">
      <c r="A244" s="2"/>
      <c r="B244" s="2"/>
      <c r="C244" s="3"/>
      <c r="D244" s="3"/>
      <c r="E244" s="2"/>
      <c r="F244" s="2"/>
      <c r="G244" s="5"/>
      <c r="H244" s="5"/>
      <c r="I244" s="4"/>
      <c r="J244" s="6" t="str">
        <f t="shared" si="10"/>
        <v/>
      </c>
      <c r="K244" s="4" t="str">
        <f t="shared" ref="K244:K264" ca="1" si="13">IF($H244="","",IF($H244&gt;TODAY(),"No","Yes"))</f>
        <v/>
      </c>
      <c r="L244" s="7" t="str">
        <f>IF($H244="","",$H244-'[2]Read Me'!$B$4)</f>
        <v/>
      </c>
      <c r="M244" s="4" t="str">
        <f>IF($I244="Complete","Green",IF($H244="","Amber",IF($H244&lt;'[2]Read Me'!$B$4,"Red",IF($H244-'[2]Read Me'!$B$4&lt;=21,"Amber","Green"))))</f>
        <v>Amber</v>
      </c>
      <c r="N244" s="3"/>
      <c r="O244" t="str">
        <f>IF($I244&lt;&gt;"Complete",IF(COUNTIFS($A$4:$A243,$A244,$B$4:$B243,$B244,$I$4:$I243,"&lt;&gt;Complete")=0,$A244&amp;"|"&amp;$B244,""),"")</f>
        <v>|</v>
      </c>
      <c r="P244" t="str">
        <f ca="1">IF($K244="Yes",COUNTIFS($K$4:$K244,"Yes"),"")</f>
        <v/>
      </c>
      <c r="Q244">
        <f t="shared" ca="1" si="12"/>
        <v>0</v>
      </c>
      <c r="R244" t="str">
        <f ca="1">IF($Q244=1,SUM($Q$4:$Q244),"")</f>
        <v/>
      </c>
    </row>
    <row r="245" spans="1:18" ht="22.5" customHeight="1" x14ac:dyDescent="0.3">
      <c r="A245" s="2"/>
      <c r="B245" s="2"/>
      <c r="C245" s="3"/>
      <c r="D245" s="3"/>
      <c r="E245" s="2"/>
      <c r="F245" s="2"/>
      <c r="G245" s="5"/>
      <c r="H245" s="5"/>
      <c r="I245" s="4"/>
      <c r="J245" s="6" t="str">
        <f t="shared" si="10"/>
        <v/>
      </c>
      <c r="K245" s="4" t="str">
        <f t="shared" ca="1" si="13"/>
        <v/>
      </c>
      <c r="L245" s="7" t="str">
        <f>IF($H245="","",$H245-'[2]Read Me'!$B$4)</f>
        <v/>
      </c>
      <c r="M245" s="4" t="str">
        <f>IF($I245="Complete","Green",IF($H245="","Amber",IF($H245&lt;'[2]Read Me'!$B$4,"Red",IF($H245-'[2]Read Me'!$B$4&lt;=21,"Amber","Green"))))</f>
        <v>Amber</v>
      </c>
      <c r="N245" s="3"/>
      <c r="O245" t="str">
        <f>IF($I245&lt;&gt;"Complete",IF(COUNTIFS($A$4:$A244,$A245,$B$4:$B244,$B245,$I$4:$I244,"&lt;&gt;Complete")=0,$A245&amp;"|"&amp;$B245,""),"")</f>
        <v>|</v>
      </c>
      <c r="P245" t="str">
        <f ca="1">IF($K245="Yes",COUNTIFS($K$4:$K245,"Yes"),"")</f>
        <v/>
      </c>
      <c r="Q245">
        <f t="shared" ca="1" si="12"/>
        <v>0</v>
      </c>
      <c r="R245" t="str">
        <f ca="1">IF($Q245=1,SUM($Q$4:$Q245),"")</f>
        <v/>
      </c>
    </row>
    <row r="246" spans="1:18" ht="22.5" customHeight="1" x14ac:dyDescent="0.3">
      <c r="A246" s="2"/>
      <c r="B246" s="2"/>
      <c r="C246" s="3"/>
      <c r="D246" s="3"/>
      <c r="E246" s="2"/>
      <c r="F246" s="2"/>
      <c r="G246" s="5"/>
      <c r="H246" s="5"/>
      <c r="I246" s="4"/>
      <c r="J246" s="6" t="str">
        <f t="shared" si="10"/>
        <v/>
      </c>
      <c r="K246" s="4" t="str">
        <f t="shared" ca="1" si="13"/>
        <v/>
      </c>
      <c r="L246" s="7" t="str">
        <f>IF($H246="","",$H246-'[2]Read Me'!$B$4)</f>
        <v/>
      </c>
      <c r="M246" s="4" t="str">
        <f>IF($I246="Complete","Green",IF($H246="","Amber",IF($H246&lt;'[2]Read Me'!$B$4,"Red",IF($H246-'[2]Read Me'!$B$4&lt;=21,"Amber","Green"))))</f>
        <v>Amber</v>
      </c>
      <c r="N246" s="3"/>
      <c r="O246" t="str">
        <f>IF($I246&lt;&gt;"Complete",IF(COUNTIFS($A$4:$A245,$A246,$B$4:$B245,$B246,$I$4:$I245,"&lt;&gt;Complete")=0,$A246&amp;"|"&amp;$B246,""),"")</f>
        <v>|</v>
      </c>
      <c r="P246" t="str">
        <f ca="1">IF($K246="Yes",COUNTIFS($K$4:$K246,"Yes"),"")</f>
        <v/>
      </c>
      <c r="Q246">
        <f t="shared" ca="1" si="12"/>
        <v>0</v>
      </c>
      <c r="R246" t="str">
        <f ca="1">IF($Q246=1,SUM($Q$4:$Q246),"")</f>
        <v/>
      </c>
    </row>
    <row r="247" spans="1:18" ht="22.5" customHeight="1" x14ac:dyDescent="0.3">
      <c r="A247" s="2"/>
      <c r="B247" s="2"/>
      <c r="C247" s="3"/>
      <c r="D247" s="3"/>
      <c r="E247" s="2"/>
      <c r="F247" s="2"/>
      <c r="G247" s="5"/>
      <c r="H247" s="5"/>
      <c r="I247" s="4"/>
      <c r="J247" s="6" t="str">
        <f t="shared" si="10"/>
        <v/>
      </c>
      <c r="K247" s="4" t="str">
        <f t="shared" ca="1" si="13"/>
        <v/>
      </c>
      <c r="L247" s="7" t="str">
        <f>IF($H247="","",$H247-'[2]Read Me'!$B$4)</f>
        <v/>
      </c>
      <c r="M247" s="4" t="str">
        <f>IF($I247="Complete","Green",IF($H247="","Amber",IF($H247&lt;'[2]Read Me'!$B$4,"Red",IF($H247-'[2]Read Me'!$B$4&lt;=21,"Amber","Green"))))</f>
        <v>Amber</v>
      </c>
      <c r="N247" s="3"/>
      <c r="O247" t="str">
        <f>IF($I247&lt;&gt;"Complete",IF(COUNTIFS($A$4:$A246,$A247,$B$4:$B246,$B247,$I$4:$I246,"&lt;&gt;Complete")=0,$A247&amp;"|"&amp;$B247,""),"")</f>
        <v>|</v>
      </c>
      <c r="P247" t="str">
        <f ca="1">IF($K247="Yes",COUNTIFS($K$4:$K247,"Yes"),"")</f>
        <v/>
      </c>
      <c r="Q247">
        <f t="shared" ca="1" si="12"/>
        <v>0</v>
      </c>
      <c r="R247" t="str">
        <f ca="1">IF($Q247=1,SUM($Q$4:$Q247),"")</f>
        <v/>
      </c>
    </row>
    <row r="248" spans="1:18" ht="22.5" customHeight="1" x14ac:dyDescent="0.3">
      <c r="A248" s="2"/>
      <c r="B248" s="2"/>
      <c r="C248" s="3"/>
      <c r="D248" s="3"/>
      <c r="E248" s="2"/>
      <c r="F248" s="2"/>
      <c r="G248" s="5"/>
      <c r="H248" s="5"/>
      <c r="I248" s="4"/>
      <c r="J248" s="6" t="str">
        <f t="shared" si="10"/>
        <v/>
      </c>
      <c r="K248" s="4" t="str">
        <f t="shared" ca="1" si="13"/>
        <v/>
      </c>
      <c r="L248" s="7" t="str">
        <f>IF($H248="","",$H248-'[2]Read Me'!$B$4)</f>
        <v/>
      </c>
      <c r="M248" s="4" t="str">
        <f>IF($I248="Complete","Green",IF($H248="","Amber",IF($H248&lt;'[2]Read Me'!$B$4,"Red",IF($H248-'[2]Read Me'!$B$4&lt;=21,"Amber","Green"))))</f>
        <v>Amber</v>
      </c>
      <c r="N248" s="3"/>
      <c r="O248" t="str">
        <f>IF($I248&lt;&gt;"Complete",IF(COUNTIFS($A$4:$A247,$A248,$B$4:$B247,$B248,$I$4:$I247,"&lt;&gt;Complete")=0,$A248&amp;"|"&amp;$B248,""),"")</f>
        <v>|</v>
      </c>
      <c r="P248" t="str">
        <f ca="1">IF($K248="Yes",COUNTIFS($K$4:$K248,"Yes"),"")</f>
        <v/>
      </c>
      <c r="Q248">
        <f t="shared" ca="1" si="12"/>
        <v>0</v>
      </c>
      <c r="R248" t="str">
        <f ca="1">IF($Q248=1,SUM($Q$4:$Q248),"")</f>
        <v/>
      </c>
    </row>
    <row r="249" spans="1:18" ht="22.5" customHeight="1" x14ac:dyDescent="0.3">
      <c r="A249" s="2"/>
      <c r="B249" s="2"/>
      <c r="C249" s="3"/>
      <c r="D249" s="3"/>
      <c r="E249" s="2"/>
      <c r="F249" s="2"/>
      <c r="G249" s="5"/>
      <c r="H249" s="5"/>
      <c r="I249" s="4"/>
      <c r="J249" s="6" t="str">
        <f t="shared" si="10"/>
        <v/>
      </c>
      <c r="K249" s="4" t="str">
        <f t="shared" ca="1" si="13"/>
        <v/>
      </c>
      <c r="L249" s="7" t="str">
        <f>IF($H249="","",$H249-'[2]Read Me'!$B$4)</f>
        <v/>
      </c>
      <c r="M249" s="4" t="str">
        <f>IF($I249="Complete","Green",IF($H249="","Amber",IF($H249&lt;'[2]Read Me'!$B$4,"Red",IF($H249-'[2]Read Me'!$B$4&lt;=21,"Amber","Green"))))</f>
        <v>Amber</v>
      </c>
      <c r="N249" s="3"/>
      <c r="O249" t="str">
        <f>IF($I249&lt;&gt;"Complete",IF(COUNTIFS($A$4:$A248,$A249,$B$4:$B248,$B249,$I$4:$I248,"&lt;&gt;Complete")=0,$A249&amp;"|"&amp;$B249,""),"")</f>
        <v>|</v>
      </c>
      <c r="P249" t="str">
        <f ca="1">IF($K249="Yes",COUNTIFS($K$4:$K249,"Yes"),"")</f>
        <v/>
      </c>
      <c r="Q249">
        <f t="shared" ca="1" si="12"/>
        <v>0</v>
      </c>
      <c r="R249" t="str">
        <f ca="1">IF($Q249=1,SUM($Q$4:$Q249),"")</f>
        <v/>
      </c>
    </row>
    <row r="250" spans="1:18" ht="22.5" customHeight="1" x14ac:dyDescent="0.3">
      <c r="A250" s="2"/>
      <c r="B250" s="2"/>
      <c r="C250" s="3"/>
      <c r="D250" s="3"/>
      <c r="E250" s="2"/>
      <c r="F250" s="2"/>
      <c r="G250" s="5"/>
      <c r="H250" s="5"/>
      <c r="I250" s="4"/>
      <c r="J250" s="6" t="str">
        <f t="shared" si="10"/>
        <v/>
      </c>
      <c r="K250" s="4" t="str">
        <f t="shared" ca="1" si="13"/>
        <v/>
      </c>
      <c r="L250" s="7" t="str">
        <f>IF($H250="","",$H250-'[2]Read Me'!$B$4)</f>
        <v/>
      </c>
      <c r="M250" s="4" t="str">
        <f>IF($I250="Complete","Green",IF($H250="","Amber",IF($H250&lt;'[2]Read Me'!$B$4,"Red",IF($H250-'[2]Read Me'!$B$4&lt;=21,"Amber","Green"))))</f>
        <v>Amber</v>
      </c>
      <c r="N250" s="8"/>
      <c r="O250" t="str">
        <f>IF($I250&lt;&gt;"Complete",IF(COUNTIFS($A$4:$A249,$A250,$B$4:$B249,$B250,$I$4:$I249,"&lt;&gt;Complete")=0,$A250&amp;"|"&amp;$B250,""),"")</f>
        <v>|</v>
      </c>
      <c r="P250" t="str">
        <f ca="1">IF($K250="Yes",COUNTIFS($K$4:$K250,"Yes"),"")</f>
        <v/>
      </c>
      <c r="Q250">
        <f t="shared" ca="1" si="12"/>
        <v>0</v>
      </c>
      <c r="R250" t="str">
        <f ca="1">IF($Q250=1,SUM($Q$4:$Q250),"")</f>
        <v/>
      </c>
    </row>
    <row r="251" spans="1:18" ht="22.5" customHeight="1" x14ac:dyDescent="0.3">
      <c r="A251" s="2"/>
      <c r="B251" s="2"/>
      <c r="C251" s="3"/>
      <c r="D251" s="3"/>
      <c r="E251" s="2"/>
      <c r="F251" s="2"/>
      <c r="G251" s="5"/>
      <c r="H251" s="5"/>
      <c r="I251" s="4"/>
      <c r="J251" s="6" t="str">
        <f t="shared" si="10"/>
        <v/>
      </c>
      <c r="K251" s="4" t="str">
        <f t="shared" ca="1" si="13"/>
        <v/>
      </c>
      <c r="L251" s="7" t="str">
        <f>IF($H251="","",$H251-'[2]Read Me'!$B$4)</f>
        <v/>
      </c>
      <c r="M251" s="4" t="str">
        <f>IF($I251="Complete","Green",IF($H251="","Amber",IF($H251&lt;'[2]Read Me'!$B$4,"Red",IF($H251-'[2]Read Me'!$B$4&lt;=21,"Amber","Green"))))</f>
        <v>Amber</v>
      </c>
      <c r="N251" s="3"/>
      <c r="O251" t="str">
        <f>IF($I251&lt;&gt;"Complete",IF(COUNTIFS($A$4:$A250,$A251,$B$4:$B250,$B251,$I$4:$I250,"&lt;&gt;Complete")=0,$A251&amp;"|"&amp;$B251,""),"")</f>
        <v>|</v>
      </c>
      <c r="P251" t="str">
        <f ca="1">IF($K251="Yes",COUNTIFS($K$4:$K251,"Yes"),"")</f>
        <v/>
      </c>
      <c r="Q251">
        <f t="shared" ca="1" si="12"/>
        <v>0</v>
      </c>
      <c r="R251" t="str">
        <f ca="1">IF($Q251=1,SUM($Q$4:$Q251),"")</f>
        <v/>
      </c>
    </row>
    <row r="252" spans="1:18" ht="22.5" customHeight="1" x14ac:dyDescent="0.3">
      <c r="A252" s="2"/>
      <c r="B252" s="2"/>
      <c r="C252" s="3"/>
      <c r="D252" s="3"/>
      <c r="E252" s="2"/>
      <c r="F252" s="2"/>
      <c r="G252" s="5"/>
      <c r="H252" s="5"/>
      <c r="I252" s="4"/>
      <c r="J252" s="6" t="str">
        <f t="shared" si="10"/>
        <v/>
      </c>
      <c r="K252" s="4" t="str">
        <f t="shared" ca="1" si="13"/>
        <v/>
      </c>
      <c r="L252" s="7" t="str">
        <f>IF($H252="","",$H252-'[2]Read Me'!$B$4)</f>
        <v/>
      </c>
      <c r="M252" s="4" t="str">
        <f>IF($I252="Complete","Green",IF($H252="","Amber",IF($H252&lt;'[2]Read Me'!$B$4,"Red",IF($H252-'[2]Read Me'!$B$4&lt;=21,"Amber","Green"))))</f>
        <v>Amber</v>
      </c>
      <c r="N252" s="3"/>
      <c r="O252" t="str">
        <f>IF($I252&lt;&gt;"Complete",IF(COUNTIFS($A$4:$A251,$A252,$B$4:$B251,$B252,$I$4:$I251,"&lt;&gt;Complete")=0,$A252&amp;"|"&amp;$B252,""),"")</f>
        <v>|</v>
      </c>
      <c r="P252" t="str">
        <f ca="1">IF($K252="Yes",COUNTIFS($K$4:$K252,"Yes"),"")</f>
        <v/>
      </c>
      <c r="Q252">
        <f t="shared" ca="1" si="12"/>
        <v>0</v>
      </c>
      <c r="R252" t="str">
        <f ca="1">IF($Q252=1,SUM($Q$4:$Q252),"")</f>
        <v/>
      </c>
    </row>
    <row r="253" spans="1:18" ht="22.5" customHeight="1" x14ac:dyDescent="0.3">
      <c r="A253" s="2"/>
      <c r="B253" s="2"/>
      <c r="C253" s="3"/>
      <c r="D253" s="3"/>
      <c r="E253" s="2"/>
      <c r="F253" s="2"/>
      <c r="G253" s="5"/>
      <c r="H253" s="5"/>
      <c r="I253" s="4"/>
      <c r="J253" s="6" t="str">
        <f t="shared" si="10"/>
        <v/>
      </c>
      <c r="K253" s="4" t="str">
        <f t="shared" ca="1" si="13"/>
        <v/>
      </c>
      <c r="L253" s="7" t="str">
        <f>IF($H253="","",$H253-'[2]Read Me'!$B$4)</f>
        <v/>
      </c>
      <c r="M253" s="4" t="str">
        <f>IF($I253="Complete","Green",IF($H253="","Amber",IF($H253&lt;'[2]Read Me'!$B$4,"Red",IF($H253-'[2]Read Me'!$B$4&lt;=21,"Amber","Green"))))</f>
        <v>Amber</v>
      </c>
      <c r="N253" s="3"/>
      <c r="O253" t="str">
        <f>IF($I253&lt;&gt;"Complete",IF(COUNTIFS($A$4:$A252,$A253,$B$4:$B252,$B253,$I$4:$I252,"&lt;&gt;Complete")=0,$A253&amp;"|"&amp;$B253,""),"")</f>
        <v>|</v>
      </c>
      <c r="P253" t="str">
        <f ca="1">IF($K253="Yes",COUNTIFS($K$4:$K253,"Yes"),"")</f>
        <v/>
      </c>
      <c r="Q253">
        <f t="shared" ca="1" si="12"/>
        <v>0</v>
      </c>
      <c r="R253" t="str">
        <f ca="1">IF($Q253=1,SUM($Q$4:$Q253),"")</f>
        <v/>
      </c>
    </row>
    <row r="254" spans="1:18" ht="22.5" customHeight="1" x14ac:dyDescent="0.3">
      <c r="A254" s="2"/>
      <c r="B254" s="2"/>
      <c r="C254" s="3"/>
      <c r="D254" s="3"/>
      <c r="E254" s="2"/>
      <c r="F254" s="2"/>
      <c r="G254" s="5"/>
      <c r="H254" s="5"/>
      <c r="I254" s="4"/>
      <c r="J254" s="6" t="str">
        <f t="shared" si="10"/>
        <v/>
      </c>
      <c r="K254" s="4" t="str">
        <f t="shared" ca="1" si="13"/>
        <v/>
      </c>
      <c r="L254" s="7" t="str">
        <f>IF($H254="","",$H254-'[2]Read Me'!$B$4)</f>
        <v/>
      </c>
      <c r="M254" s="4" t="str">
        <f>IF($I254="Complete","Green",IF($H254="","Amber",IF($H254&lt;'[2]Read Me'!$B$4,"Red",IF($H254-'[2]Read Me'!$B$4&lt;=21,"Amber","Green"))))</f>
        <v>Amber</v>
      </c>
      <c r="N254" s="3"/>
      <c r="O254" t="str">
        <f>IF($I254&lt;&gt;"Complete",IF(COUNTIFS($A$4:$A253,$A254,$B$4:$B253,$B254,$I$4:$I253,"&lt;&gt;Complete")=0,$A254&amp;"|"&amp;$B254,""),"")</f>
        <v>|</v>
      </c>
      <c r="P254" t="str">
        <f ca="1">IF($K254="Yes",COUNTIFS($K$4:$K254,"Yes"),"")</f>
        <v/>
      </c>
      <c r="Q254">
        <f t="shared" ca="1" si="12"/>
        <v>0</v>
      </c>
      <c r="R254" t="str">
        <f ca="1">IF($Q254=1,SUM($Q$4:$Q254),"")</f>
        <v/>
      </c>
    </row>
    <row r="255" spans="1:18" ht="22.5" customHeight="1" x14ac:dyDescent="0.3">
      <c r="A255" s="2"/>
      <c r="B255" s="2"/>
      <c r="C255" s="3"/>
      <c r="D255" s="3"/>
      <c r="E255" s="2"/>
      <c r="F255" s="2"/>
      <c r="G255" s="5"/>
      <c r="H255" s="5"/>
      <c r="I255" s="4"/>
      <c r="J255" s="6" t="str">
        <f t="shared" si="10"/>
        <v/>
      </c>
      <c r="K255" s="4" t="str">
        <f t="shared" ca="1" si="13"/>
        <v/>
      </c>
      <c r="L255" s="7" t="str">
        <f>IF($H255="","",$H255-'[2]Read Me'!$B$4)</f>
        <v/>
      </c>
      <c r="M255" s="4" t="str">
        <f>IF($I255="Complete","Green",IF($H255="","Amber",IF($H255&lt;'[2]Read Me'!$B$4,"Red",IF($H255-'[2]Read Me'!$B$4&lt;=21,"Amber","Green"))))</f>
        <v>Amber</v>
      </c>
      <c r="N255" s="3"/>
      <c r="O255" t="str">
        <f>IF($I255&lt;&gt;"Complete",IF(COUNTIFS($A$4:$A254,$A255,$B$4:$B254,$B255,$I$4:$I254,"&lt;&gt;Complete")=0,$A255&amp;"|"&amp;$B255,""),"")</f>
        <v>|</v>
      </c>
      <c r="P255" t="str">
        <f ca="1">IF($K255="Yes",COUNTIFS($K$4:$K255,"Yes"),"")</f>
        <v/>
      </c>
      <c r="Q255">
        <f t="shared" ca="1" si="12"/>
        <v>0</v>
      </c>
      <c r="R255" t="str">
        <f ca="1">IF($Q255=1,SUM($Q$4:$Q255),"")</f>
        <v/>
      </c>
    </row>
    <row r="256" spans="1:18" ht="22.5" customHeight="1" x14ac:dyDescent="0.3">
      <c r="A256" s="2"/>
      <c r="B256" s="2"/>
      <c r="C256" s="3"/>
      <c r="D256" s="3"/>
      <c r="E256" s="2"/>
      <c r="F256" s="2"/>
      <c r="G256" s="5"/>
      <c r="H256" s="5"/>
      <c r="I256" s="4"/>
      <c r="J256" s="6" t="str">
        <f t="shared" si="10"/>
        <v/>
      </c>
      <c r="K256" s="4" t="str">
        <f t="shared" ca="1" si="13"/>
        <v/>
      </c>
      <c r="L256" s="7" t="str">
        <f>IF($H256="","",$H256-'[2]Read Me'!$B$4)</f>
        <v/>
      </c>
      <c r="M256" s="4" t="str">
        <f>IF($I256="Complete","Green",IF($H256="","Amber",IF($H256&lt;'[2]Read Me'!$B$4,"Red",IF($H256-'[2]Read Me'!$B$4&lt;=21,"Amber","Green"))))</f>
        <v>Amber</v>
      </c>
      <c r="N256" s="3"/>
      <c r="O256" t="str">
        <f>IF($I256&lt;&gt;"Complete",IF(COUNTIFS($A$4:$A255,$A256,$B$4:$B255,$B256,$I$4:$I255,"&lt;&gt;Complete")=0,$A256&amp;"|"&amp;$B256,""),"")</f>
        <v>|</v>
      </c>
      <c r="P256" t="str">
        <f ca="1">IF($K256="Yes",COUNTIFS($K$4:$K256,"Yes"),"")</f>
        <v/>
      </c>
      <c r="Q256">
        <f t="shared" ca="1" si="12"/>
        <v>0</v>
      </c>
      <c r="R256" t="str">
        <f ca="1">IF($Q256=1,SUM($Q$4:$Q256),"")</f>
        <v/>
      </c>
    </row>
    <row r="257" spans="1:18" ht="22.5" customHeight="1" x14ac:dyDescent="0.3">
      <c r="A257" s="2"/>
      <c r="B257" s="2"/>
      <c r="C257" s="3"/>
      <c r="D257" s="3"/>
      <c r="E257" s="2"/>
      <c r="F257" s="2"/>
      <c r="G257" s="5"/>
      <c r="H257" s="5"/>
      <c r="I257" s="4"/>
      <c r="J257" s="6" t="str">
        <f t="shared" si="10"/>
        <v/>
      </c>
      <c r="K257" s="4" t="str">
        <f t="shared" ca="1" si="13"/>
        <v/>
      </c>
      <c r="L257" s="7" t="str">
        <f>IF($H257="","",$H257-'[2]Read Me'!$B$4)</f>
        <v/>
      </c>
      <c r="M257" s="4" t="str">
        <f>IF($I257="Complete","Green",IF($H257="","Amber",IF($H257&lt;'[2]Read Me'!$B$4,"Red",IF($H257-'[2]Read Me'!$B$4&lt;=21,"Amber","Green"))))</f>
        <v>Amber</v>
      </c>
      <c r="N257" s="3"/>
      <c r="O257" t="str">
        <f>IF($I257&lt;&gt;"Complete",IF(COUNTIFS($A$4:$A256,$A257,$B$4:$B256,$B257,$I$4:$I256,"&lt;&gt;Complete")=0,$A257&amp;"|"&amp;$B257,""),"")</f>
        <v>|</v>
      </c>
      <c r="P257" t="str">
        <f ca="1">IF($K257="Yes",COUNTIFS($K$4:$K257,"Yes"),"")</f>
        <v/>
      </c>
      <c r="Q257">
        <f t="shared" ca="1" si="12"/>
        <v>0</v>
      </c>
      <c r="R257" t="str">
        <f ca="1">IF($Q257=1,SUM($Q$4:$Q257),"")</f>
        <v/>
      </c>
    </row>
    <row r="258" spans="1:18" ht="45" customHeight="1" x14ac:dyDescent="0.3">
      <c r="A258" s="2"/>
      <c r="B258" s="2"/>
      <c r="C258" s="3"/>
      <c r="D258" s="3"/>
      <c r="E258" s="2"/>
      <c r="F258" s="2"/>
      <c r="G258" s="5"/>
      <c r="H258" s="5"/>
      <c r="I258" s="4"/>
      <c r="J258" s="6" t="str">
        <f t="shared" si="10"/>
        <v/>
      </c>
      <c r="K258" s="4" t="str">
        <f t="shared" ca="1" si="13"/>
        <v/>
      </c>
      <c r="L258" s="7" t="str">
        <f>IF($H258="","",$H258-'[2]Read Me'!$B$4)</f>
        <v/>
      </c>
      <c r="M258" s="4" t="str">
        <f>IF($I258="Complete","Green",IF($H258="","Amber",IF($H258&lt;'[2]Read Me'!$B$4,"Red",IF($H258-'[2]Read Me'!$B$4&lt;=21,"Amber","Green"))))</f>
        <v>Amber</v>
      </c>
      <c r="N258" s="3"/>
      <c r="O258" t="str">
        <f>IF($I258&lt;&gt;"Complete",IF(COUNTIFS($A$4:$A257,$A258,$B$4:$B257,$B258,$I$4:$I257,"&lt;&gt;Complete")=0,$A258&amp;"|"&amp;$B258,""),"")</f>
        <v>|</v>
      </c>
      <c r="P258" t="str">
        <f ca="1">IF($K258="Yes",COUNTIFS($K$4:$K258,"Yes"),"")</f>
        <v/>
      </c>
      <c r="Q258">
        <f t="shared" ca="1" si="12"/>
        <v>0</v>
      </c>
      <c r="R258" t="str">
        <f ca="1">IF($Q258=1,SUM($Q$4:$Q258),"")</f>
        <v/>
      </c>
    </row>
    <row r="259" spans="1:18" ht="45" customHeight="1" x14ac:dyDescent="0.3">
      <c r="A259" s="2"/>
      <c r="B259" s="2"/>
      <c r="C259" s="3"/>
      <c r="D259" s="3"/>
      <c r="E259" s="2"/>
      <c r="F259" s="2"/>
      <c r="G259" s="5"/>
      <c r="H259" s="5"/>
      <c r="I259" s="4"/>
      <c r="J259" s="6" t="str">
        <f t="shared" si="10"/>
        <v/>
      </c>
      <c r="K259" s="4" t="str">
        <f t="shared" ca="1" si="13"/>
        <v/>
      </c>
      <c r="L259" s="7" t="str">
        <f>IF($H259="","",$H259-'[2]Read Me'!$B$4)</f>
        <v/>
      </c>
      <c r="M259" s="4" t="str">
        <f>IF($I259="Complete","Green",IF($H259="","Amber",IF($H259&lt;'[2]Read Me'!$B$4,"Red",IF($H259-'[2]Read Me'!$B$4&lt;=21,"Amber","Green"))))</f>
        <v>Amber</v>
      </c>
      <c r="N259" s="3"/>
      <c r="O259" t="str">
        <f>IF($I259&lt;&gt;"Complete",IF(COUNTIFS($A$4:$A258,$A259,$B$4:$B258,$B259,$I$4:$I258,"&lt;&gt;Complete")=0,$A259&amp;"|"&amp;$B259,""),"")</f>
        <v>|</v>
      </c>
      <c r="P259" t="str">
        <f ca="1">IF($K259="Yes",COUNTIFS($K$4:$K259,"Yes"),"")</f>
        <v/>
      </c>
      <c r="Q259">
        <f t="shared" ca="1" si="12"/>
        <v>0</v>
      </c>
      <c r="R259" t="str">
        <f ca="1">IF($Q259=1,SUM($Q$4:$Q259),"")</f>
        <v/>
      </c>
    </row>
    <row r="260" spans="1:18" ht="45" customHeight="1" x14ac:dyDescent="0.3">
      <c r="A260" s="2"/>
      <c r="B260" s="2"/>
      <c r="C260" s="3"/>
      <c r="D260" s="3"/>
      <c r="E260" s="2"/>
      <c r="F260" s="2"/>
      <c r="G260" s="5"/>
      <c r="H260" s="5"/>
      <c r="I260" s="4"/>
      <c r="J260" s="6" t="str">
        <f t="shared" ref="J260:J312" si="14">IF(OR($G260="",$H260=""),"",$H260-$G260)</f>
        <v/>
      </c>
      <c r="K260" s="4" t="str">
        <f t="shared" ca="1" si="13"/>
        <v/>
      </c>
      <c r="L260" s="7" t="str">
        <f>IF($H260="","",$H260-'[2]Read Me'!$B$4)</f>
        <v/>
      </c>
      <c r="M260" s="4" t="str">
        <f>IF($I260="Complete","Green",IF($H260="","Amber",IF($H260&lt;'[2]Read Me'!$B$4,"Red",IF($H260-'[2]Read Me'!$B$4&lt;=21,"Amber","Green"))))</f>
        <v>Amber</v>
      </c>
      <c r="N260" s="3"/>
      <c r="O260" t="str">
        <f>IF($I260&lt;&gt;"Complete",IF(COUNTIFS($A$4:$A259,$A260,$B$4:$B259,$B260,$I$4:$I259,"&lt;&gt;Complete")=0,$A260&amp;"|"&amp;$B260,""),"")</f>
        <v>|</v>
      </c>
      <c r="P260" t="str">
        <f ca="1">IF($K260="Yes",COUNTIFS($K$4:$K260,"Yes"),"")</f>
        <v/>
      </c>
      <c r="Q260">
        <f t="shared" ref="Q260:Q312" ca="1" si="15">IF(OR($I260="In Progress",$K260="Yes"),1,0)</f>
        <v>0</v>
      </c>
      <c r="R260" t="str">
        <f ca="1">IF($Q260=1,SUM($Q$4:$Q260),"")</f>
        <v/>
      </c>
    </row>
    <row r="261" spans="1:18" ht="45" customHeight="1" x14ac:dyDescent="0.3">
      <c r="A261" s="2"/>
      <c r="B261" s="2"/>
      <c r="C261" s="3"/>
      <c r="D261" s="3"/>
      <c r="E261" s="2"/>
      <c r="F261" s="2"/>
      <c r="G261" s="5"/>
      <c r="H261" s="5"/>
      <c r="I261" s="4"/>
      <c r="J261" s="6" t="str">
        <f t="shared" si="14"/>
        <v/>
      </c>
      <c r="K261" s="4" t="str">
        <f t="shared" ca="1" si="13"/>
        <v/>
      </c>
      <c r="L261" s="7" t="str">
        <f>IF($H261="","",$H261-'[2]Read Me'!$B$4)</f>
        <v/>
      </c>
      <c r="M261" s="4" t="str">
        <f>IF($I261="Complete","Green",IF($H261="","Amber",IF($H261&lt;'[2]Read Me'!$B$4,"Red",IF($H261-'[2]Read Me'!$B$4&lt;=21,"Amber","Green"))))</f>
        <v>Amber</v>
      </c>
      <c r="N261" s="3"/>
      <c r="O261" t="str">
        <f>IF($I261&lt;&gt;"Complete",IF(COUNTIFS($A$4:$A260,$A261,$B$4:$B260,$B261,$I$4:$I260,"&lt;&gt;Complete")=0,$A261&amp;"|"&amp;$B261,""),"")</f>
        <v>|</v>
      </c>
      <c r="P261" t="str">
        <f ca="1">IF($K261="Yes",COUNTIFS($K$4:$K261,"Yes"),"")</f>
        <v/>
      </c>
      <c r="Q261">
        <f t="shared" ca="1" si="15"/>
        <v>0</v>
      </c>
      <c r="R261" t="str">
        <f ca="1">IF($Q261=1,SUM($Q$4:$Q261),"")</f>
        <v/>
      </c>
    </row>
    <row r="262" spans="1:18" ht="45" customHeight="1" x14ac:dyDescent="0.3">
      <c r="A262" s="2"/>
      <c r="B262" s="2"/>
      <c r="C262" s="3"/>
      <c r="D262" s="3"/>
      <c r="E262" s="2"/>
      <c r="F262" s="2"/>
      <c r="G262" s="5"/>
      <c r="H262" s="5"/>
      <c r="I262" s="4"/>
      <c r="J262" s="6" t="str">
        <f t="shared" si="14"/>
        <v/>
      </c>
      <c r="K262" s="4" t="str">
        <f t="shared" ca="1" si="13"/>
        <v/>
      </c>
      <c r="L262" s="7" t="str">
        <f>IF($H262="","",$H262-'[2]Read Me'!$B$4)</f>
        <v/>
      </c>
      <c r="M262" s="4" t="str">
        <f>IF($I262="Complete","Green",IF($H262="","Amber",IF($H262&lt;'[2]Read Me'!$B$4,"Red",IF($H262-'[2]Read Me'!$B$4&lt;=21,"Amber","Green"))))</f>
        <v>Amber</v>
      </c>
      <c r="N262" s="3"/>
      <c r="O262" t="str">
        <f>IF($I262&lt;&gt;"Complete",IF(COUNTIFS($A$4:$A261,$A262,$B$4:$B261,$B262,$I$4:$I261,"&lt;&gt;Complete")=0,$A262&amp;"|"&amp;$B262,""),"")</f>
        <v>|</v>
      </c>
      <c r="P262" t="str">
        <f ca="1">IF($K262="Yes",COUNTIFS($K$4:$K262,"Yes"),"")</f>
        <v/>
      </c>
      <c r="Q262">
        <f t="shared" ca="1" si="15"/>
        <v>0</v>
      </c>
      <c r="R262" t="str">
        <f ca="1">IF($Q262=1,SUM($Q$4:$Q262),"")</f>
        <v/>
      </c>
    </row>
    <row r="263" spans="1:18" ht="45" customHeight="1" x14ac:dyDescent="0.3">
      <c r="A263" s="2"/>
      <c r="B263" s="2"/>
      <c r="C263" s="3"/>
      <c r="D263" s="3"/>
      <c r="E263" s="2"/>
      <c r="F263" s="2"/>
      <c r="G263" s="5"/>
      <c r="H263" s="5"/>
      <c r="I263" s="4"/>
      <c r="J263" s="6" t="str">
        <f t="shared" si="14"/>
        <v/>
      </c>
      <c r="K263" s="4" t="str">
        <f t="shared" ca="1" si="13"/>
        <v/>
      </c>
      <c r="L263" s="7" t="str">
        <f>IF($H263="","",$H263-'[2]Read Me'!$B$4)</f>
        <v/>
      </c>
      <c r="M263" s="4" t="str">
        <f>IF($I263="Complete","Green",IF($H263="","Amber",IF($H263&lt;'[2]Read Me'!$B$4,"Red",IF($H263-'[2]Read Me'!$B$4&lt;=21,"Amber","Green"))))</f>
        <v>Amber</v>
      </c>
      <c r="N263" s="3"/>
      <c r="O263" t="str">
        <f>IF($I263&lt;&gt;"Complete",IF(COUNTIFS($A$4:$A262,$A263,$B$4:$B262,$B263,$I$4:$I262,"&lt;&gt;Complete")=0,$A263&amp;"|"&amp;$B263,""),"")</f>
        <v>|</v>
      </c>
      <c r="P263" t="str">
        <f ca="1">IF($K263="Yes",COUNTIFS($K$4:$K263,"Yes"),"")</f>
        <v/>
      </c>
      <c r="Q263">
        <f t="shared" ca="1" si="15"/>
        <v>0</v>
      </c>
      <c r="R263" t="str">
        <f ca="1">IF($Q263=1,SUM($Q$4:$Q263),"")</f>
        <v/>
      </c>
    </row>
    <row r="264" spans="1:18" ht="45" customHeight="1" x14ac:dyDescent="0.3">
      <c r="A264" s="2"/>
      <c r="B264" s="2"/>
      <c r="C264" s="3"/>
      <c r="D264" s="3"/>
      <c r="E264" s="2"/>
      <c r="F264" s="2"/>
      <c r="G264" s="5"/>
      <c r="H264" s="5"/>
      <c r="I264" s="4"/>
      <c r="J264" s="6" t="str">
        <f t="shared" si="14"/>
        <v/>
      </c>
      <c r="K264" s="4" t="str">
        <f t="shared" ca="1" si="13"/>
        <v/>
      </c>
      <c r="L264" s="7" t="str">
        <f>IF($H264="","",$H264-'[2]Read Me'!$B$4)</f>
        <v/>
      </c>
      <c r="M264" s="4" t="str">
        <f>IF($I264="Complete","Green",IF($H264="","Amber",IF($H264&lt;'[2]Read Me'!$B$4,"Red",IF($H264-'[2]Read Me'!$B$4&lt;=21,"Amber","Green"))))</f>
        <v>Amber</v>
      </c>
      <c r="N264" s="3"/>
      <c r="O264" t="str">
        <f>IF($I264&lt;&gt;"Complete",IF(COUNTIFS($A$4:$A263,$A264,$B$4:$B263,$B264,$I$4:$I263,"&lt;&gt;Complete")=0,$A264&amp;"|"&amp;$B264,""),"")</f>
        <v>|</v>
      </c>
      <c r="P264" t="str">
        <f ca="1">IF($K264="Yes",COUNTIFS($K$4:$K264,"Yes"),"")</f>
        <v/>
      </c>
      <c r="Q264">
        <f t="shared" ca="1" si="15"/>
        <v>0</v>
      </c>
      <c r="R264" t="str">
        <f ca="1">IF($Q264=1,SUM($Q$4:$Q264),"")</f>
        <v/>
      </c>
    </row>
    <row r="265" spans="1:18" ht="45" customHeight="1" x14ac:dyDescent="0.3">
      <c r="A265" s="2"/>
      <c r="B265" s="2"/>
      <c r="C265" s="3"/>
      <c r="D265" s="3"/>
      <c r="E265" s="2"/>
      <c r="F265" s="2"/>
      <c r="G265" s="5"/>
      <c r="H265" s="5"/>
      <c r="I265" s="4"/>
      <c r="J265" s="6" t="str">
        <f t="shared" si="14"/>
        <v/>
      </c>
      <c r="K265" s="4" t="str">
        <f t="shared" ref="K265:K312" ca="1" si="16">IF($H265="","",IF($H265&lt;TODAY(),"No","Yes"))</f>
        <v/>
      </c>
      <c r="L265" s="7" t="str">
        <f>IF($H265="","",$H265-'[2]Read Me'!$B$4)</f>
        <v/>
      </c>
      <c r="M265" s="4" t="str">
        <f>IF($I265="Complete","Green",IF($H265="","Amber",IF($H265&lt;'[2]Read Me'!$B$4,"Red",IF($H265-'[2]Read Me'!$B$4&lt;=21,"Amber","Green"))))</f>
        <v>Amber</v>
      </c>
      <c r="N265" s="3"/>
      <c r="O265" t="str">
        <f>IF($I265&lt;&gt;"Complete",IF(COUNTIFS($A$4:$A264,$A265,$B$4:$B264,$B265,$I$4:$I264,"&lt;&gt;Complete")=0,$A265&amp;"|"&amp;$B265,""),"")</f>
        <v>|</v>
      </c>
      <c r="P265" t="str">
        <f ca="1">IF($K265="Yes",COUNTIFS($K$4:$K265,"Yes"),"")</f>
        <v/>
      </c>
      <c r="Q265">
        <f t="shared" ca="1" si="15"/>
        <v>0</v>
      </c>
      <c r="R265" t="str">
        <f ca="1">IF($Q265=1,SUM($Q$4:$Q265),"")</f>
        <v/>
      </c>
    </row>
    <row r="266" spans="1:18" ht="45" customHeight="1" x14ac:dyDescent="0.3">
      <c r="A266" s="2"/>
      <c r="B266" s="2"/>
      <c r="C266" s="3"/>
      <c r="D266" s="3"/>
      <c r="E266" s="2"/>
      <c r="F266" s="2"/>
      <c r="G266" s="5"/>
      <c r="H266" s="5"/>
      <c r="I266" s="4"/>
      <c r="J266" s="6" t="str">
        <f t="shared" si="14"/>
        <v/>
      </c>
      <c r="K266" s="4" t="str">
        <f t="shared" ca="1" si="16"/>
        <v/>
      </c>
      <c r="L266" s="7" t="str">
        <f>IF($H266="","",$H266-'[2]Read Me'!$B$4)</f>
        <v/>
      </c>
      <c r="M266" s="4" t="str">
        <f>IF($I266="Complete","Green",IF($H266="","Amber",IF($H266&lt;'[2]Read Me'!$B$4,"Red",IF($H266-'[2]Read Me'!$B$4&lt;=21,"Amber","Green"))))</f>
        <v>Amber</v>
      </c>
      <c r="N266" s="3"/>
      <c r="O266" t="str">
        <f>IF($I266&lt;&gt;"Complete",IF(COUNTIFS($A$4:$A265,$A266,$B$4:$B265,$B266,$I$4:$I265,"&lt;&gt;Complete")=0,$A266&amp;"|"&amp;$B266,""),"")</f>
        <v>|</v>
      </c>
      <c r="P266" t="str">
        <f ca="1">IF($K266="Yes",COUNTIFS($K$4:$K266,"Yes"),"")</f>
        <v/>
      </c>
      <c r="Q266">
        <f t="shared" ca="1" si="15"/>
        <v>0</v>
      </c>
      <c r="R266" t="str">
        <f ca="1">IF($Q266=1,SUM($Q$4:$Q266),"")</f>
        <v/>
      </c>
    </row>
    <row r="267" spans="1:18" ht="45" customHeight="1" x14ac:dyDescent="0.3">
      <c r="A267" s="2"/>
      <c r="B267" s="2"/>
      <c r="C267" s="3"/>
      <c r="D267" s="3"/>
      <c r="E267" s="2"/>
      <c r="F267" s="2"/>
      <c r="G267" s="5"/>
      <c r="H267" s="5"/>
      <c r="I267" s="4"/>
      <c r="J267" s="6" t="str">
        <f t="shared" si="14"/>
        <v/>
      </c>
      <c r="K267" s="4" t="str">
        <f t="shared" ca="1" si="16"/>
        <v/>
      </c>
      <c r="L267" s="7" t="str">
        <f>IF($H267="","",$H267-'[2]Read Me'!$B$4)</f>
        <v/>
      </c>
      <c r="M267" s="4" t="str">
        <f>IF($I267="Complete","Green",IF($H267="","Amber",IF($H267&lt;'[2]Read Me'!$B$4,"Red",IF($H267-'[2]Read Me'!$B$4&lt;=21,"Amber","Green"))))</f>
        <v>Amber</v>
      </c>
      <c r="N267" s="3"/>
      <c r="O267" t="str">
        <f>IF($I267&lt;&gt;"Complete",IF(COUNTIFS($A$4:$A266,$A267,$B$4:$B266,$B267,$I$4:$I266,"&lt;&gt;Complete")=0,$A267&amp;"|"&amp;$B267,""),"")</f>
        <v>|</v>
      </c>
      <c r="P267" t="str">
        <f ca="1">IF($K267="Yes",COUNTIFS($K$4:$K267,"Yes"),"")</f>
        <v/>
      </c>
      <c r="Q267">
        <f t="shared" ca="1" si="15"/>
        <v>0</v>
      </c>
      <c r="R267" t="str">
        <f ca="1">IF($Q267=1,SUM($Q$4:$Q267),"")</f>
        <v/>
      </c>
    </row>
    <row r="268" spans="1:18" ht="14.25" customHeight="1" x14ac:dyDescent="0.3">
      <c r="A268" s="2"/>
      <c r="B268" s="2"/>
      <c r="C268" s="3"/>
      <c r="D268" s="3"/>
      <c r="E268" s="2"/>
      <c r="F268" s="2"/>
      <c r="G268" s="5"/>
      <c r="H268" s="5"/>
      <c r="I268" s="4"/>
      <c r="J268" s="6" t="str">
        <f t="shared" si="14"/>
        <v/>
      </c>
      <c r="K268" s="4" t="str">
        <f t="shared" ca="1" si="16"/>
        <v/>
      </c>
      <c r="L268" s="7" t="str">
        <f>IF($H268="","",$H268-'[2]Read Me'!$B$4)</f>
        <v/>
      </c>
      <c r="M268" s="4" t="str">
        <f>IF($I268="Complete","Green",IF($H268="","Amber",IF($H268&lt;'[2]Read Me'!$B$4,"Red",IF($H268-'[2]Read Me'!$B$4&lt;=21,"Amber","Green"))))</f>
        <v>Amber</v>
      </c>
      <c r="N268" s="3"/>
      <c r="O268" t="str">
        <f>IF($I268&lt;&gt;"Complete",IF(COUNTIFS($A$4:$A267,$A268,$B$4:$B267,$B268,$I$4:$I267,"&lt;&gt;Complete")=0,$A268&amp;"|"&amp;$B268,""),"")</f>
        <v>|</v>
      </c>
      <c r="P268" t="str">
        <f ca="1">IF($K268="Yes",COUNTIFS($K$4:$K268,"Yes"),"")</f>
        <v/>
      </c>
      <c r="Q268">
        <f t="shared" ca="1" si="15"/>
        <v>0</v>
      </c>
      <c r="R268" t="str">
        <f ca="1">IF($Q268=1,SUM($Q$4:$Q268),"")</f>
        <v/>
      </c>
    </row>
    <row r="269" spans="1:18" ht="14.25" customHeight="1" x14ac:dyDescent="0.3">
      <c r="A269" s="2"/>
      <c r="B269" s="2"/>
      <c r="C269" s="3"/>
      <c r="D269" s="3"/>
      <c r="E269" s="2"/>
      <c r="F269" s="2"/>
      <c r="G269" s="5"/>
      <c r="H269" s="5"/>
      <c r="I269" s="4"/>
      <c r="J269" s="6" t="str">
        <f t="shared" si="14"/>
        <v/>
      </c>
      <c r="K269" s="4" t="str">
        <f t="shared" ca="1" si="16"/>
        <v/>
      </c>
      <c r="L269" s="7" t="str">
        <f>IF($H269="","",$H269-'[2]Read Me'!$B$4)</f>
        <v/>
      </c>
      <c r="M269" s="4" t="str">
        <f>IF($I269="Complete","Green",IF($H269="","Amber",IF($H269&lt;'[2]Read Me'!$B$4,"Red",IF($H269-'[2]Read Me'!$B$4&lt;=21,"Amber","Green"))))</f>
        <v>Amber</v>
      </c>
      <c r="N269" s="3"/>
      <c r="O269" t="str">
        <f>IF($I269&lt;&gt;"Complete",IF(COUNTIFS($A$4:$A268,$A269,$B$4:$B268,$B269,$I$4:$I268,"&lt;&gt;Complete")=0,$A269&amp;"|"&amp;$B269,""),"")</f>
        <v>|</v>
      </c>
      <c r="P269" t="str">
        <f ca="1">IF($K269="Yes",COUNTIFS($K$4:$K269,"Yes"),"")</f>
        <v/>
      </c>
      <c r="Q269">
        <f t="shared" ca="1" si="15"/>
        <v>0</v>
      </c>
      <c r="R269" t="str">
        <f ca="1">IF($Q269=1,SUM($Q$4:$Q269),"")</f>
        <v/>
      </c>
    </row>
    <row r="270" spans="1:18" ht="14.25" customHeight="1" x14ac:dyDescent="0.3">
      <c r="A270" s="2"/>
      <c r="B270" s="2"/>
      <c r="C270" s="3"/>
      <c r="D270" s="3"/>
      <c r="E270" s="2"/>
      <c r="F270" s="2"/>
      <c r="G270" s="5"/>
      <c r="H270" s="5"/>
      <c r="I270" s="4"/>
      <c r="J270" s="6" t="str">
        <f t="shared" si="14"/>
        <v/>
      </c>
      <c r="K270" s="4" t="str">
        <f t="shared" ca="1" si="16"/>
        <v/>
      </c>
      <c r="L270" s="7" t="str">
        <f>IF($H270="","",$H270-'[2]Read Me'!$B$4)</f>
        <v/>
      </c>
      <c r="M270" s="4" t="str">
        <f>IF($I270="Complete","Green",IF($H270="","Amber",IF($H270&lt;'[2]Read Me'!$B$4,"Red",IF($H270-'[2]Read Me'!$B$4&lt;=21,"Amber","Green"))))</f>
        <v>Amber</v>
      </c>
      <c r="N270" s="3"/>
      <c r="O270" t="str">
        <f>IF($I270&lt;&gt;"Complete",IF(COUNTIFS($A$4:$A269,$A270,$B$4:$B269,$B270,$I$4:$I269,"&lt;&gt;Complete")=0,$A270&amp;"|"&amp;$B270,""),"")</f>
        <v>|</v>
      </c>
      <c r="P270" t="str">
        <f ca="1">IF($K270="Yes",COUNTIFS($K$4:$K270,"Yes"),"")</f>
        <v/>
      </c>
      <c r="Q270">
        <f t="shared" ca="1" si="15"/>
        <v>0</v>
      </c>
      <c r="R270" t="str">
        <f ca="1">IF($Q270=1,SUM($Q$4:$Q270),"")</f>
        <v/>
      </c>
    </row>
    <row r="271" spans="1:18" ht="14.25" customHeight="1" x14ac:dyDescent="0.3">
      <c r="A271" s="2"/>
      <c r="B271" s="2"/>
      <c r="C271" s="3"/>
      <c r="D271" s="3"/>
      <c r="E271" s="2"/>
      <c r="F271" s="2"/>
      <c r="G271" s="5"/>
      <c r="H271" s="5"/>
      <c r="I271" s="4"/>
      <c r="J271" s="6" t="str">
        <f t="shared" si="14"/>
        <v/>
      </c>
      <c r="K271" s="4" t="str">
        <f t="shared" ca="1" si="16"/>
        <v/>
      </c>
      <c r="L271" s="7" t="str">
        <f>IF($H271="","",$H271-'[2]Read Me'!$B$4)</f>
        <v/>
      </c>
      <c r="M271" s="4" t="str">
        <f>IF($I271="Complete","Green",IF($H271="","Amber",IF($H271&lt;'[2]Read Me'!$B$4,"Red",IF($H271-'[2]Read Me'!$B$4&lt;=21,"Amber","Green"))))</f>
        <v>Amber</v>
      </c>
      <c r="N271" s="3"/>
      <c r="O271" t="str">
        <f>IF($I271&lt;&gt;"Complete",IF(COUNTIFS($A$4:$A270,$A271,$B$4:$B270,$B271,$I$4:$I270,"&lt;&gt;Complete")=0,$A271&amp;"|"&amp;$B271,""),"")</f>
        <v>|</v>
      </c>
      <c r="P271" t="str">
        <f ca="1">IF($K271="Yes",COUNTIFS($K$4:$K271,"Yes"),"")</f>
        <v/>
      </c>
      <c r="Q271">
        <f t="shared" ca="1" si="15"/>
        <v>0</v>
      </c>
      <c r="R271" t="str">
        <f ca="1">IF($Q271=1,SUM($Q$4:$Q271),"")</f>
        <v/>
      </c>
    </row>
    <row r="272" spans="1:18" ht="14.25" customHeight="1" x14ac:dyDescent="0.3">
      <c r="A272" s="2"/>
      <c r="B272" s="2"/>
      <c r="C272" s="3"/>
      <c r="D272" s="3"/>
      <c r="E272" s="2"/>
      <c r="F272" s="2"/>
      <c r="G272" s="5"/>
      <c r="H272" s="5"/>
      <c r="I272" s="4"/>
      <c r="J272" s="6" t="str">
        <f t="shared" si="14"/>
        <v/>
      </c>
      <c r="K272" s="4" t="str">
        <f t="shared" ca="1" si="16"/>
        <v/>
      </c>
      <c r="L272" s="7" t="str">
        <f>IF($H272="","",$H272-'[2]Read Me'!$B$4)</f>
        <v/>
      </c>
      <c r="M272" s="4" t="str">
        <f>IF($I272="Complete","Green",IF($H272="","Amber",IF($H272&lt;'[2]Read Me'!$B$4,"Red",IF($H272-'[2]Read Me'!$B$4&lt;=21,"Amber","Green"))))</f>
        <v>Amber</v>
      </c>
      <c r="N272" s="3"/>
      <c r="O272" t="str">
        <f>IF($I272&lt;&gt;"Complete",IF(COUNTIFS($A$4:$A271,$A272,$B$4:$B271,$B272,$I$4:$I271,"&lt;&gt;Complete")=0,$A272&amp;"|"&amp;$B272,""),"")</f>
        <v>|</v>
      </c>
      <c r="P272" t="str">
        <f ca="1">IF($K272="Yes",COUNTIFS($K$4:$K272,"Yes"),"")</f>
        <v/>
      </c>
      <c r="Q272">
        <f t="shared" ca="1" si="15"/>
        <v>0</v>
      </c>
      <c r="R272" t="str">
        <f ca="1">IF($Q272=1,SUM($Q$4:$Q272),"")</f>
        <v/>
      </c>
    </row>
    <row r="273" spans="1:18" ht="14.25" customHeight="1" x14ac:dyDescent="0.3">
      <c r="A273" s="2"/>
      <c r="B273" s="2"/>
      <c r="C273" s="3"/>
      <c r="D273" s="3"/>
      <c r="E273" s="2"/>
      <c r="F273" s="2"/>
      <c r="G273" s="5"/>
      <c r="H273" s="5"/>
      <c r="I273" s="4"/>
      <c r="J273" s="6" t="str">
        <f t="shared" si="14"/>
        <v/>
      </c>
      <c r="K273" s="4" t="str">
        <f t="shared" ca="1" si="16"/>
        <v/>
      </c>
      <c r="L273" s="7" t="str">
        <f>IF($H273="","",$H273-'[2]Read Me'!$B$4)</f>
        <v/>
      </c>
      <c r="M273" s="4" t="str">
        <f>IF($I273="Complete","Green",IF($H273="","Amber",IF($H273&lt;'[2]Read Me'!$B$4,"Red",IF($H273-'[2]Read Me'!$B$4&lt;=21,"Amber","Green"))))</f>
        <v>Amber</v>
      </c>
      <c r="N273" s="3"/>
      <c r="O273" t="str">
        <f>IF($I273&lt;&gt;"Complete",IF(COUNTIFS($A$4:$A272,$A273,$B$4:$B272,$B273,$I$4:$I272,"&lt;&gt;Complete")=0,$A273&amp;"|"&amp;$B273,""),"")</f>
        <v>|</v>
      </c>
      <c r="P273" t="str">
        <f ca="1">IF($K273="Yes",COUNTIFS($K$4:$K273,"Yes"),"")</f>
        <v/>
      </c>
      <c r="Q273">
        <f t="shared" ca="1" si="15"/>
        <v>0</v>
      </c>
      <c r="R273" t="str">
        <f ca="1">IF($Q273=1,SUM($Q$4:$Q273),"")</f>
        <v/>
      </c>
    </row>
    <row r="274" spans="1:18" ht="14.25" customHeight="1" x14ac:dyDescent="0.3">
      <c r="A274" s="2"/>
      <c r="B274" s="2"/>
      <c r="C274" s="3"/>
      <c r="D274" s="3"/>
      <c r="E274" s="2"/>
      <c r="F274" s="2"/>
      <c r="G274" s="5"/>
      <c r="H274" s="5"/>
      <c r="I274" s="4"/>
      <c r="J274" s="6" t="str">
        <f t="shared" si="14"/>
        <v/>
      </c>
      <c r="K274" s="4" t="str">
        <f t="shared" ca="1" si="16"/>
        <v/>
      </c>
      <c r="L274" s="7" t="str">
        <f>IF($H274="","",$H274-'[2]Read Me'!$B$4)</f>
        <v/>
      </c>
      <c r="M274" s="4" t="str">
        <f>IF($I274="Complete","Green",IF($H274="","Amber",IF($H274&lt;'[2]Read Me'!$B$4,"Red",IF($H274-'[2]Read Me'!$B$4&lt;=21,"Amber","Green"))))</f>
        <v>Amber</v>
      </c>
      <c r="N274" s="3"/>
      <c r="O274" t="str">
        <f>IF($I274&lt;&gt;"Complete",IF(COUNTIFS($A$4:$A273,$A274,$B$4:$B273,$B274,$I$4:$I273,"&lt;&gt;Complete")=0,$A274&amp;"|"&amp;$B274,""),"")</f>
        <v>|</v>
      </c>
      <c r="P274" t="str">
        <f ca="1">IF($K274="Yes",COUNTIFS($K$4:$K274,"Yes"),"")</f>
        <v/>
      </c>
      <c r="Q274">
        <f t="shared" ca="1" si="15"/>
        <v>0</v>
      </c>
      <c r="R274" t="str">
        <f ca="1">IF($Q274=1,SUM($Q$4:$Q274),"")</f>
        <v/>
      </c>
    </row>
    <row r="275" spans="1:18" ht="14.25" customHeight="1" x14ac:dyDescent="0.3">
      <c r="A275" s="2"/>
      <c r="B275" s="2"/>
      <c r="C275" s="3"/>
      <c r="D275" s="3"/>
      <c r="E275" s="2"/>
      <c r="F275" s="2"/>
      <c r="G275" s="5"/>
      <c r="H275" s="5"/>
      <c r="I275" s="4"/>
      <c r="J275" s="6" t="str">
        <f t="shared" si="14"/>
        <v/>
      </c>
      <c r="K275" s="4" t="str">
        <f t="shared" ca="1" si="16"/>
        <v/>
      </c>
      <c r="L275" s="7" t="str">
        <f>IF($H275="","",$H275-'[2]Read Me'!$B$4)</f>
        <v/>
      </c>
      <c r="M275" s="4" t="str">
        <f>IF($I275="Complete","Green",IF($H275="","Amber",IF($H275&lt;'[2]Read Me'!$B$4,"Red",IF($H275-'[2]Read Me'!$B$4&lt;=21,"Amber","Green"))))</f>
        <v>Amber</v>
      </c>
      <c r="N275" s="3"/>
      <c r="O275" t="str">
        <f>IF($I275&lt;&gt;"Complete",IF(COUNTIFS($A$4:$A274,$A275,$B$4:$B274,$B275,$I$4:$I274,"&lt;&gt;Complete")=0,$A275&amp;"|"&amp;$B275,""),"")</f>
        <v>|</v>
      </c>
      <c r="P275" t="str">
        <f ca="1">IF($K275="Yes",COUNTIFS($K$4:$K275,"Yes"),"")</f>
        <v/>
      </c>
      <c r="Q275">
        <f t="shared" ca="1" si="15"/>
        <v>0</v>
      </c>
      <c r="R275" t="str">
        <f ca="1">IF($Q275=1,SUM($Q$4:$Q275),"")</f>
        <v/>
      </c>
    </row>
    <row r="276" spans="1:18" ht="14.25" customHeight="1" x14ac:dyDescent="0.3">
      <c r="A276" s="2"/>
      <c r="B276" s="2"/>
      <c r="C276" s="3"/>
      <c r="D276" s="3"/>
      <c r="E276" s="2"/>
      <c r="F276" s="2"/>
      <c r="G276" s="5"/>
      <c r="H276" s="5"/>
      <c r="I276" s="4"/>
      <c r="J276" s="6" t="str">
        <f t="shared" si="14"/>
        <v/>
      </c>
      <c r="K276" s="4" t="str">
        <f t="shared" ca="1" si="16"/>
        <v/>
      </c>
      <c r="L276" s="7" t="str">
        <f>IF($H276="","",$H276-'[2]Read Me'!$B$4)</f>
        <v/>
      </c>
      <c r="M276" s="4" t="str">
        <f>IF($I276="Complete","Green",IF($H276="","Amber",IF($H276&lt;'[2]Read Me'!$B$4,"Red",IF($H276-'[2]Read Me'!$B$4&lt;=21,"Amber","Green"))))</f>
        <v>Amber</v>
      </c>
      <c r="N276" s="3"/>
      <c r="O276" t="str">
        <f>IF($I276&lt;&gt;"Complete",IF(COUNTIFS($A$4:$A275,$A276,$B$4:$B275,$B276,$I$4:$I275,"&lt;&gt;Complete")=0,$A276&amp;"|"&amp;$B276,""),"")</f>
        <v>|</v>
      </c>
      <c r="P276" t="str">
        <f ca="1">IF($K276="Yes",COUNTIFS($K$4:$K276,"Yes"),"")</f>
        <v/>
      </c>
      <c r="Q276">
        <f t="shared" ca="1" si="15"/>
        <v>0</v>
      </c>
      <c r="R276" t="str">
        <f ca="1">IF($Q276=1,SUM($Q$4:$Q276),"")</f>
        <v/>
      </c>
    </row>
    <row r="277" spans="1:18" ht="14.25" customHeight="1" x14ac:dyDescent="0.3">
      <c r="A277" s="2"/>
      <c r="B277" s="2"/>
      <c r="C277" s="3"/>
      <c r="D277" s="3"/>
      <c r="E277" s="2"/>
      <c r="F277" s="2"/>
      <c r="G277" s="5"/>
      <c r="H277" s="5"/>
      <c r="I277" s="4"/>
      <c r="J277" s="6" t="str">
        <f t="shared" si="14"/>
        <v/>
      </c>
      <c r="K277" s="4" t="str">
        <f t="shared" ca="1" si="16"/>
        <v/>
      </c>
      <c r="L277" s="7" t="str">
        <f>IF($H277="","",$H277-'[2]Read Me'!$B$4)</f>
        <v/>
      </c>
      <c r="M277" s="4" t="str">
        <f>IF($I277="Complete","Green",IF($H277="","Amber",IF($H277&lt;'[2]Read Me'!$B$4,"Red",IF($H277-'[2]Read Me'!$B$4&lt;=21,"Amber","Green"))))</f>
        <v>Amber</v>
      </c>
      <c r="N277" s="3"/>
      <c r="O277" t="str">
        <f>IF($I277&lt;&gt;"Complete",IF(COUNTIFS($A$4:$A276,$A277,$B$4:$B276,$B277,$I$4:$I276,"&lt;&gt;Complete")=0,$A277&amp;"|"&amp;$B277,""),"")</f>
        <v>|</v>
      </c>
      <c r="P277" t="str">
        <f ca="1">IF($K277="Yes",COUNTIFS($K$4:$K277,"Yes"),"")</f>
        <v/>
      </c>
      <c r="Q277">
        <f t="shared" ca="1" si="15"/>
        <v>0</v>
      </c>
      <c r="R277" t="str">
        <f ca="1">IF($Q277=1,SUM($Q$4:$Q277),"")</f>
        <v/>
      </c>
    </row>
    <row r="278" spans="1:18" ht="14.25" customHeight="1" x14ac:dyDescent="0.3">
      <c r="A278" s="2"/>
      <c r="B278" s="2"/>
      <c r="C278" s="3"/>
      <c r="D278" s="3"/>
      <c r="E278" s="2"/>
      <c r="F278" s="2"/>
      <c r="G278" s="5"/>
      <c r="H278" s="5"/>
      <c r="I278" s="4"/>
      <c r="J278" s="6" t="str">
        <f t="shared" si="14"/>
        <v/>
      </c>
      <c r="K278" s="4" t="str">
        <f t="shared" ca="1" si="16"/>
        <v/>
      </c>
      <c r="L278" s="7" t="str">
        <f>IF($H278="","",$H278-'[2]Read Me'!$B$4)</f>
        <v/>
      </c>
      <c r="M278" s="4" t="str">
        <f>IF($I278="Complete","Green",IF($H278="","Amber",IF($H278&lt;'[2]Read Me'!$B$4,"Red",IF($H278-'[2]Read Me'!$B$4&lt;=21,"Amber","Green"))))</f>
        <v>Amber</v>
      </c>
      <c r="N278" s="3"/>
      <c r="O278" t="str">
        <f>IF($I278&lt;&gt;"Complete",IF(COUNTIFS($A$4:$A277,$A278,$B$4:$B277,$B278,$I$4:$I277,"&lt;&gt;Complete")=0,$A278&amp;"|"&amp;$B278,""),"")</f>
        <v>|</v>
      </c>
      <c r="P278" t="str">
        <f ca="1">IF($K278="Yes",COUNTIFS($K$4:$K278,"Yes"),"")</f>
        <v/>
      </c>
      <c r="Q278">
        <f t="shared" ca="1" si="15"/>
        <v>0</v>
      </c>
      <c r="R278" t="str">
        <f ca="1">IF($Q278=1,SUM($Q$4:$Q278),"")</f>
        <v/>
      </c>
    </row>
    <row r="279" spans="1:18" ht="14.25" customHeight="1" x14ac:dyDescent="0.3">
      <c r="A279" s="2"/>
      <c r="B279" s="2"/>
      <c r="C279" s="3"/>
      <c r="D279" s="3"/>
      <c r="E279" s="2"/>
      <c r="F279" s="2"/>
      <c r="G279" s="5"/>
      <c r="H279" s="5"/>
      <c r="I279" s="4"/>
      <c r="J279" s="6" t="str">
        <f t="shared" si="14"/>
        <v/>
      </c>
      <c r="K279" s="4" t="str">
        <f t="shared" ca="1" si="16"/>
        <v/>
      </c>
      <c r="L279" s="7" t="str">
        <f>IF($H279="","",$H279-'[2]Read Me'!$B$4)</f>
        <v/>
      </c>
      <c r="M279" s="4" t="str">
        <f>IF($I279="Complete","Green",IF($H279="","Amber",IF($H279&lt;'[2]Read Me'!$B$4,"Red",IF($H279-'[2]Read Me'!$B$4&lt;=21,"Amber","Green"))))</f>
        <v>Amber</v>
      </c>
      <c r="N279" s="3"/>
      <c r="O279" t="str">
        <f>IF($I279&lt;&gt;"Complete",IF(COUNTIFS($A$4:$A278,$A279,$B$4:$B278,$B279,$I$4:$I278,"&lt;&gt;Complete")=0,$A279&amp;"|"&amp;$B279,""),"")</f>
        <v>|</v>
      </c>
      <c r="P279" t="str">
        <f ca="1">IF($K279="Yes",COUNTIFS($K$4:$K279,"Yes"),"")</f>
        <v/>
      </c>
      <c r="Q279">
        <f t="shared" ca="1" si="15"/>
        <v>0</v>
      </c>
      <c r="R279" t="str">
        <f ca="1">IF($Q279=1,SUM($Q$4:$Q279),"")</f>
        <v/>
      </c>
    </row>
    <row r="280" spans="1:18" ht="14.25" customHeight="1" x14ac:dyDescent="0.3">
      <c r="A280" s="2"/>
      <c r="B280" s="2"/>
      <c r="C280" s="3"/>
      <c r="D280" s="3"/>
      <c r="E280" s="2"/>
      <c r="F280" s="2"/>
      <c r="G280" s="5"/>
      <c r="H280" s="5"/>
      <c r="I280" s="4"/>
      <c r="J280" s="6" t="str">
        <f t="shared" si="14"/>
        <v/>
      </c>
      <c r="K280" s="4" t="str">
        <f t="shared" ca="1" si="16"/>
        <v/>
      </c>
      <c r="L280" s="7" t="str">
        <f>IF($H280="","",$H280-'[2]Read Me'!$B$4)</f>
        <v/>
      </c>
      <c r="M280" s="4" t="str">
        <f>IF($I280="Complete","Green",IF($H280="","Amber",IF($H280&lt;'[2]Read Me'!$B$4,"Red",IF($H280-'[2]Read Me'!$B$4&lt;=21,"Amber","Green"))))</f>
        <v>Amber</v>
      </c>
      <c r="N280" s="3"/>
      <c r="O280" t="str">
        <f>IF($I280&lt;&gt;"Complete",IF(COUNTIFS($A$4:$A279,$A280,$B$4:$B279,$B280,$I$4:$I279,"&lt;&gt;Complete")=0,$A280&amp;"|"&amp;$B280,""),"")</f>
        <v>|</v>
      </c>
      <c r="P280" t="str">
        <f ca="1">IF($K280="Yes",COUNTIFS($K$4:$K280,"Yes"),"")</f>
        <v/>
      </c>
      <c r="Q280">
        <f t="shared" ca="1" si="15"/>
        <v>0</v>
      </c>
      <c r="R280" t="str">
        <f ca="1">IF($Q280=1,SUM($Q$4:$Q280),"")</f>
        <v/>
      </c>
    </row>
    <row r="281" spans="1:18" ht="14.25" customHeight="1" x14ac:dyDescent="0.3">
      <c r="A281" s="2"/>
      <c r="B281" s="2"/>
      <c r="C281" s="3"/>
      <c r="D281" s="3"/>
      <c r="E281" s="2"/>
      <c r="F281" s="2"/>
      <c r="G281" s="5"/>
      <c r="H281" s="5"/>
      <c r="I281" s="4"/>
      <c r="J281" s="6" t="str">
        <f t="shared" si="14"/>
        <v/>
      </c>
      <c r="K281" s="4" t="str">
        <f t="shared" ca="1" si="16"/>
        <v/>
      </c>
      <c r="L281" s="7" t="str">
        <f>IF($H281="","",$H281-'[2]Read Me'!$B$4)</f>
        <v/>
      </c>
      <c r="M281" s="4" t="str">
        <f>IF($I281="Complete","Green",IF($H281="","Amber",IF($H281&lt;'[2]Read Me'!$B$4,"Red",IF($H281-'[2]Read Me'!$B$4&lt;=21,"Amber","Green"))))</f>
        <v>Amber</v>
      </c>
      <c r="N281" s="3"/>
      <c r="O281" t="str">
        <f>IF($I281&lt;&gt;"Complete",IF(COUNTIFS($A$4:$A280,$A281,$B$4:$B280,$B281,$I$4:$I280,"&lt;&gt;Complete")=0,$A281&amp;"|"&amp;$B281,""),"")</f>
        <v>|</v>
      </c>
      <c r="P281" t="str">
        <f ca="1">IF($K281="Yes",COUNTIFS($K$4:$K281,"Yes"),"")</f>
        <v/>
      </c>
      <c r="Q281">
        <f t="shared" ca="1" si="15"/>
        <v>0</v>
      </c>
      <c r="R281" t="str">
        <f ca="1">IF($Q281=1,SUM($Q$4:$Q281),"")</f>
        <v/>
      </c>
    </row>
    <row r="282" spans="1:18" ht="14.25" customHeight="1" x14ac:dyDescent="0.3">
      <c r="A282" s="2"/>
      <c r="B282" s="2"/>
      <c r="C282" s="3"/>
      <c r="D282" s="3"/>
      <c r="E282" s="2"/>
      <c r="F282" s="2"/>
      <c r="G282" s="5"/>
      <c r="H282" s="5"/>
      <c r="I282" s="4"/>
      <c r="J282" s="6" t="str">
        <f t="shared" si="14"/>
        <v/>
      </c>
      <c r="K282" s="4" t="str">
        <f t="shared" ca="1" si="16"/>
        <v/>
      </c>
      <c r="L282" s="7" t="str">
        <f>IF($H282="","",$H282-'[2]Read Me'!$B$4)</f>
        <v/>
      </c>
      <c r="M282" s="4" t="str">
        <f>IF($I282="Complete","Green",IF($H282="","Amber",IF($H282&lt;'[2]Read Me'!$B$4,"Red",IF($H282-'[2]Read Me'!$B$4&lt;=21,"Amber","Green"))))</f>
        <v>Amber</v>
      </c>
      <c r="N282" s="3"/>
      <c r="O282" t="str">
        <f>IF($I282&lt;&gt;"Complete",IF(COUNTIFS($A$4:$A281,$A282,$B$4:$B281,$B282,$I$4:$I281,"&lt;&gt;Complete")=0,$A282&amp;"|"&amp;$B282,""),"")</f>
        <v>|</v>
      </c>
      <c r="P282" t="str">
        <f ca="1">IF($K282="Yes",COUNTIFS($K$4:$K282,"Yes"),"")</f>
        <v/>
      </c>
      <c r="Q282">
        <f t="shared" ca="1" si="15"/>
        <v>0</v>
      </c>
      <c r="R282" t="str">
        <f ca="1">IF($Q282=1,SUM($Q$4:$Q282),"")</f>
        <v/>
      </c>
    </row>
    <row r="283" spans="1:18" ht="14.25" customHeight="1" x14ac:dyDescent="0.3">
      <c r="A283" s="2"/>
      <c r="B283" s="2"/>
      <c r="C283" s="3"/>
      <c r="D283" s="3"/>
      <c r="E283" s="2"/>
      <c r="F283" s="2"/>
      <c r="G283" s="5"/>
      <c r="H283" s="5"/>
      <c r="I283" s="4"/>
      <c r="J283" s="6" t="str">
        <f t="shared" si="14"/>
        <v/>
      </c>
      <c r="K283" s="4" t="str">
        <f t="shared" ca="1" si="16"/>
        <v/>
      </c>
      <c r="L283" s="7" t="str">
        <f>IF($H283="","",$H283-'[2]Read Me'!$B$4)</f>
        <v/>
      </c>
      <c r="M283" s="4" t="str">
        <f>IF($I283="Complete","Green",IF($H283="","Amber",IF($H283&lt;'[2]Read Me'!$B$4,"Red",IF($H283-'[2]Read Me'!$B$4&lt;=21,"Amber","Green"))))</f>
        <v>Amber</v>
      </c>
      <c r="N283" s="3"/>
      <c r="O283" t="str">
        <f>IF($I283&lt;&gt;"Complete",IF(COUNTIFS($A$4:$A282,$A283,$B$4:$B282,$B283,$I$4:$I282,"&lt;&gt;Complete")=0,$A283&amp;"|"&amp;$B283,""),"")</f>
        <v>|</v>
      </c>
      <c r="P283" t="str">
        <f ca="1">IF($K283="Yes",COUNTIFS($K$4:$K283,"Yes"),"")</f>
        <v/>
      </c>
      <c r="Q283">
        <f t="shared" ca="1" si="15"/>
        <v>0</v>
      </c>
      <c r="R283" t="str">
        <f ca="1">IF($Q283=1,SUM($Q$4:$Q283),"")</f>
        <v/>
      </c>
    </row>
    <row r="284" spans="1:18" ht="14.25" customHeight="1" x14ac:dyDescent="0.3">
      <c r="A284" s="2"/>
      <c r="B284" s="2"/>
      <c r="C284" s="3"/>
      <c r="D284" s="3"/>
      <c r="E284" s="2"/>
      <c r="F284" s="2"/>
      <c r="G284" s="5"/>
      <c r="H284" s="5"/>
      <c r="I284" s="4"/>
      <c r="J284" s="6" t="str">
        <f t="shared" si="14"/>
        <v/>
      </c>
      <c r="K284" s="4" t="str">
        <f t="shared" ca="1" si="16"/>
        <v/>
      </c>
      <c r="L284" s="7" t="str">
        <f>IF($H284="","",$H284-'[2]Read Me'!$B$4)</f>
        <v/>
      </c>
      <c r="M284" s="4" t="str">
        <f>IF($I284="Complete","Green",IF($H284="","Amber",IF($H284&lt;'[2]Read Me'!$B$4,"Red",IF($H284-'[2]Read Me'!$B$4&lt;=21,"Amber","Green"))))</f>
        <v>Amber</v>
      </c>
      <c r="N284" s="3"/>
      <c r="O284" t="str">
        <f>IF($I284&lt;&gt;"Complete",IF(COUNTIFS($A$4:$A283,$A284,$B$4:$B283,$B284,$I$4:$I283,"&lt;&gt;Complete")=0,$A284&amp;"|"&amp;$B284,""),"")</f>
        <v>|</v>
      </c>
      <c r="P284" t="str">
        <f ca="1">IF($K284="Yes",COUNTIFS($K$4:$K284,"Yes"),"")</f>
        <v/>
      </c>
      <c r="Q284">
        <f t="shared" ca="1" si="15"/>
        <v>0</v>
      </c>
      <c r="R284" t="str">
        <f ca="1">IF($Q284=1,SUM($Q$4:$Q284),"")</f>
        <v/>
      </c>
    </row>
    <row r="285" spans="1:18" ht="14.25" customHeight="1" x14ac:dyDescent="0.3">
      <c r="A285" s="2"/>
      <c r="B285" s="2"/>
      <c r="C285" s="3"/>
      <c r="D285" s="3"/>
      <c r="E285" s="2"/>
      <c r="F285" s="2"/>
      <c r="G285" s="5"/>
      <c r="H285" s="5"/>
      <c r="I285" s="4"/>
      <c r="J285" s="6" t="str">
        <f t="shared" si="14"/>
        <v/>
      </c>
      <c r="K285" s="4" t="str">
        <f t="shared" ca="1" si="16"/>
        <v/>
      </c>
      <c r="L285" s="7" t="str">
        <f>IF($H285="","",$H285-'[2]Read Me'!$B$4)</f>
        <v/>
      </c>
      <c r="M285" s="4" t="str">
        <f>IF($I285="Complete","Green",IF($H285="","Amber",IF($H285&lt;'[2]Read Me'!$B$4,"Red",IF($H285-'[2]Read Me'!$B$4&lt;=21,"Amber","Green"))))</f>
        <v>Amber</v>
      </c>
      <c r="N285" s="3"/>
      <c r="O285" t="str">
        <f>IF($I285&lt;&gt;"Complete",IF(COUNTIFS($A$4:$A284,$A285,$B$4:$B284,$B285,$I$4:$I284,"&lt;&gt;Complete")=0,$A285&amp;"|"&amp;$B285,""),"")</f>
        <v>|</v>
      </c>
      <c r="P285" t="str">
        <f ca="1">IF($K285="Yes",COUNTIFS($K$4:$K285,"Yes"),"")</f>
        <v/>
      </c>
      <c r="Q285">
        <f t="shared" ca="1" si="15"/>
        <v>0</v>
      </c>
      <c r="R285" t="str">
        <f ca="1">IF($Q285=1,SUM($Q$4:$Q285),"")</f>
        <v/>
      </c>
    </row>
    <row r="286" spans="1:18" ht="14.25" customHeight="1" x14ac:dyDescent="0.3">
      <c r="A286" s="2"/>
      <c r="B286" s="2"/>
      <c r="C286" s="3"/>
      <c r="D286" s="3"/>
      <c r="E286" s="2"/>
      <c r="F286" s="2"/>
      <c r="G286" s="5"/>
      <c r="H286" s="5"/>
      <c r="I286" s="4"/>
      <c r="J286" s="6" t="str">
        <f t="shared" si="14"/>
        <v/>
      </c>
      <c r="K286" s="4" t="str">
        <f t="shared" ca="1" si="16"/>
        <v/>
      </c>
      <c r="L286" s="7" t="str">
        <f>IF($H286="","",$H286-'[2]Read Me'!$B$4)</f>
        <v/>
      </c>
      <c r="M286" s="4" t="str">
        <f>IF($I286="Complete","Green",IF($H286="","Amber",IF($H286&lt;'[2]Read Me'!$B$4,"Red",IF($H286-'[2]Read Me'!$B$4&lt;=21,"Amber","Green"))))</f>
        <v>Amber</v>
      </c>
      <c r="N286" s="3"/>
      <c r="O286" t="str">
        <f>IF($I286&lt;&gt;"Complete",IF(COUNTIFS($A$4:$A285,$A286,$B$4:$B285,$B286,$I$4:$I285,"&lt;&gt;Complete")=0,$A286&amp;"|"&amp;$B286,""),"")</f>
        <v>|</v>
      </c>
      <c r="P286" t="str">
        <f ca="1">IF($K286="Yes",COUNTIFS($K$4:$K286,"Yes"),"")</f>
        <v/>
      </c>
      <c r="Q286">
        <f t="shared" ca="1" si="15"/>
        <v>0</v>
      </c>
      <c r="R286" t="str">
        <f ca="1">IF($Q286=1,SUM($Q$4:$Q286),"")</f>
        <v/>
      </c>
    </row>
    <row r="287" spans="1:18" ht="14.25" customHeight="1" x14ac:dyDescent="0.3">
      <c r="A287" s="2"/>
      <c r="B287" s="2"/>
      <c r="C287" s="3"/>
      <c r="D287" s="3"/>
      <c r="E287" s="2"/>
      <c r="F287" s="2"/>
      <c r="G287" s="5"/>
      <c r="H287" s="5"/>
      <c r="I287" s="4"/>
      <c r="J287" s="6" t="str">
        <f t="shared" si="14"/>
        <v/>
      </c>
      <c r="K287" s="4" t="str">
        <f t="shared" ca="1" si="16"/>
        <v/>
      </c>
      <c r="L287" s="7" t="str">
        <f>IF($H287="","",$H287-'[2]Read Me'!$B$4)</f>
        <v/>
      </c>
      <c r="M287" s="4" t="str">
        <f>IF($I287="Complete","Green",IF($H287="","Amber",IF($H287&lt;'[2]Read Me'!$B$4,"Red",IF($H287-'[2]Read Me'!$B$4&lt;=21,"Amber","Green"))))</f>
        <v>Amber</v>
      </c>
      <c r="N287" s="3"/>
      <c r="O287" t="str">
        <f>IF($I287&lt;&gt;"Complete",IF(COUNTIFS($A$4:$A286,$A287,$B$4:$B286,$B287,$I$4:$I286,"&lt;&gt;Complete")=0,$A287&amp;"|"&amp;$B287,""),"")</f>
        <v>|</v>
      </c>
      <c r="P287" t="str">
        <f ca="1">IF($K287="Yes",COUNTIFS($K$4:$K287,"Yes"),"")</f>
        <v/>
      </c>
      <c r="Q287">
        <f t="shared" ca="1" si="15"/>
        <v>0</v>
      </c>
      <c r="R287" t="str">
        <f ca="1">IF($Q287=1,SUM($Q$4:$Q287),"")</f>
        <v/>
      </c>
    </row>
    <row r="288" spans="1:18" ht="14.25" customHeight="1" x14ac:dyDescent="0.3">
      <c r="A288" s="2"/>
      <c r="B288" s="2"/>
      <c r="C288" s="3"/>
      <c r="D288" s="3"/>
      <c r="E288" s="2"/>
      <c r="F288" s="2"/>
      <c r="G288" s="5"/>
      <c r="H288" s="5"/>
      <c r="I288" s="4"/>
      <c r="J288" s="6" t="str">
        <f t="shared" si="14"/>
        <v/>
      </c>
      <c r="K288" s="4" t="str">
        <f t="shared" ca="1" si="16"/>
        <v/>
      </c>
      <c r="L288" s="7" t="str">
        <f>IF($H288="","",$H288-'[2]Read Me'!$B$4)</f>
        <v/>
      </c>
      <c r="M288" s="4" t="str">
        <f>IF($I288="Complete","Green",IF($H288="","Amber",IF($H288&lt;'[2]Read Me'!$B$4,"Red",IF($H288-'[2]Read Me'!$B$4&lt;=21,"Amber","Green"))))</f>
        <v>Amber</v>
      </c>
      <c r="N288" s="3"/>
      <c r="O288" t="str">
        <f>IF($I288&lt;&gt;"Complete",IF(COUNTIFS($A$4:$A287,$A288,$B$4:$B287,$B288,$I$4:$I287,"&lt;&gt;Complete")=0,$A288&amp;"|"&amp;$B288,""),"")</f>
        <v>|</v>
      </c>
      <c r="P288" t="str">
        <f ca="1">IF($K288="Yes",COUNTIFS($K$4:$K288,"Yes"),"")</f>
        <v/>
      </c>
      <c r="Q288">
        <f t="shared" ca="1" si="15"/>
        <v>0</v>
      </c>
      <c r="R288" t="str">
        <f ca="1">IF($Q288=1,SUM($Q$4:$Q288),"")</f>
        <v/>
      </c>
    </row>
    <row r="289" spans="1:18" ht="14.25" customHeight="1" x14ac:dyDescent="0.3">
      <c r="A289" s="2"/>
      <c r="B289" s="2"/>
      <c r="C289" s="3"/>
      <c r="D289" s="3"/>
      <c r="E289" s="2"/>
      <c r="F289" s="2"/>
      <c r="G289" s="5"/>
      <c r="H289" s="5"/>
      <c r="I289" s="4"/>
      <c r="J289" s="6" t="str">
        <f t="shared" si="14"/>
        <v/>
      </c>
      <c r="K289" s="4" t="str">
        <f t="shared" ca="1" si="16"/>
        <v/>
      </c>
      <c r="L289" s="7" t="str">
        <f>IF($H289="","",$H289-'[2]Read Me'!$B$4)</f>
        <v/>
      </c>
      <c r="M289" s="4" t="str">
        <f>IF($I289="Complete","Green",IF($H289="","Amber",IF($H289&lt;'[2]Read Me'!$B$4,"Red",IF($H289-'[2]Read Me'!$B$4&lt;=21,"Amber","Green"))))</f>
        <v>Amber</v>
      </c>
      <c r="N289" s="3"/>
      <c r="O289" t="str">
        <f>IF($I289&lt;&gt;"Complete",IF(COUNTIFS($A$4:$A288,$A289,$B$4:$B288,$B289,$I$4:$I288,"&lt;&gt;Complete")=0,$A289&amp;"|"&amp;$B289,""),"")</f>
        <v>|</v>
      </c>
      <c r="P289" t="str">
        <f ca="1">IF($K289="Yes",COUNTIFS($K$4:$K289,"Yes"),"")</f>
        <v/>
      </c>
      <c r="Q289">
        <f t="shared" ca="1" si="15"/>
        <v>0</v>
      </c>
      <c r="R289" t="str">
        <f ca="1">IF($Q289=1,SUM($Q$4:$Q289),"")</f>
        <v/>
      </c>
    </row>
    <row r="290" spans="1:18" ht="14.25" customHeight="1" x14ac:dyDescent="0.3">
      <c r="A290" s="2"/>
      <c r="B290" s="2"/>
      <c r="C290" s="3"/>
      <c r="D290" s="3"/>
      <c r="E290" s="2"/>
      <c r="F290" s="2"/>
      <c r="G290" s="5"/>
      <c r="H290" s="5"/>
      <c r="I290" s="4"/>
      <c r="J290" s="6" t="str">
        <f t="shared" si="14"/>
        <v/>
      </c>
      <c r="K290" s="4" t="str">
        <f t="shared" ca="1" si="16"/>
        <v/>
      </c>
      <c r="L290" s="7" t="str">
        <f>IF($H290="","",$H290-'[2]Read Me'!$B$4)</f>
        <v/>
      </c>
      <c r="M290" s="4" t="str">
        <f>IF($I290="Complete","Green",IF($H290="","Amber",IF($H290&lt;'[2]Read Me'!$B$4,"Red",IF($H290-'[2]Read Me'!$B$4&lt;=21,"Amber","Green"))))</f>
        <v>Amber</v>
      </c>
      <c r="N290" s="3"/>
      <c r="O290" t="str">
        <f>IF($I290&lt;&gt;"Complete",IF(COUNTIFS($A$4:$A289,$A290,$B$4:$B289,$B290,$I$4:$I289,"&lt;&gt;Complete")=0,$A290&amp;"|"&amp;$B290,""),"")</f>
        <v>|</v>
      </c>
      <c r="P290" t="str">
        <f ca="1">IF($K290="Yes",COUNTIFS($K$4:$K290,"Yes"),"")</f>
        <v/>
      </c>
      <c r="Q290">
        <f t="shared" ca="1" si="15"/>
        <v>0</v>
      </c>
      <c r="R290" t="str">
        <f ca="1">IF($Q290=1,SUM($Q$4:$Q290),"")</f>
        <v/>
      </c>
    </row>
    <row r="291" spans="1:18" ht="14.25" customHeight="1" x14ac:dyDescent="0.3">
      <c r="A291" s="2"/>
      <c r="B291" s="2"/>
      <c r="C291" s="3"/>
      <c r="D291" s="3"/>
      <c r="E291" s="2"/>
      <c r="F291" s="2"/>
      <c r="G291" s="5"/>
      <c r="H291" s="5"/>
      <c r="I291" s="4"/>
      <c r="J291" s="6" t="str">
        <f t="shared" si="14"/>
        <v/>
      </c>
      <c r="K291" s="4" t="str">
        <f t="shared" ca="1" si="16"/>
        <v/>
      </c>
      <c r="L291" s="7" t="str">
        <f>IF($H291="","",$H291-'[2]Read Me'!$B$4)</f>
        <v/>
      </c>
      <c r="M291" s="4" t="str">
        <f>IF($I291="Complete","Green",IF($H291="","Amber",IF($H291&lt;'[2]Read Me'!$B$4,"Red",IF($H291-'[2]Read Me'!$B$4&lt;=21,"Amber","Green"))))</f>
        <v>Amber</v>
      </c>
      <c r="N291" s="3"/>
      <c r="O291" t="str">
        <f>IF($I291&lt;&gt;"Complete",IF(COUNTIFS($A$4:$A290,$A291,$B$4:$B290,$B291,$I$4:$I290,"&lt;&gt;Complete")=0,$A291&amp;"|"&amp;$B291,""),"")</f>
        <v>|</v>
      </c>
      <c r="P291" t="str">
        <f ca="1">IF($K291="Yes",COUNTIFS($K$4:$K291,"Yes"),"")</f>
        <v/>
      </c>
      <c r="Q291">
        <f t="shared" ca="1" si="15"/>
        <v>0</v>
      </c>
      <c r="R291" t="str">
        <f ca="1">IF($Q291=1,SUM($Q$4:$Q291),"")</f>
        <v/>
      </c>
    </row>
    <row r="292" spans="1:18" ht="14.25" customHeight="1" x14ac:dyDescent="0.3">
      <c r="A292" s="2"/>
      <c r="B292" s="2"/>
      <c r="C292" s="3"/>
      <c r="D292" s="3"/>
      <c r="E292" s="2"/>
      <c r="F292" s="2"/>
      <c r="G292" s="5"/>
      <c r="H292" s="5"/>
      <c r="I292" s="4"/>
      <c r="J292" s="6" t="str">
        <f t="shared" si="14"/>
        <v/>
      </c>
      <c r="K292" s="4" t="str">
        <f t="shared" ca="1" si="16"/>
        <v/>
      </c>
      <c r="L292" s="7" t="str">
        <f>IF($H292="","",$H292-'[2]Read Me'!$B$4)</f>
        <v/>
      </c>
      <c r="M292" s="4" t="str">
        <f>IF($I292="Complete","Green",IF($H292="","Amber",IF($H292&lt;'[2]Read Me'!$B$4,"Red",IF($H292-'[2]Read Me'!$B$4&lt;=21,"Amber","Green"))))</f>
        <v>Amber</v>
      </c>
      <c r="N292" s="3"/>
      <c r="O292" t="str">
        <f>IF($I292&lt;&gt;"Complete",IF(COUNTIFS($A$4:$A291,$A292,$B$4:$B291,$B292,$I$4:$I291,"&lt;&gt;Complete")=0,$A292&amp;"|"&amp;$B292,""),"")</f>
        <v>|</v>
      </c>
      <c r="P292" t="str">
        <f ca="1">IF($K292="Yes",COUNTIFS($K$4:$K292,"Yes"),"")</f>
        <v/>
      </c>
      <c r="Q292">
        <f t="shared" ca="1" si="15"/>
        <v>0</v>
      </c>
      <c r="R292" t="str">
        <f ca="1">IF($Q292=1,SUM($Q$4:$Q292),"")</f>
        <v/>
      </c>
    </row>
    <row r="293" spans="1:18" ht="22.5" customHeight="1" x14ac:dyDescent="0.3">
      <c r="A293" s="2"/>
      <c r="B293" s="2"/>
      <c r="C293" s="3"/>
      <c r="D293" s="3"/>
      <c r="E293" s="2"/>
      <c r="F293" s="2"/>
      <c r="G293" s="5"/>
      <c r="H293" s="5"/>
      <c r="I293" s="4"/>
      <c r="J293" s="6" t="str">
        <f t="shared" si="14"/>
        <v/>
      </c>
      <c r="K293" s="4" t="str">
        <f t="shared" ca="1" si="16"/>
        <v/>
      </c>
      <c r="L293" s="7" t="str">
        <f>IF($H293="","",$H293-'[2]Read Me'!$B$4)</f>
        <v/>
      </c>
      <c r="M293" s="4" t="str">
        <f>IF($I293="Complete","Green",IF($H293="","Amber",IF($H293&lt;'[2]Read Me'!$B$4,"Red",IF($H293-'[2]Read Me'!$B$4&lt;=21,"Amber","Green"))))</f>
        <v>Amber</v>
      </c>
      <c r="N293" s="3"/>
      <c r="O293" t="str">
        <f>IF($I293&lt;&gt;"Complete",IF(COUNTIFS($A$4:$A292,$A293,$B$4:$B292,$B293,$I$4:$I292,"&lt;&gt;Complete")=0,$A293&amp;"|"&amp;$B293,""),"")</f>
        <v>|</v>
      </c>
      <c r="P293" t="str">
        <f ca="1">IF($K293="Yes",COUNTIFS($K$4:$K293,"Yes"),"")</f>
        <v/>
      </c>
      <c r="Q293">
        <f t="shared" ca="1" si="15"/>
        <v>0</v>
      </c>
      <c r="R293" t="str">
        <f ca="1">IF($Q293=1,SUM($Q$4:$Q293),"")</f>
        <v/>
      </c>
    </row>
    <row r="294" spans="1:18" ht="22.5" customHeight="1" x14ac:dyDescent="0.3">
      <c r="A294" s="2"/>
      <c r="B294" s="2"/>
      <c r="C294" s="3"/>
      <c r="D294" s="3"/>
      <c r="E294" s="2"/>
      <c r="F294" s="2"/>
      <c r="G294" s="5"/>
      <c r="H294" s="5"/>
      <c r="I294" s="4"/>
      <c r="J294" s="6" t="str">
        <f t="shared" si="14"/>
        <v/>
      </c>
      <c r="K294" s="4" t="str">
        <f t="shared" ca="1" si="16"/>
        <v/>
      </c>
      <c r="L294" s="7" t="str">
        <f>IF($H294="","",$H294-'[2]Read Me'!$B$4)</f>
        <v/>
      </c>
      <c r="M294" s="4" t="str">
        <f>IF($I294="Complete","Green",IF($H294="","Amber",IF($H294&lt;'[2]Read Me'!$B$4,"Red",IF($H294-'[2]Read Me'!$B$4&lt;=21,"Amber","Green"))))</f>
        <v>Amber</v>
      </c>
      <c r="N294" s="3"/>
      <c r="O294" t="str">
        <f>IF($I294&lt;&gt;"Complete",IF(COUNTIFS($A$4:$A293,$A294,$B$4:$B293,$B294,$I$4:$I293,"&lt;&gt;Complete")=0,$A294&amp;"|"&amp;$B294,""),"")</f>
        <v>|</v>
      </c>
      <c r="P294" t="str">
        <f ca="1">IF($K294="Yes",COUNTIFS($K$4:$K294,"Yes"),"")</f>
        <v/>
      </c>
      <c r="Q294">
        <f t="shared" ca="1" si="15"/>
        <v>0</v>
      </c>
      <c r="R294" t="str">
        <f ca="1">IF($Q294=1,SUM($Q$4:$Q294),"")</f>
        <v/>
      </c>
    </row>
    <row r="295" spans="1:18" ht="22.5" customHeight="1" x14ac:dyDescent="0.3">
      <c r="A295" s="2"/>
      <c r="B295" s="2"/>
      <c r="C295" s="3"/>
      <c r="D295" s="3"/>
      <c r="E295" s="2"/>
      <c r="F295" s="2"/>
      <c r="G295" s="5"/>
      <c r="H295" s="5"/>
      <c r="I295" s="4"/>
      <c r="J295" s="6" t="str">
        <f t="shared" si="14"/>
        <v/>
      </c>
      <c r="K295" s="4" t="str">
        <f t="shared" ca="1" si="16"/>
        <v/>
      </c>
      <c r="L295" s="7" t="str">
        <f>IF($H295="","",$H295-'[2]Read Me'!$B$4)</f>
        <v/>
      </c>
      <c r="M295" s="4" t="str">
        <f>IF($I295="Complete","Green",IF($H295="","Amber",IF($H295&lt;'[2]Read Me'!$B$4,"Red",IF($H295-'[2]Read Me'!$B$4&lt;=21,"Amber","Green"))))</f>
        <v>Amber</v>
      </c>
      <c r="N295" s="3"/>
      <c r="O295" t="str">
        <f>IF($I295&lt;&gt;"Complete",IF(COUNTIFS($A$4:$A294,$A295,$B$4:$B294,$B295,$I$4:$I294,"&lt;&gt;Complete")=0,$A295&amp;"|"&amp;$B295,""),"")</f>
        <v>|</v>
      </c>
      <c r="P295" t="str">
        <f ca="1">IF($K295="Yes",COUNTIFS($K$4:$K295,"Yes"),"")</f>
        <v/>
      </c>
      <c r="Q295">
        <f t="shared" ca="1" si="15"/>
        <v>0</v>
      </c>
      <c r="R295" t="str">
        <f ca="1">IF($Q295=1,SUM($Q$4:$Q295),"")</f>
        <v/>
      </c>
    </row>
    <row r="296" spans="1:18" ht="22.5" customHeight="1" x14ac:dyDescent="0.3">
      <c r="A296" s="2"/>
      <c r="B296" s="2"/>
      <c r="C296" s="3"/>
      <c r="D296" s="3"/>
      <c r="E296" s="2"/>
      <c r="F296" s="2"/>
      <c r="G296" s="5"/>
      <c r="H296" s="5"/>
      <c r="I296" s="4"/>
      <c r="J296" s="6" t="str">
        <f t="shared" si="14"/>
        <v/>
      </c>
      <c r="K296" s="4" t="str">
        <f t="shared" ca="1" si="16"/>
        <v/>
      </c>
      <c r="L296" s="7" t="str">
        <f>IF($H296="","",$H296-'[2]Read Me'!$B$4)</f>
        <v/>
      </c>
      <c r="M296" s="4" t="str">
        <f>IF($I296="Complete","Green",IF($H296="","Amber",IF($H296&lt;'[2]Read Me'!$B$4,"Red",IF($H296-'[2]Read Me'!$B$4&lt;=21,"Amber","Green"))))</f>
        <v>Amber</v>
      </c>
      <c r="N296" s="3"/>
      <c r="O296" t="str">
        <f>IF($I296&lt;&gt;"Complete",IF(COUNTIFS($A$4:$A295,$A296,$B$4:$B295,$B296,$I$4:$I295,"&lt;&gt;Complete")=0,$A296&amp;"|"&amp;$B296,""),"")</f>
        <v>|</v>
      </c>
      <c r="P296" t="str">
        <f ca="1">IF($K296="Yes",COUNTIFS($K$4:$K296,"Yes"),"")</f>
        <v/>
      </c>
      <c r="Q296">
        <f t="shared" ca="1" si="15"/>
        <v>0</v>
      </c>
      <c r="R296" t="str">
        <f ca="1">IF($Q296=1,SUM($Q$4:$Q296),"")</f>
        <v/>
      </c>
    </row>
    <row r="297" spans="1:18" ht="22.5" customHeight="1" x14ac:dyDescent="0.3">
      <c r="A297" s="2"/>
      <c r="B297" s="2"/>
      <c r="C297" s="3"/>
      <c r="D297" s="3"/>
      <c r="E297" s="2"/>
      <c r="F297" s="2"/>
      <c r="G297" s="5"/>
      <c r="H297" s="5"/>
      <c r="I297" s="4"/>
      <c r="J297" s="6" t="str">
        <f t="shared" si="14"/>
        <v/>
      </c>
      <c r="K297" s="4" t="str">
        <f t="shared" ca="1" si="16"/>
        <v/>
      </c>
      <c r="L297" s="7" t="str">
        <f>IF($H297="","",$H297-'[2]Read Me'!$B$4)</f>
        <v/>
      </c>
      <c r="M297" s="4" t="str">
        <f>IF($I297="Complete","Green",IF($H297="","Amber",IF($H297&lt;'[2]Read Me'!$B$4,"Red",IF($H297-'[2]Read Me'!$B$4&lt;=21,"Amber","Green"))))</f>
        <v>Amber</v>
      </c>
      <c r="N297" s="3"/>
      <c r="O297" t="str">
        <f>IF($I297&lt;&gt;"Complete",IF(COUNTIFS($A$4:$A296,$A297,$B$4:$B296,$B297,$I$4:$I296,"&lt;&gt;Complete")=0,$A297&amp;"|"&amp;$B297,""),"")</f>
        <v>|</v>
      </c>
      <c r="P297" t="str">
        <f ca="1">IF($K297="Yes",COUNTIFS($K$4:$K297,"Yes"),"")</f>
        <v/>
      </c>
      <c r="Q297">
        <f t="shared" ca="1" si="15"/>
        <v>0</v>
      </c>
      <c r="R297" t="str">
        <f ca="1">IF($Q297=1,SUM($Q$4:$Q297),"")</f>
        <v/>
      </c>
    </row>
    <row r="298" spans="1:18" ht="22.5" customHeight="1" x14ac:dyDescent="0.3">
      <c r="A298" s="2"/>
      <c r="B298" s="2"/>
      <c r="C298" s="3"/>
      <c r="D298" s="3"/>
      <c r="E298" s="2"/>
      <c r="F298" s="2"/>
      <c r="G298" s="5"/>
      <c r="H298" s="5"/>
      <c r="I298" s="4"/>
      <c r="J298" s="6" t="str">
        <f t="shared" si="14"/>
        <v/>
      </c>
      <c r="K298" s="4" t="str">
        <f t="shared" ca="1" si="16"/>
        <v/>
      </c>
      <c r="L298" s="7" t="str">
        <f>IF($H298="","",$H298-'[2]Read Me'!$B$4)</f>
        <v/>
      </c>
      <c r="M298" s="4" t="str">
        <f>IF($I298="Complete","Green",IF($H298="","Amber",IF($H298&lt;'[2]Read Me'!$B$4,"Red",IF($H298-'[2]Read Me'!$B$4&lt;=21,"Amber","Green"))))</f>
        <v>Amber</v>
      </c>
      <c r="N298" s="3"/>
      <c r="O298" t="str">
        <f>IF($I298&lt;&gt;"Complete",IF(COUNTIFS($A$4:$A297,$A298,$B$4:$B297,$B298,$I$4:$I297,"&lt;&gt;Complete")=0,$A298&amp;"|"&amp;$B298,""),"")</f>
        <v>|</v>
      </c>
      <c r="P298" t="str">
        <f ca="1">IF($K298="Yes",COUNTIFS($K$4:$K298,"Yes"),"")</f>
        <v/>
      </c>
      <c r="Q298">
        <f t="shared" ca="1" si="15"/>
        <v>0</v>
      </c>
      <c r="R298" t="str">
        <f ca="1">IF($Q298=1,SUM($Q$4:$Q298),"")</f>
        <v/>
      </c>
    </row>
    <row r="299" spans="1:18" ht="22.5" customHeight="1" x14ac:dyDescent="0.3">
      <c r="A299" s="2"/>
      <c r="B299" s="2"/>
      <c r="C299" s="3"/>
      <c r="D299" s="3"/>
      <c r="E299" s="2"/>
      <c r="F299" s="2"/>
      <c r="G299" s="5"/>
      <c r="H299" s="5"/>
      <c r="I299" s="4"/>
      <c r="J299" s="6" t="str">
        <f t="shared" si="14"/>
        <v/>
      </c>
      <c r="K299" s="4" t="str">
        <f t="shared" ca="1" si="16"/>
        <v/>
      </c>
      <c r="L299" s="7" t="str">
        <f>IF($H299="","",$H299-'[2]Read Me'!$B$4)</f>
        <v/>
      </c>
      <c r="M299" s="4" t="str">
        <f>IF($I299="Complete","Green",IF($H299="","Amber",IF($H299&lt;'[2]Read Me'!$B$4,"Red",IF($H299-'[2]Read Me'!$B$4&lt;=21,"Amber","Green"))))</f>
        <v>Amber</v>
      </c>
      <c r="N299" s="3"/>
      <c r="O299" t="str">
        <f>IF($I299&lt;&gt;"Complete",IF(COUNTIFS($A$4:$A298,$A299,$B$4:$B298,$B299,$I$4:$I298,"&lt;&gt;Complete")=0,$A299&amp;"|"&amp;$B299,""),"")</f>
        <v>|</v>
      </c>
      <c r="P299" t="str">
        <f ca="1">IF($K299="Yes",COUNTIFS($K$4:$K299,"Yes"),"")</f>
        <v/>
      </c>
      <c r="Q299">
        <f t="shared" ca="1" si="15"/>
        <v>0</v>
      </c>
      <c r="R299" t="str">
        <f ca="1">IF($Q299=1,SUM($Q$4:$Q299),"")</f>
        <v/>
      </c>
    </row>
    <row r="300" spans="1:18" ht="22.5" customHeight="1" x14ac:dyDescent="0.3">
      <c r="A300" s="2"/>
      <c r="B300" s="2"/>
      <c r="C300" s="3"/>
      <c r="D300" s="3"/>
      <c r="E300" s="2"/>
      <c r="F300" s="2"/>
      <c r="G300" s="5"/>
      <c r="H300" s="5"/>
      <c r="I300" s="4"/>
      <c r="J300" s="6" t="str">
        <f t="shared" si="14"/>
        <v/>
      </c>
      <c r="K300" s="4" t="str">
        <f t="shared" ca="1" si="16"/>
        <v/>
      </c>
      <c r="L300" s="7" t="str">
        <f>IF($H300="","",$H300-'[2]Read Me'!$B$4)</f>
        <v/>
      </c>
      <c r="M300" s="4" t="str">
        <f>IF($I300="Complete","Green",IF($H300="","Amber",IF($H300&lt;'[2]Read Me'!$B$4,"Red",IF($H300-'[2]Read Me'!$B$4&lt;=21,"Amber","Green"))))</f>
        <v>Amber</v>
      </c>
      <c r="N300" s="3"/>
      <c r="O300" t="str">
        <f>IF($I300&lt;&gt;"Complete",IF(COUNTIFS($A$4:$A299,$A300,$B$4:$B299,$B300,$I$4:$I299,"&lt;&gt;Complete")=0,$A300&amp;"|"&amp;$B300,""),"")</f>
        <v>|</v>
      </c>
      <c r="P300" t="str">
        <f ca="1">IF($K300="Yes",COUNTIFS($K$4:$K300,"Yes"),"")</f>
        <v/>
      </c>
      <c r="Q300">
        <f t="shared" ca="1" si="15"/>
        <v>0</v>
      </c>
      <c r="R300" t="str">
        <f ca="1">IF($Q300=1,SUM($Q$4:$Q300),"")</f>
        <v/>
      </c>
    </row>
    <row r="301" spans="1:18" ht="22.5" customHeight="1" x14ac:dyDescent="0.3">
      <c r="A301" s="2"/>
      <c r="B301" s="2"/>
      <c r="C301" s="3"/>
      <c r="D301" s="3"/>
      <c r="E301" s="2"/>
      <c r="F301" s="2"/>
      <c r="G301" s="5"/>
      <c r="H301" s="5"/>
      <c r="I301" s="4"/>
      <c r="J301" s="6" t="str">
        <f t="shared" si="14"/>
        <v/>
      </c>
      <c r="K301" s="4" t="str">
        <f t="shared" ca="1" si="16"/>
        <v/>
      </c>
      <c r="L301" s="7" t="str">
        <f>IF($H301="","",$H301-'[2]Read Me'!$B$4)</f>
        <v/>
      </c>
      <c r="M301" s="4" t="str">
        <f>IF($I301="Complete","Green",IF($H301="","Amber",IF($H301&lt;'[2]Read Me'!$B$4,"Red",IF($H301-'[2]Read Me'!$B$4&lt;=21,"Amber","Green"))))</f>
        <v>Amber</v>
      </c>
      <c r="N301" s="3"/>
      <c r="O301" t="str">
        <f>IF($I301&lt;&gt;"Complete",IF(COUNTIFS($A$4:$A300,$A301,$B$4:$B300,$B301,$I$4:$I300,"&lt;&gt;Complete")=0,$A301&amp;"|"&amp;$B301,""),"")</f>
        <v>|</v>
      </c>
      <c r="P301" t="str">
        <f ca="1">IF($K301="Yes",COUNTIFS($K$4:$K301,"Yes"),"")</f>
        <v/>
      </c>
      <c r="Q301">
        <f t="shared" ca="1" si="15"/>
        <v>0</v>
      </c>
      <c r="R301" t="str">
        <f ca="1">IF($Q301=1,SUM($Q$4:$Q301),"")</f>
        <v/>
      </c>
    </row>
    <row r="302" spans="1:18" ht="22.5" customHeight="1" x14ac:dyDescent="0.3">
      <c r="A302" s="2"/>
      <c r="B302" s="2"/>
      <c r="C302" s="3"/>
      <c r="D302" s="3"/>
      <c r="E302" s="2"/>
      <c r="F302" s="2"/>
      <c r="G302" s="5"/>
      <c r="H302" s="5"/>
      <c r="I302" s="4"/>
      <c r="J302" s="6" t="str">
        <f t="shared" si="14"/>
        <v/>
      </c>
      <c r="K302" s="4" t="str">
        <f t="shared" ca="1" si="16"/>
        <v/>
      </c>
      <c r="L302" s="7" t="str">
        <f>IF($H302="","",$H302-'[2]Read Me'!$B$4)</f>
        <v/>
      </c>
      <c r="M302" s="4" t="str">
        <f>IF($I302="Complete","Green",IF($H302="","Amber",IF($H302&lt;'[2]Read Me'!$B$4,"Red",IF($H302-'[2]Read Me'!$B$4&lt;=21,"Amber","Green"))))</f>
        <v>Amber</v>
      </c>
      <c r="N302" s="3"/>
      <c r="O302" t="str">
        <f>IF($I302&lt;&gt;"Complete",IF(COUNTIFS($A$4:$A301,$A302,$B$4:$B301,$B302,$I$4:$I301,"&lt;&gt;Complete")=0,$A302&amp;"|"&amp;$B302,""),"")</f>
        <v>|</v>
      </c>
      <c r="P302" t="str">
        <f ca="1">IF($K302="Yes",COUNTIFS($K$4:$K302,"Yes"),"")</f>
        <v/>
      </c>
      <c r="Q302">
        <f t="shared" ca="1" si="15"/>
        <v>0</v>
      </c>
      <c r="R302" t="str">
        <f ca="1">IF($Q302=1,SUM($Q$4:$Q302),"")</f>
        <v/>
      </c>
    </row>
    <row r="303" spans="1:18" ht="22.5" customHeight="1" x14ac:dyDescent="0.3">
      <c r="A303" s="2"/>
      <c r="B303" s="2"/>
      <c r="C303" s="3"/>
      <c r="D303" s="3"/>
      <c r="E303" s="2"/>
      <c r="F303" s="2"/>
      <c r="G303" s="5"/>
      <c r="H303" s="5"/>
      <c r="I303" s="4"/>
      <c r="J303" s="6" t="str">
        <f t="shared" si="14"/>
        <v/>
      </c>
      <c r="K303" s="4" t="str">
        <f t="shared" ca="1" si="16"/>
        <v/>
      </c>
      <c r="L303" s="7" t="str">
        <f>IF($H303="","",$H303-'[2]Read Me'!$B$4)</f>
        <v/>
      </c>
      <c r="M303" s="4" t="str">
        <f>IF($I303="Complete","Green",IF($H303="","Amber",IF($H303&lt;'[2]Read Me'!$B$4,"Red",IF($H303-'[2]Read Me'!$B$4&lt;=21,"Amber","Green"))))</f>
        <v>Amber</v>
      </c>
      <c r="N303" s="3"/>
      <c r="O303" t="str">
        <f>IF($I303&lt;&gt;"Complete",IF(COUNTIFS($A$4:$A302,$A303,$B$4:$B302,$B303,$I$4:$I302,"&lt;&gt;Complete")=0,$A303&amp;"|"&amp;$B303,""),"")</f>
        <v>|</v>
      </c>
      <c r="P303" t="str">
        <f ca="1">IF($K303="Yes",COUNTIFS($K$4:$K303,"Yes"),"")</f>
        <v/>
      </c>
      <c r="Q303">
        <f t="shared" ca="1" si="15"/>
        <v>0</v>
      </c>
      <c r="R303" t="str">
        <f ca="1">IF($Q303=1,SUM($Q$4:$Q303),"")</f>
        <v/>
      </c>
    </row>
    <row r="304" spans="1:18" ht="22.5" customHeight="1" x14ac:dyDescent="0.3">
      <c r="A304" s="2"/>
      <c r="B304" s="2"/>
      <c r="C304" s="3"/>
      <c r="D304" s="3"/>
      <c r="E304" s="2"/>
      <c r="F304" s="2"/>
      <c r="G304" s="5"/>
      <c r="H304" s="5"/>
      <c r="I304" s="4"/>
      <c r="J304" s="6" t="str">
        <f t="shared" si="14"/>
        <v/>
      </c>
      <c r="K304" s="4" t="str">
        <f t="shared" ca="1" si="16"/>
        <v/>
      </c>
      <c r="L304" s="7" t="str">
        <f>IF($H304="","",$H304-'[2]Read Me'!$B$4)</f>
        <v/>
      </c>
      <c r="M304" s="4" t="str">
        <f>IF($I304="Complete","Green",IF($H304="","Amber",IF($H304&lt;'[2]Read Me'!$B$4,"Red",IF($H304-'[2]Read Me'!$B$4&lt;=21,"Amber","Green"))))</f>
        <v>Amber</v>
      </c>
      <c r="N304" s="3"/>
      <c r="O304" t="str">
        <f>IF($I304&lt;&gt;"Complete",IF(COUNTIFS($A$4:$A303,$A304,$B$4:$B303,$B304,$I$4:$I303,"&lt;&gt;Complete")=0,$A304&amp;"|"&amp;$B304,""),"")</f>
        <v>|</v>
      </c>
      <c r="P304" t="str">
        <f ca="1">IF($K304="Yes",COUNTIFS($K$4:$K304,"Yes"),"")</f>
        <v/>
      </c>
      <c r="Q304">
        <f t="shared" ca="1" si="15"/>
        <v>0</v>
      </c>
      <c r="R304" t="str">
        <f ca="1">IF($Q304=1,SUM($Q$4:$Q304),"")</f>
        <v/>
      </c>
    </row>
    <row r="305" spans="1:18" ht="22.5" customHeight="1" x14ac:dyDescent="0.3">
      <c r="A305" s="2"/>
      <c r="B305" s="2"/>
      <c r="C305" s="3"/>
      <c r="D305" s="3"/>
      <c r="E305" s="2"/>
      <c r="F305" s="2"/>
      <c r="G305" s="5"/>
      <c r="H305" s="5"/>
      <c r="I305" s="4"/>
      <c r="J305" s="6" t="str">
        <f t="shared" si="14"/>
        <v/>
      </c>
      <c r="K305" s="4" t="str">
        <f t="shared" ca="1" si="16"/>
        <v/>
      </c>
      <c r="L305" s="7" t="str">
        <f>IF($H305="","",$H305-'[2]Read Me'!$B$4)</f>
        <v/>
      </c>
      <c r="M305" s="4" t="str">
        <f>IF($I305="Complete","Green",IF($H305="","Amber",IF($H305&lt;'[2]Read Me'!$B$4,"Red",IF($H305-'[2]Read Me'!$B$4&lt;=21,"Amber","Green"))))</f>
        <v>Amber</v>
      </c>
      <c r="N305" s="3"/>
      <c r="O305" t="str">
        <f>IF($I305&lt;&gt;"Complete",IF(COUNTIFS($A$4:$A304,$A305,$B$4:$B304,$B305,$I$4:$I304,"&lt;&gt;Complete")=0,$A305&amp;"|"&amp;$B305,""),"")</f>
        <v>|</v>
      </c>
      <c r="P305" t="str">
        <f ca="1">IF($K305="Yes",COUNTIFS($K$4:$K305,"Yes"),"")</f>
        <v/>
      </c>
      <c r="Q305">
        <f t="shared" ca="1" si="15"/>
        <v>0</v>
      </c>
      <c r="R305" t="str">
        <f ca="1">IF($Q305=1,SUM($Q$4:$Q305),"")</f>
        <v/>
      </c>
    </row>
    <row r="306" spans="1:18" ht="22.5" customHeight="1" x14ac:dyDescent="0.3">
      <c r="A306" s="2"/>
      <c r="B306" s="2"/>
      <c r="C306" s="3"/>
      <c r="D306" s="3"/>
      <c r="E306" s="2"/>
      <c r="F306" s="2"/>
      <c r="G306" s="5"/>
      <c r="H306" s="5"/>
      <c r="I306" s="4"/>
      <c r="J306" s="6" t="str">
        <f t="shared" si="14"/>
        <v/>
      </c>
      <c r="K306" s="4" t="str">
        <f t="shared" ca="1" si="16"/>
        <v/>
      </c>
      <c r="L306" s="7" t="str">
        <f>IF($H306="","",$H306-'[2]Read Me'!$B$4)</f>
        <v/>
      </c>
      <c r="M306" s="4" t="str">
        <f>IF($I306="Complete","Green",IF($H306="","Amber",IF($H306&lt;'[2]Read Me'!$B$4,"Red",IF($H306-'[2]Read Me'!$B$4&lt;=21,"Amber","Green"))))</f>
        <v>Amber</v>
      </c>
      <c r="N306" s="3"/>
      <c r="O306" t="str">
        <f>IF($I306&lt;&gt;"Complete",IF(COUNTIFS($A$4:$A305,$A306,$B$4:$B305,$B306,$I$4:$I305,"&lt;&gt;Complete")=0,$A306&amp;"|"&amp;$B306,""),"")</f>
        <v>|</v>
      </c>
      <c r="P306" t="str">
        <f ca="1">IF($K306="Yes",COUNTIFS($K$4:$K306,"Yes"),"")</f>
        <v/>
      </c>
      <c r="Q306">
        <f t="shared" ca="1" si="15"/>
        <v>0</v>
      </c>
      <c r="R306" t="str">
        <f ca="1">IF($Q306=1,SUM($Q$4:$Q306),"")</f>
        <v/>
      </c>
    </row>
    <row r="307" spans="1:18" ht="22.5" customHeight="1" x14ac:dyDescent="0.3">
      <c r="A307" s="2"/>
      <c r="B307" s="2"/>
      <c r="C307" s="3"/>
      <c r="D307" s="3"/>
      <c r="E307" s="2"/>
      <c r="F307" s="2"/>
      <c r="G307" s="5"/>
      <c r="H307" s="5"/>
      <c r="I307" s="4"/>
      <c r="J307" s="6" t="str">
        <f t="shared" si="14"/>
        <v/>
      </c>
      <c r="K307" s="4" t="str">
        <f t="shared" ca="1" si="16"/>
        <v/>
      </c>
      <c r="L307" s="7" t="str">
        <f>IF($H307="","",$H307-'[2]Read Me'!$B$4)</f>
        <v/>
      </c>
      <c r="M307" s="4" t="str">
        <f>IF($I307="Complete","Green",IF($H307="","Amber",IF($H307&lt;'[2]Read Me'!$B$4,"Red",IF($H307-'[2]Read Me'!$B$4&lt;=21,"Amber","Green"))))</f>
        <v>Amber</v>
      </c>
      <c r="N307" s="3"/>
      <c r="O307" t="str">
        <f>IF($I307&lt;&gt;"Complete",IF(COUNTIFS($A$4:$A306,$A307,$B$4:$B306,$B307,$I$4:$I306,"&lt;&gt;Complete")=0,$A307&amp;"|"&amp;$B307,""),"")</f>
        <v>|</v>
      </c>
      <c r="P307" t="str">
        <f ca="1">IF($K307="Yes",COUNTIFS($K$4:$K307,"Yes"),"")</f>
        <v/>
      </c>
      <c r="Q307">
        <f t="shared" ca="1" si="15"/>
        <v>0</v>
      </c>
      <c r="R307" t="str">
        <f ca="1">IF($Q307=1,SUM($Q$4:$Q307),"")</f>
        <v/>
      </c>
    </row>
    <row r="308" spans="1:18" ht="22.5" customHeight="1" x14ac:dyDescent="0.3">
      <c r="A308" s="2"/>
      <c r="B308" s="2"/>
      <c r="C308" s="3"/>
      <c r="D308" s="3"/>
      <c r="E308" s="2"/>
      <c r="F308" s="2"/>
      <c r="G308" s="5"/>
      <c r="H308" s="5"/>
      <c r="I308" s="4"/>
      <c r="J308" s="6" t="str">
        <f t="shared" si="14"/>
        <v/>
      </c>
      <c r="K308" s="4" t="str">
        <f t="shared" ca="1" si="16"/>
        <v/>
      </c>
      <c r="L308" s="7" t="str">
        <f>IF($H308="","",$H308-'[2]Read Me'!$B$4)</f>
        <v/>
      </c>
      <c r="M308" s="4" t="str">
        <f>IF($I308="Complete","Green",IF($H308="","Amber",IF($H308&lt;'[2]Read Me'!$B$4,"Red",IF($H308-'[2]Read Me'!$B$4&lt;=21,"Amber","Green"))))</f>
        <v>Amber</v>
      </c>
      <c r="N308" s="3"/>
      <c r="O308" t="str">
        <f>IF($I308&lt;&gt;"Complete",IF(COUNTIFS($A$4:$A307,$A308,$B$4:$B307,$B308,$I$4:$I307,"&lt;&gt;Complete")=0,$A308&amp;"|"&amp;$B308,""),"")</f>
        <v>|</v>
      </c>
      <c r="P308" t="str">
        <f ca="1">IF($K308="Yes",COUNTIFS($K$4:$K308,"Yes"),"")</f>
        <v/>
      </c>
      <c r="Q308">
        <f t="shared" ca="1" si="15"/>
        <v>0</v>
      </c>
      <c r="R308" t="str">
        <f ca="1">IF($Q308=1,SUM($Q$4:$Q308),"")</f>
        <v/>
      </c>
    </row>
    <row r="309" spans="1:18" ht="22.5" customHeight="1" x14ac:dyDescent="0.3">
      <c r="A309" s="2"/>
      <c r="B309" s="2"/>
      <c r="C309" s="3"/>
      <c r="D309" s="3"/>
      <c r="E309" s="2"/>
      <c r="F309" s="2"/>
      <c r="G309" s="5"/>
      <c r="H309" s="5"/>
      <c r="I309" s="4"/>
      <c r="J309" s="6" t="str">
        <f t="shared" si="14"/>
        <v/>
      </c>
      <c r="K309" s="4" t="str">
        <f t="shared" ca="1" si="16"/>
        <v/>
      </c>
      <c r="L309" s="7" t="str">
        <f>IF($H309="","",$H309-'[2]Read Me'!$B$4)</f>
        <v/>
      </c>
      <c r="M309" s="4" t="str">
        <f>IF($I309="Complete","Green",IF($H309="","Amber",IF($H309&lt;'[2]Read Me'!$B$4,"Red",IF($H309-'[2]Read Me'!$B$4&lt;=21,"Amber","Green"))))</f>
        <v>Amber</v>
      </c>
      <c r="N309" s="3"/>
      <c r="O309" t="str">
        <f>IF($I309&lt;&gt;"Complete",IF(COUNTIFS($A$4:$A308,$A309,$B$4:$B308,$B309,$I$4:$I308,"&lt;&gt;Complete")=0,$A309&amp;"|"&amp;$B309,""),"")</f>
        <v>|</v>
      </c>
      <c r="P309" t="str">
        <f ca="1">IF($K309="Yes",COUNTIFS($K$4:$K309,"Yes"),"")</f>
        <v/>
      </c>
      <c r="Q309">
        <f t="shared" ca="1" si="15"/>
        <v>0</v>
      </c>
      <c r="R309" t="str">
        <f ca="1">IF($Q309=1,SUM($Q$4:$Q309),"")</f>
        <v/>
      </c>
    </row>
    <row r="310" spans="1:18" ht="14.25" customHeight="1" x14ac:dyDescent="0.3">
      <c r="A310" s="2"/>
      <c r="B310" s="2"/>
      <c r="C310" s="3"/>
      <c r="D310" s="3"/>
      <c r="E310" s="2"/>
      <c r="F310" s="2"/>
      <c r="G310" s="5"/>
      <c r="H310" s="5"/>
      <c r="I310" s="4"/>
      <c r="J310" s="6" t="str">
        <f t="shared" si="14"/>
        <v/>
      </c>
      <c r="K310" s="4" t="str">
        <f t="shared" ca="1" si="16"/>
        <v/>
      </c>
      <c r="L310" s="7" t="str">
        <f>IF($H310="","",$H310-'[2]Read Me'!$B$4)</f>
        <v/>
      </c>
      <c r="M310" s="4" t="str">
        <f>IF($I310="Complete","Green",IF($H310="","Amber",IF($H310&lt;'[2]Read Me'!$B$4,"Red",IF($H310-'[2]Read Me'!$B$4&lt;=21,"Amber","Green"))))</f>
        <v>Amber</v>
      </c>
      <c r="N310" s="3"/>
      <c r="O310" t="str">
        <f>IF($I310&lt;&gt;"Complete",IF(COUNTIFS($A$4:$A309,$A310,$B$4:$B309,$B310,$I$4:$I309,"&lt;&gt;Complete")=0,$A310&amp;"|"&amp;$B310,""),"")</f>
        <v>|</v>
      </c>
      <c r="P310" t="str">
        <f ca="1">IF($K310="Yes",COUNTIFS($K$4:$K310,"Yes"),"")</f>
        <v/>
      </c>
      <c r="Q310">
        <f t="shared" ca="1" si="15"/>
        <v>0</v>
      </c>
      <c r="R310" t="str">
        <f ca="1">IF($Q310=1,SUM($Q$4:$Q310),"")</f>
        <v/>
      </c>
    </row>
    <row r="311" spans="1:18" ht="14.25" customHeight="1" x14ac:dyDescent="0.3">
      <c r="A311" s="2"/>
      <c r="B311" s="2"/>
      <c r="C311" s="3"/>
      <c r="D311" s="3"/>
      <c r="E311" s="2"/>
      <c r="F311" s="2"/>
      <c r="G311" s="5"/>
      <c r="H311" s="5"/>
      <c r="I311" s="4"/>
      <c r="J311" s="6" t="str">
        <f t="shared" si="14"/>
        <v/>
      </c>
      <c r="K311" s="4" t="str">
        <f t="shared" ca="1" si="16"/>
        <v/>
      </c>
      <c r="L311" s="7" t="str">
        <f>IF($H311="","",$H311-'[2]Read Me'!$B$4)</f>
        <v/>
      </c>
      <c r="M311" s="4" t="str">
        <f>IF($I311="Complete","Green",IF($H311="","Amber",IF($H311&lt;'[2]Read Me'!$B$4,"Red",IF($H311-'[2]Read Me'!$B$4&lt;=21,"Amber","Green"))))</f>
        <v>Amber</v>
      </c>
      <c r="N311" s="3"/>
      <c r="O311" t="str">
        <f>IF($I311&lt;&gt;"Complete",IF(COUNTIFS($A$4:$A310,$A311,$B$4:$B310,$B311,$I$4:$I310,"&lt;&gt;Complete")=0,$A311&amp;"|"&amp;$B311,""),"")</f>
        <v>|</v>
      </c>
      <c r="P311" t="str">
        <f ca="1">IF($K311="Yes",COUNTIFS($K$4:$K311,"Yes"),"")</f>
        <v/>
      </c>
      <c r="Q311">
        <f t="shared" ca="1" si="15"/>
        <v>0</v>
      </c>
      <c r="R311" t="str">
        <f ca="1">IF($Q311=1,SUM($Q$4:$Q311),"")</f>
        <v/>
      </c>
    </row>
    <row r="312" spans="1:18" ht="14.25" customHeight="1" x14ac:dyDescent="0.3">
      <c r="A312" s="2"/>
      <c r="B312" s="2"/>
      <c r="C312" s="3"/>
      <c r="D312" s="3"/>
      <c r="E312" s="2"/>
      <c r="F312" s="2"/>
      <c r="G312" s="5"/>
      <c r="H312" s="5"/>
      <c r="I312" s="4"/>
      <c r="J312" s="6" t="str">
        <f t="shared" si="14"/>
        <v/>
      </c>
      <c r="K312" s="4" t="str">
        <f t="shared" ca="1" si="16"/>
        <v/>
      </c>
      <c r="L312" s="7" t="str">
        <f>IF($H312="","",$H312-'[2]Read Me'!$B$4)</f>
        <v/>
      </c>
      <c r="M312" s="4" t="str">
        <f>IF($I312="Complete","Green",IF($H312="","Amber",IF($H312&lt;'[2]Read Me'!$B$4,"Red",IF($H312-'[2]Read Me'!$B$4&lt;=21,"Amber","Green"))))</f>
        <v>Amber</v>
      </c>
      <c r="N312" s="3"/>
      <c r="O312" t="str">
        <f>IF($I312&lt;&gt;"Complete",IF(COUNTIFS($A$4:$A311,$A312,$B$4:$B311,$B312,$I$4:$I311,"&lt;&gt;Complete")=0,$A312&amp;"|"&amp;$B312,""),"")</f>
        <v>|</v>
      </c>
      <c r="P312" t="str">
        <f ca="1">IF($K312="Yes",COUNTIFS($K$4:$K312,"Yes"),"")</f>
        <v/>
      </c>
      <c r="Q312">
        <f t="shared" ca="1" si="15"/>
        <v>0</v>
      </c>
      <c r="R312" t="str">
        <f ca="1">IF($Q312=1,SUM($Q$4:$Q312),"")</f>
        <v/>
      </c>
    </row>
    <row r="313" spans="1:18" x14ac:dyDescent="0.3">
      <c r="G313" s="9"/>
      <c r="H313" s="9"/>
    </row>
    <row r="314" spans="1:18" x14ac:dyDescent="0.3">
      <c r="G314" s="9"/>
      <c r="H314" s="9"/>
    </row>
    <row r="315" spans="1:18" x14ac:dyDescent="0.3">
      <c r="G315" s="9"/>
      <c r="H315" s="9"/>
    </row>
    <row r="316" spans="1:18" x14ac:dyDescent="0.3">
      <c r="G316" s="9"/>
      <c r="H316" s="9"/>
    </row>
    <row r="317" spans="1:18" x14ac:dyDescent="0.3">
      <c r="G317" s="9"/>
      <c r="H317" s="9"/>
    </row>
    <row r="318" spans="1:18" x14ac:dyDescent="0.3">
      <c r="G318" s="9"/>
      <c r="H318" s="9"/>
    </row>
    <row r="319" spans="1:18" x14ac:dyDescent="0.3">
      <c r="G319" s="9"/>
      <c r="H319" s="9"/>
    </row>
    <row r="320" spans="1:18" x14ac:dyDescent="0.3">
      <c r="G320" s="9"/>
      <c r="H320" s="9"/>
    </row>
    <row r="321" spans="7:8" x14ac:dyDescent="0.3">
      <c r="G321" s="9"/>
      <c r="H321" s="9"/>
    </row>
    <row r="322" spans="7:8" x14ac:dyDescent="0.3">
      <c r="G322" s="9"/>
      <c r="H322" s="9"/>
    </row>
    <row r="323" spans="7:8" x14ac:dyDescent="0.3">
      <c r="G323" s="9"/>
      <c r="H323" s="9"/>
    </row>
    <row r="324" spans="7:8" x14ac:dyDescent="0.3">
      <c r="G324" s="9"/>
      <c r="H324" s="9"/>
    </row>
    <row r="325" spans="7:8" x14ac:dyDescent="0.3">
      <c r="G325" s="9"/>
      <c r="H325" s="9"/>
    </row>
    <row r="326" spans="7:8" x14ac:dyDescent="0.3">
      <c r="G326" s="9"/>
      <c r="H326" s="9"/>
    </row>
    <row r="327" spans="7:8" x14ac:dyDescent="0.3">
      <c r="G327" s="9"/>
      <c r="H327" s="9"/>
    </row>
    <row r="328" spans="7:8" x14ac:dyDescent="0.3">
      <c r="G328" s="9"/>
      <c r="H328" s="9"/>
    </row>
    <row r="329" spans="7:8" x14ac:dyDescent="0.3">
      <c r="G329" s="9"/>
      <c r="H329" s="9"/>
    </row>
    <row r="330" spans="7:8" x14ac:dyDescent="0.3">
      <c r="G330" s="9"/>
      <c r="H330" s="9"/>
    </row>
    <row r="331" spans="7:8" x14ac:dyDescent="0.3">
      <c r="G331" s="9"/>
      <c r="H331" s="9"/>
    </row>
    <row r="332" spans="7:8" x14ac:dyDescent="0.3">
      <c r="G332" s="9"/>
      <c r="H332" s="9"/>
    </row>
    <row r="333" spans="7:8" x14ac:dyDescent="0.3">
      <c r="G333" s="9"/>
      <c r="H333" s="9"/>
    </row>
    <row r="334" spans="7:8" x14ac:dyDescent="0.3">
      <c r="G334" s="9"/>
      <c r="H334" s="9"/>
    </row>
    <row r="335" spans="7:8" x14ac:dyDescent="0.3">
      <c r="G335" s="9"/>
      <c r="H335" s="9"/>
    </row>
    <row r="336" spans="7:8" x14ac:dyDescent="0.3">
      <c r="G336" s="9"/>
      <c r="H336" s="9"/>
    </row>
    <row r="337" spans="7:8" x14ac:dyDescent="0.3">
      <c r="G337" s="9"/>
      <c r="H337" s="9"/>
    </row>
    <row r="338" spans="7:8" x14ac:dyDescent="0.3">
      <c r="G338" s="9"/>
      <c r="H338" s="9"/>
    </row>
    <row r="339" spans="7:8" x14ac:dyDescent="0.3">
      <c r="G339" s="9"/>
      <c r="H339" s="9"/>
    </row>
    <row r="340" spans="7:8" x14ac:dyDescent="0.3">
      <c r="G340" s="9"/>
      <c r="H340" s="9"/>
    </row>
    <row r="341" spans="7:8" x14ac:dyDescent="0.3">
      <c r="G341" s="9"/>
      <c r="H341" s="9"/>
    </row>
    <row r="342" spans="7:8" x14ac:dyDescent="0.3">
      <c r="G342" s="9"/>
      <c r="H342" s="9"/>
    </row>
    <row r="343" spans="7:8" x14ac:dyDescent="0.3">
      <c r="G343" s="9"/>
      <c r="H343" s="9"/>
    </row>
    <row r="344" spans="7:8" x14ac:dyDescent="0.3">
      <c r="G344" s="9"/>
      <c r="H344" s="9"/>
    </row>
    <row r="345" spans="7:8" x14ac:dyDescent="0.3">
      <c r="G345" s="9"/>
      <c r="H345" s="9"/>
    </row>
    <row r="346" spans="7:8" x14ac:dyDescent="0.3">
      <c r="G346" s="9"/>
      <c r="H346" s="9"/>
    </row>
    <row r="347" spans="7:8" x14ac:dyDescent="0.3">
      <c r="G347" s="9"/>
      <c r="H347" s="9"/>
    </row>
    <row r="348" spans="7:8" x14ac:dyDescent="0.3">
      <c r="G348" s="9"/>
      <c r="H348" s="9"/>
    </row>
    <row r="349" spans="7:8" x14ac:dyDescent="0.3">
      <c r="G349" s="9"/>
      <c r="H349" s="9"/>
    </row>
    <row r="350" spans="7:8" x14ac:dyDescent="0.3">
      <c r="G350" s="9"/>
      <c r="H350" s="9"/>
    </row>
    <row r="351" spans="7:8" x14ac:dyDescent="0.3">
      <c r="G351" s="9"/>
      <c r="H351" s="9"/>
    </row>
    <row r="352" spans="7:8" x14ac:dyDescent="0.3">
      <c r="G352" s="9"/>
      <c r="H352" s="9"/>
    </row>
    <row r="353" spans="7:8" x14ac:dyDescent="0.3">
      <c r="G353" s="9"/>
      <c r="H353" s="9"/>
    </row>
    <row r="354" spans="7:8" x14ac:dyDescent="0.3">
      <c r="G354" s="9"/>
      <c r="H354" s="9"/>
    </row>
    <row r="355" spans="7:8" x14ac:dyDescent="0.3">
      <c r="G355" s="9"/>
      <c r="H355" s="9"/>
    </row>
    <row r="356" spans="7:8" x14ac:dyDescent="0.3">
      <c r="G356" s="9"/>
      <c r="H356" s="9"/>
    </row>
    <row r="357" spans="7:8" x14ac:dyDescent="0.3">
      <c r="G357" s="9"/>
      <c r="H357" s="9"/>
    </row>
    <row r="358" spans="7:8" x14ac:dyDescent="0.3">
      <c r="G358" s="9"/>
      <c r="H358" s="9"/>
    </row>
    <row r="359" spans="7:8" x14ac:dyDescent="0.3">
      <c r="G359" s="9"/>
      <c r="H359" s="9"/>
    </row>
    <row r="360" spans="7:8" x14ac:dyDescent="0.3">
      <c r="G360" s="9"/>
      <c r="H360" s="9"/>
    </row>
    <row r="361" spans="7:8" x14ac:dyDescent="0.3">
      <c r="G361" s="9"/>
      <c r="H361" s="9"/>
    </row>
    <row r="362" spans="7:8" x14ac:dyDescent="0.3">
      <c r="G362" s="9"/>
      <c r="H362" s="9"/>
    </row>
    <row r="363" spans="7:8" x14ac:dyDescent="0.3">
      <c r="G363" s="9"/>
      <c r="H363" s="9"/>
    </row>
    <row r="364" spans="7:8" x14ac:dyDescent="0.3">
      <c r="G364" s="9"/>
      <c r="H364" s="9"/>
    </row>
    <row r="365" spans="7:8" x14ac:dyDescent="0.3">
      <c r="G365" s="9"/>
      <c r="H365" s="9"/>
    </row>
    <row r="366" spans="7:8" x14ac:dyDescent="0.3">
      <c r="G366" s="9"/>
      <c r="H366" s="9"/>
    </row>
    <row r="367" spans="7:8" x14ac:dyDescent="0.3">
      <c r="G367" s="9"/>
      <c r="H367" s="9"/>
    </row>
    <row r="368" spans="7:8" x14ac:dyDescent="0.3">
      <c r="G368" s="9"/>
      <c r="H368" s="9"/>
    </row>
    <row r="369" spans="7:8" x14ac:dyDescent="0.3">
      <c r="G369" s="9"/>
      <c r="H369" s="9"/>
    </row>
    <row r="370" spans="7:8" x14ac:dyDescent="0.3">
      <c r="G370" s="9"/>
      <c r="H370" s="9"/>
    </row>
    <row r="371" spans="7:8" x14ac:dyDescent="0.3">
      <c r="G371" s="9"/>
      <c r="H371" s="9"/>
    </row>
    <row r="372" spans="7:8" x14ac:dyDescent="0.3">
      <c r="G372" s="9"/>
      <c r="H372" s="9"/>
    </row>
    <row r="373" spans="7:8" x14ac:dyDescent="0.3">
      <c r="G373" s="9"/>
      <c r="H373" s="9"/>
    </row>
    <row r="374" spans="7:8" x14ac:dyDescent="0.3">
      <c r="G374" s="9"/>
      <c r="H374" s="9"/>
    </row>
    <row r="375" spans="7:8" x14ac:dyDescent="0.3">
      <c r="G375" s="9"/>
      <c r="H375" s="9"/>
    </row>
    <row r="376" spans="7:8" x14ac:dyDescent="0.3">
      <c r="G376" s="9"/>
      <c r="H376" s="9"/>
    </row>
    <row r="377" spans="7:8" x14ac:dyDescent="0.3">
      <c r="G377" s="9"/>
      <c r="H377" s="9"/>
    </row>
    <row r="378" spans="7:8" x14ac:dyDescent="0.3">
      <c r="G378" s="9"/>
      <c r="H378" s="9"/>
    </row>
    <row r="379" spans="7:8" x14ac:dyDescent="0.3">
      <c r="G379" s="9"/>
      <c r="H379" s="9"/>
    </row>
    <row r="380" spans="7:8" x14ac:dyDescent="0.3">
      <c r="G380" s="9"/>
      <c r="H380" s="9"/>
    </row>
    <row r="381" spans="7:8" x14ac:dyDescent="0.3">
      <c r="G381" s="9"/>
      <c r="H381" s="9"/>
    </row>
    <row r="382" spans="7:8" x14ac:dyDescent="0.3">
      <c r="G382" s="9"/>
      <c r="H382" s="9"/>
    </row>
    <row r="383" spans="7:8" x14ac:dyDescent="0.3">
      <c r="G383" s="9"/>
      <c r="H383" s="9"/>
    </row>
    <row r="384" spans="7:8" x14ac:dyDescent="0.3">
      <c r="G384" s="9"/>
      <c r="H384" s="9"/>
    </row>
    <row r="385" spans="7:8" x14ac:dyDescent="0.3">
      <c r="G385" s="9"/>
      <c r="H385" s="9"/>
    </row>
    <row r="386" spans="7:8" x14ac:dyDescent="0.3">
      <c r="G386" s="9"/>
      <c r="H386" s="9"/>
    </row>
    <row r="387" spans="7:8" x14ac:dyDescent="0.3">
      <c r="G387" s="9"/>
      <c r="H387" s="9"/>
    </row>
    <row r="388" spans="7:8" x14ac:dyDescent="0.3">
      <c r="G388" s="9"/>
      <c r="H388" s="9"/>
    </row>
    <row r="389" spans="7:8" x14ac:dyDescent="0.3">
      <c r="G389" s="9"/>
      <c r="H389" s="9"/>
    </row>
    <row r="390" spans="7:8" x14ac:dyDescent="0.3">
      <c r="G390" s="9"/>
      <c r="H390" s="9"/>
    </row>
    <row r="391" spans="7:8" x14ac:dyDescent="0.3">
      <c r="G391" s="9"/>
      <c r="H391" s="9"/>
    </row>
    <row r="392" spans="7:8" x14ac:dyDescent="0.3">
      <c r="G392" s="9"/>
      <c r="H392" s="9"/>
    </row>
    <row r="393" spans="7:8" x14ac:dyDescent="0.3">
      <c r="G393" s="9"/>
      <c r="H393" s="9"/>
    </row>
    <row r="394" spans="7:8" x14ac:dyDescent="0.3">
      <c r="G394" s="9"/>
      <c r="H394" s="9"/>
    </row>
    <row r="395" spans="7:8" x14ac:dyDescent="0.3">
      <c r="G395" s="9"/>
      <c r="H395" s="9"/>
    </row>
    <row r="396" spans="7:8" x14ac:dyDescent="0.3">
      <c r="G396" s="9"/>
      <c r="H396" s="9"/>
    </row>
    <row r="397" spans="7:8" x14ac:dyDescent="0.3">
      <c r="G397" s="9"/>
      <c r="H397" s="9"/>
    </row>
    <row r="398" spans="7:8" x14ac:dyDescent="0.3">
      <c r="G398" s="9"/>
      <c r="H398" s="9"/>
    </row>
    <row r="399" spans="7:8" x14ac:dyDescent="0.3">
      <c r="G399" s="9"/>
      <c r="H399" s="9"/>
    </row>
    <row r="400" spans="7:8" x14ac:dyDescent="0.3">
      <c r="G400" s="9"/>
      <c r="H400" s="9"/>
    </row>
    <row r="401" spans="7:8" x14ac:dyDescent="0.3">
      <c r="G401" s="9"/>
      <c r="H401" s="9"/>
    </row>
    <row r="402" spans="7:8" x14ac:dyDescent="0.3">
      <c r="G402" s="9"/>
      <c r="H402" s="9"/>
    </row>
    <row r="403" spans="7:8" x14ac:dyDescent="0.3">
      <c r="G403" s="9"/>
      <c r="H403" s="9"/>
    </row>
    <row r="404" spans="7:8" x14ac:dyDescent="0.3">
      <c r="G404" s="9"/>
      <c r="H404" s="9"/>
    </row>
    <row r="405" spans="7:8" x14ac:dyDescent="0.3">
      <c r="G405" s="9"/>
      <c r="H405" s="9"/>
    </row>
    <row r="406" spans="7:8" x14ac:dyDescent="0.3">
      <c r="G406" s="9"/>
      <c r="H406" s="9"/>
    </row>
    <row r="407" spans="7:8" x14ac:dyDescent="0.3">
      <c r="G407" s="9"/>
      <c r="H407" s="9"/>
    </row>
    <row r="408" spans="7:8" x14ac:dyDescent="0.3">
      <c r="G408" s="9"/>
      <c r="H408" s="9"/>
    </row>
    <row r="409" spans="7:8" x14ac:dyDescent="0.3">
      <c r="G409" s="9"/>
      <c r="H409" s="9"/>
    </row>
  </sheetData>
  <autoFilter ref="A3:N312" xr:uid="{00000000-0001-0000-0700-000000000000}"/>
  <mergeCells count="1">
    <mergeCell ref="A2:N2"/>
  </mergeCells>
  <conditionalFormatting sqref="A4:A2000">
    <cfRule type="expression" dxfId="21" priority="22" stopIfTrue="1">
      <formula>A4=""</formula>
    </cfRule>
    <cfRule type="expression" dxfId="20" priority="24">
      <formula>C4=""</formula>
    </cfRule>
  </conditionalFormatting>
  <conditionalFormatting sqref="B4:H2000">
    <cfRule type="expression" dxfId="19" priority="9" stopIfTrue="1">
      <formula>$A4=""</formula>
    </cfRule>
    <cfRule type="expression" dxfId="18" priority="10">
      <formula>$C4=""</formula>
    </cfRule>
  </conditionalFormatting>
  <conditionalFormatting sqref="I4:I142">
    <cfRule type="expression" dxfId="17" priority="7">
      <formula>EXACT($I4,"Completed")</formula>
    </cfRule>
    <cfRule type="expression" dxfId="16" priority="8">
      <formula>EXACT($I4,"Inprogress")</formula>
    </cfRule>
    <cfRule type="expression" dxfId="15" priority="29">
      <formula>EXACT($I4,"Overdue")</formula>
    </cfRule>
    <cfRule type="expression" dxfId="14" priority="28">
      <formula>EXACT($I4,"Not Started")</formula>
    </cfRule>
  </conditionalFormatting>
  <conditionalFormatting sqref="I4:I2000">
    <cfRule type="expression" dxfId="13" priority="31">
      <formula>$C4=""</formula>
    </cfRule>
    <cfRule type="expression" dxfId="12" priority="30" stopIfTrue="1">
      <formula>$A4=""</formula>
    </cfRule>
  </conditionalFormatting>
  <conditionalFormatting sqref="J4:J2000">
    <cfRule type="expression" dxfId="11" priority="5" stopIfTrue="1">
      <formula>$A4=""</formula>
    </cfRule>
    <cfRule type="expression" dxfId="10" priority="6">
      <formula>$C4=""</formula>
    </cfRule>
  </conditionalFormatting>
  <conditionalFormatting sqref="K4:K243">
    <cfRule type="expression" dxfId="9" priority="3">
      <formula>EXACT($K4,"No")</formula>
    </cfRule>
    <cfRule type="expression" dxfId="8" priority="4">
      <formula>EXACT($K4,"Yes")</formula>
    </cfRule>
    <cfRule type="expression" dxfId="7" priority="32">
      <formula>EXACT($K4,"-")</formula>
    </cfRule>
  </conditionalFormatting>
  <conditionalFormatting sqref="K4:K2000">
    <cfRule type="expression" dxfId="6" priority="34">
      <formula>$C4=""</formula>
    </cfRule>
    <cfRule type="expression" dxfId="5" priority="33" stopIfTrue="1">
      <formula>$A4=""</formula>
    </cfRule>
  </conditionalFormatting>
  <conditionalFormatting sqref="L4:L2000">
    <cfRule type="expression" dxfId="4" priority="1" stopIfTrue="1">
      <formula>$A4=""</formula>
    </cfRule>
    <cfRule type="expression" dxfId="3" priority="2">
      <formula>$C4=""</formula>
    </cfRule>
  </conditionalFormatting>
  <conditionalFormatting sqref="M4:M312">
    <cfRule type="cellIs" dxfId="2" priority="25" operator="equal">
      <formula>"Green"</formula>
    </cfRule>
    <cfRule type="cellIs" dxfId="1" priority="26" operator="equal">
      <formula>"Amber"</formula>
    </cfRule>
    <cfRule type="cellIs" dxfId="0" priority="27" operator="equal">
      <formula>"Red"</formula>
    </cfRule>
  </conditionalFormatting>
  <dataValidations count="1">
    <dataValidation type="list" allowBlank="1" sqref="I4:I312" xr:uid="{248EDE9E-F158-4B53-9564-1465B426B495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08C2-5EF6-4249-8996-76121E230C20}">
  <sheetPr codeName="Sheet11">
    <tabColor rgb="FF0B1B3A"/>
    <outlinePr summaryBelow="0" summaryRight="0"/>
  </sheetPr>
  <dimension ref="A1:Z59"/>
  <sheetViews>
    <sheetView workbookViewId="0">
      <selection activeCell="J21" sqref="J21"/>
    </sheetView>
  </sheetViews>
  <sheetFormatPr defaultColWidth="12.6640625" defaultRowHeight="12.75" customHeight="1" x14ac:dyDescent="0.25"/>
  <cols>
    <col min="1" max="4" width="12.6640625" style="15"/>
    <col min="5" max="5" width="3.6640625" style="15" customWidth="1"/>
    <col min="6" max="6" width="3.33203125" style="15" customWidth="1"/>
    <col min="7" max="8" width="10.33203125" style="15" customWidth="1"/>
    <col min="9" max="9" width="3.33203125" style="15" customWidth="1"/>
    <col min="10" max="11" width="10.33203125" style="15" customWidth="1"/>
    <col min="12" max="12" width="3.33203125" style="15" customWidth="1"/>
    <col min="13" max="14" width="10.33203125" style="15" customWidth="1"/>
    <col min="15" max="15" width="3.33203125" style="15" customWidth="1"/>
    <col min="16" max="17" width="10.33203125" style="15" customWidth="1"/>
    <col min="18" max="18" width="3.33203125" style="15" customWidth="1"/>
    <col min="19" max="20" width="10.33203125" style="15" customWidth="1"/>
    <col min="21" max="21" width="5.5546875" style="15" customWidth="1"/>
    <col min="22" max="16384" width="12.6640625" style="15"/>
  </cols>
  <sheetData>
    <row r="1" spans="1:26" ht="16.2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/>
    </row>
    <row r="2" spans="1:26" ht="18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</row>
    <row r="3" spans="1:26" ht="18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spans="1:26" ht="18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</row>
    <row r="5" spans="1:26" ht="18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</row>
    <row r="6" spans="1:26" ht="18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</row>
    <row r="7" spans="1:26" ht="18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</row>
    <row r="8" spans="1:26" ht="18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</row>
    <row r="9" spans="1:26" ht="18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4"/>
    </row>
    <row r="10" spans="1:26" ht="18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4"/>
    </row>
    <row r="11" spans="1:26" ht="18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spans="1:26" ht="12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spans="1:26" ht="37.950000000000003" customHeight="1" x14ac:dyDescent="0.25">
      <c r="A13" s="13"/>
      <c r="B13" s="13"/>
      <c r="C13" s="13"/>
      <c r="D13" s="13"/>
      <c r="E13" s="13"/>
      <c r="F13" s="21" t="s">
        <v>777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3"/>
      <c r="V13" s="13"/>
      <c r="W13" s="13"/>
      <c r="X13" s="13"/>
      <c r="Y13" s="13"/>
      <c r="Z13" s="14"/>
    </row>
    <row r="14" spans="1:26" ht="10.199999999999999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</row>
    <row r="15" spans="1:26" ht="4.2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6"/>
      <c r="K15" s="16"/>
      <c r="L15" s="16"/>
      <c r="M15" s="16"/>
      <c r="N15" s="16"/>
      <c r="O15" s="16"/>
      <c r="P15" s="16"/>
      <c r="Q15" s="13"/>
      <c r="R15" s="13"/>
      <c r="S15" s="13"/>
      <c r="T15" s="13"/>
      <c r="U15" s="13"/>
      <c r="V15" s="13"/>
      <c r="W15" s="13"/>
      <c r="X15" s="13"/>
      <c r="Y15" s="13"/>
      <c r="Z15" s="14"/>
    </row>
    <row r="16" spans="1:26" ht="16.2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6" ht="18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4"/>
    </row>
    <row r="18" spans="1:26" ht="10.199999999999999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</row>
    <row r="19" spans="1:26" ht="30" customHeight="1" thickBot="1" x14ac:dyDescent="0.3">
      <c r="A19" s="13"/>
      <c r="B19" s="13"/>
      <c r="C19" s="13"/>
      <c r="D19" s="13"/>
      <c r="E19" s="13"/>
      <c r="F19" s="13"/>
      <c r="G19" s="22"/>
      <c r="H19" s="2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4"/>
    </row>
    <row r="20" spans="1:26" ht="10.199999999999999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</row>
    <row r="21" spans="1:26" ht="30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4"/>
    </row>
    <row r="22" spans="1:26" ht="16.2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4"/>
    </row>
    <row r="23" spans="1:26" ht="18" customHeight="1" x14ac:dyDescent="0.25">
      <c r="A23" s="13"/>
      <c r="B23" s="13"/>
      <c r="C23" s="13"/>
      <c r="D23" s="13"/>
      <c r="E23" s="13"/>
      <c r="F23" s="19" t="s">
        <v>778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3"/>
      <c r="V23" s="13"/>
      <c r="W23" s="13"/>
      <c r="X23" s="13"/>
      <c r="Y23" s="13"/>
      <c r="Z23" s="14"/>
    </row>
    <row r="24" spans="1:26" ht="16.2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4"/>
    </row>
    <row r="25" spans="1:26" ht="1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4"/>
    </row>
    <row r="26" spans="1:26" ht="11.2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4"/>
    </row>
    <row r="27" spans="1:26" ht="1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4"/>
    </row>
    <row r="28" spans="1:26" ht="7.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4"/>
    </row>
    <row r="29" spans="1:26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4"/>
    </row>
    <row r="30" spans="1:26" ht="12.7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/>
    </row>
    <row r="31" spans="1:26" ht="12.7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4"/>
    </row>
    <row r="32" spans="1:26" ht="12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4"/>
    </row>
    <row r="33" spans="1:26" ht="12.7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4"/>
    </row>
    <row r="34" spans="1:26" ht="12.7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4"/>
    </row>
    <row r="35" spans="1:26" ht="12.7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4"/>
    </row>
    <row r="36" spans="1:26" ht="12.7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4"/>
    </row>
    <row r="37" spans="1:26" ht="12.7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4"/>
    </row>
    <row r="38" spans="1:26" ht="12.7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4"/>
    </row>
    <row r="39" spans="1:26" ht="12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4"/>
    </row>
    <row r="40" spans="1:26" ht="12.7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4"/>
    </row>
    <row r="41" spans="1:26" ht="12.7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4"/>
    </row>
    <row r="42" spans="1:26" ht="12.7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4"/>
    </row>
    <row r="43" spans="1:26" ht="12.7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4"/>
    </row>
    <row r="44" spans="1:26" ht="12.7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4"/>
    </row>
    <row r="45" spans="1:26" ht="12.75" customHeight="1" x14ac:dyDescent="0.25"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25"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25"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25"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5:26" ht="12.75" customHeight="1" x14ac:dyDescent="0.25"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5:26" ht="12.75" customHeight="1" x14ac:dyDescent="0.25"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5:26" ht="12.75" customHeight="1" x14ac:dyDescent="0.25"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5:26" ht="12.75" customHeight="1" x14ac:dyDescent="0.25"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5:26" ht="12.75" customHeight="1" x14ac:dyDescent="0.25"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5:26" ht="12.75" customHeight="1" x14ac:dyDescent="0.25"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5:26" ht="12.75" customHeight="1" x14ac:dyDescent="0.25"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5:26" ht="12.75" customHeight="1" x14ac:dyDescent="0.25"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5:26" ht="12.75" customHeight="1" x14ac:dyDescent="0.25"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5:26" ht="12.75" customHeight="1" x14ac:dyDescent="0.25"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5:26" ht="12.75" customHeight="1" x14ac:dyDescent="0.25"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</sheetData>
  <mergeCells count="3">
    <mergeCell ref="F23:T23"/>
    <mergeCell ref="F13:T13"/>
    <mergeCell ref="G19:H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9A6C8FD8D4DB468F29CBE52D27E50D" ma:contentTypeVersion="7" ma:contentTypeDescription="Create a new document." ma:contentTypeScope="" ma:versionID="e8a70434582f7baab9caef275be87ed0">
  <xsd:schema xmlns:xsd="http://www.w3.org/2001/XMLSchema" xmlns:xs="http://www.w3.org/2001/XMLSchema" xmlns:p="http://schemas.microsoft.com/office/2006/metadata/properties" xmlns:ns2="8719df14-e7fa-4b3b-b282-13401c914bfc" targetNamespace="http://schemas.microsoft.com/office/2006/metadata/properties" ma:root="true" ma:fieldsID="b56bd5917062ba6f38aa38b26161175d" ns2:_="">
    <xsd:import namespace="8719df14-e7fa-4b3b-b282-13401c91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9df14-e7fa-4b3b-b282-13401c914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BFA3E-5646-42CE-88BC-A5B43491C8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9df14-e7fa-4b3b-b282-13401c91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92C138-CA9E-4FA6-B4E9-106CDB3D71F7}">
  <ds:schemaRefs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8719df14-e7fa-4b3b-b282-13401c91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ADEB34-3BE2-4C63-9C48-17332F31C0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0a4361-dbb7-4cd9-9df3-ff4e535cce1f}" enabled="0" method="" siteId="{1b0a4361-dbb7-4cd9-9df3-ff4e535cce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SLW NOA</vt:lpstr>
      <vt:lpstr>DRJ</vt:lpstr>
      <vt:lpstr>HPT</vt:lpstr>
      <vt:lpstr>CRI</vt:lpstr>
      <vt:lpstr>SLR</vt:lpstr>
      <vt:lpstr>SLNX</vt:lpstr>
      <vt:lpstr>Lotus</vt:lpstr>
      <vt:lpstr>Keys 52</vt:lpstr>
      <vt:lpstr>Encore</vt:lpstr>
      <vt:lpstr>Refresh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Tamamm</dc:creator>
  <cp:lastModifiedBy>hussam mamdouh</cp:lastModifiedBy>
  <dcterms:created xsi:type="dcterms:W3CDTF">2026-06-28T13:10:13Z</dcterms:created>
  <dcterms:modified xsi:type="dcterms:W3CDTF">2026-07-01T10:10:57Z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0x010100D69A6C8FD8D4DB468F29CBE52D27E50D</vt:lpwstr>
  </property>
  <property fmtid="{D5CDD505-2E9C-101B-9397-08002B2CF9AE}" pid="3" name="type" linkTarget="prop_type">
    <vt:lpwstr>#REF!</vt:lpwstr>
  </property>
</Properties>
</file>